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NG. YONATHAN JESUS\Desktop\BASE DE DATOS\3. CODIGOS\"/>
    </mc:Choice>
  </mc:AlternateContent>
  <xr:revisionPtr revIDLastSave="0" documentId="13_ncr:1_{9FABDBDD-FF49-4775-ADD4-20D1D58AFA5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Tac_Moq" sheetId="1" r:id="rId1"/>
    <sheet name="Hvca" sheetId="2" r:id="rId2"/>
    <sheet name="Seg-Fi" sheetId="3" r:id="rId3"/>
    <sheet name="Ayuda" sheetId="5" r:id="rId4"/>
    <sheet name="Dashboard" sheetId="6" r:id="rId5"/>
  </sheets>
  <definedNames>
    <definedName name="SegmentaciónDeDatos_DEPARTAMENTO">#N/A</definedName>
    <definedName name="SegmentaciónDeDatos_PROVINCIA">#N/A</definedName>
    <definedName name="SegmentaciónDeDatos_TIPO_DE_SUPERFICIE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6"/>
        <x14:slicerCache r:id="rId7"/>
        <x14:slicerCache r:id="rId8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76" i="6" l="1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0" i="6"/>
  <c r="J19" i="6"/>
  <c r="J18" i="6"/>
  <c r="J17" i="6"/>
  <c r="J16" i="6"/>
  <c r="J15" i="6"/>
  <c r="J14" i="6"/>
  <c r="J13" i="6"/>
  <c r="J12" i="6"/>
  <c r="J11" i="6"/>
  <c r="J10" i="6"/>
  <c r="J9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J8" i="6"/>
  <c r="C3" i="6"/>
  <c r="D3" i="6"/>
  <c r="E3" i="6"/>
  <c r="C4" i="6"/>
  <c r="D4" i="6"/>
  <c r="E4" i="6"/>
  <c r="C5" i="6"/>
  <c r="D5" i="6"/>
  <c r="E5" i="6"/>
  <c r="C6" i="6"/>
  <c r="D6" i="6"/>
  <c r="E6" i="6"/>
  <c r="C7" i="6"/>
  <c r="D7" i="6"/>
  <c r="E7" i="6"/>
  <c r="C8" i="6"/>
  <c r="D8" i="6"/>
  <c r="E8" i="6"/>
  <c r="C9" i="6"/>
  <c r="D9" i="6"/>
  <c r="E9" i="6"/>
  <c r="C10" i="6"/>
  <c r="D10" i="6"/>
  <c r="E10" i="6"/>
  <c r="C11" i="6"/>
  <c r="D11" i="6"/>
  <c r="E11" i="6"/>
  <c r="C12" i="6"/>
  <c r="D12" i="6"/>
  <c r="E12" i="6"/>
  <c r="C13" i="6"/>
  <c r="D13" i="6"/>
  <c r="E13" i="6"/>
  <c r="C14" i="6"/>
  <c r="D14" i="6"/>
  <c r="E14" i="6"/>
  <c r="C15" i="6"/>
  <c r="D15" i="6"/>
  <c r="E15" i="6"/>
  <c r="C16" i="6"/>
  <c r="D16" i="6"/>
  <c r="E16" i="6"/>
  <c r="C17" i="6"/>
  <c r="D17" i="6"/>
  <c r="E17" i="6"/>
  <c r="C18" i="6"/>
  <c r="D18" i="6"/>
  <c r="E18" i="6"/>
  <c r="C19" i="6"/>
  <c r="D19" i="6"/>
  <c r="E19" i="6"/>
  <c r="C20" i="6"/>
  <c r="D20" i="6"/>
  <c r="E20" i="6"/>
  <c r="C21" i="6"/>
  <c r="D21" i="6"/>
  <c r="E21" i="6"/>
  <c r="C22" i="6"/>
  <c r="D22" i="6"/>
  <c r="E22" i="6"/>
  <c r="C23" i="6"/>
  <c r="D23" i="6"/>
  <c r="E23" i="6"/>
  <c r="C24" i="6"/>
  <c r="D24" i="6"/>
  <c r="E24" i="6"/>
  <c r="C25" i="6"/>
  <c r="D25" i="6"/>
  <c r="E25" i="6"/>
  <c r="C26" i="6"/>
  <c r="D26" i="6"/>
  <c r="E26" i="6"/>
  <c r="C27" i="6"/>
  <c r="D27" i="6"/>
  <c r="E27" i="6"/>
  <c r="C28" i="6"/>
  <c r="D28" i="6"/>
  <c r="E28" i="6"/>
  <c r="C29" i="6"/>
  <c r="D29" i="6"/>
  <c r="E29" i="6"/>
  <c r="C30" i="6"/>
  <c r="D30" i="6"/>
  <c r="E30" i="6"/>
  <c r="C31" i="6"/>
  <c r="D31" i="6"/>
  <c r="E31" i="6"/>
  <c r="C32" i="6"/>
  <c r="D32" i="6"/>
  <c r="E32" i="6"/>
  <c r="C33" i="6"/>
  <c r="D33" i="6"/>
  <c r="E33" i="6"/>
  <c r="C34" i="6"/>
  <c r="D34" i="6"/>
  <c r="E34" i="6"/>
  <c r="C35" i="6"/>
  <c r="D35" i="6"/>
  <c r="E35" i="6"/>
  <c r="C36" i="6"/>
  <c r="D36" i="6"/>
  <c r="E36" i="6"/>
  <c r="C37" i="6"/>
  <c r="D37" i="6"/>
  <c r="E37" i="6"/>
  <c r="C38" i="6"/>
  <c r="D38" i="6"/>
  <c r="E38" i="6"/>
  <c r="C39" i="6"/>
  <c r="D39" i="6"/>
  <c r="E39" i="6"/>
  <c r="C40" i="6"/>
  <c r="D40" i="6"/>
  <c r="E40" i="6"/>
  <c r="C41" i="6"/>
  <c r="D41" i="6"/>
  <c r="E41" i="6"/>
  <c r="C42" i="6"/>
  <c r="D42" i="6"/>
  <c r="E42" i="6"/>
  <c r="C43" i="6"/>
  <c r="D43" i="6"/>
  <c r="E43" i="6"/>
  <c r="C44" i="6"/>
  <c r="D44" i="6"/>
  <c r="E44" i="6"/>
  <c r="C45" i="6"/>
  <c r="D45" i="6"/>
  <c r="E45" i="6"/>
  <c r="C46" i="6"/>
  <c r="D46" i="6"/>
  <c r="E46" i="6"/>
  <c r="C47" i="6"/>
  <c r="D47" i="6"/>
  <c r="E47" i="6"/>
  <c r="C48" i="6"/>
  <c r="D48" i="6"/>
  <c r="E48" i="6"/>
  <c r="C49" i="6"/>
  <c r="D49" i="6"/>
  <c r="E49" i="6"/>
  <c r="C50" i="6"/>
  <c r="D50" i="6"/>
  <c r="E50" i="6"/>
  <c r="C51" i="6"/>
  <c r="D51" i="6"/>
  <c r="E51" i="6"/>
  <c r="C52" i="6"/>
  <c r="D52" i="6"/>
  <c r="E52" i="6"/>
  <c r="C53" i="6"/>
  <c r="D53" i="6"/>
  <c r="E53" i="6"/>
  <c r="C54" i="6"/>
  <c r="D54" i="6"/>
  <c r="E54" i="6"/>
  <c r="C55" i="6"/>
  <c r="D55" i="6"/>
  <c r="E55" i="6"/>
  <c r="C56" i="6"/>
  <c r="D56" i="6"/>
  <c r="E56" i="6"/>
  <c r="C57" i="6"/>
  <c r="D57" i="6"/>
  <c r="E57" i="6"/>
  <c r="C58" i="6"/>
  <c r="D58" i="6"/>
  <c r="E58" i="6"/>
  <c r="C59" i="6"/>
  <c r="D59" i="6"/>
  <c r="E59" i="6"/>
  <c r="C60" i="6"/>
  <c r="D60" i="6"/>
  <c r="E60" i="6"/>
  <c r="C61" i="6"/>
  <c r="D61" i="6"/>
  <c r="E61" i="6"/>
  <c r="C62" i="6"/>
  <c r="D62" i="6"/>
  <c r="E62" i="6"/>
  <c r="C63" i="6"/>
  <c r="D63" i="6"/>
  <c r="E63" i="6"/>
  <c r="C64" i="6"/>
  <c r="D64" i="6"/>
  <c r="E64" i="6"/>
  <c r="C65" i="6"/>
  <c r="D65" i="6"/>
  <c r="E65" i="6"/>
  <c r="C66" i="6"/>
  <c r="D66" i="6"/>
  <c r="E66" i="6"/>
  <c r="C67" i="6"/>
  <c r="D67" i="6"/>
  <c r="E67" i="6"/>
  <c r="C68" i="6"/>
  <c r="D68" i="6"/>
  <c r="E68" i="6"/>
  <c r="C69" i="6"/>
  <c r="D69" i="6"/>
  <c r="E69" i="6"/>
  <c r="C70" i="6"/>
  <c r="D70" i="6"/>
  <c r="E70" i="6"/>
  <c r="C71" i="6"/>
  <c r="D71" i="6"/>
  <c r="E71" i="6"/>
  <c r="C72" i="6"/>
  <c r="D72" i="6"/>
  <c r="E72" i="6"/>
  <c r="C73" i="6"/>
  <c r="D73" i="6"/>
  <c r="E73" i="6"/>
  <c r="C74" i="6"/>
  <c r="D74" i="6"/>
  <c r="E74" i="6"/>
  <c r="C75" i="6"/>
  <c r="D75" i="6"/>
  <c r="E75" i="6"/>
  <c r="C76" i="6"/>
  <c r="D76" i="6"/>
  <c r="E76" i="6"/>
  <c r="C77" i="6"/>
  <c r="D77" i="6"/>
  <c r="E77" i="6"/>
  <c r="C78" i="6"/>
  <c r="D78" i="6"/>
  <c r="E78" i="6"/>
  <c r="C79" i="6"/>
  <c r="D79" i="6"/>
  <c r="E79" i="6"/>
  <c r="C80" i="6"/>
  <c r="D80" i="6"/>
  <c r="E80" i="6"/>
  <c r="C81" i="6"/>
  <c r="D81" i="6"/>
  <c r="E81" i="6"/>
  <c r="C82" i="6"/>
  <c r="D82" i="6"/>
  <c r="E82" i="6"/>
  <c r="C83" i="6"/>
  <c r="D83" i="6"/>
  <c r="E83" i="6"/>
  <c r="C84" i="6"/>
  <c r="D84" i="6"/>
  <c r="E84" i="6"/>
  <c r="C85" i="6"/>
  <c r="D85" i="6"/>
  <c r="E85" i="6"/>
  <c r="C86" i="6"/>
  <c r="D86" i="6"/>
  <c r="E86" i="6"/>
  <c r="C87" i="6"/>
  <c r="D87" i="6"/>
  <c r="E87" i="6"/>
  <c r="C88" i="6"/>
  <c r="D88" i="6"/>
  <c r="E88" i="6"/>
  <c r="C89" i="6"/>
  <c r="D89" i="6"/>
  <c r="E89" i="6"/>
  <c r="C90" i="6"/>
  <c r="D90" i="6"/>
  <c r="E90" i="6"/>
  <c r="C91" i="6"/>
  <c r="D91" i="6"/>
  <c r="E91" i="6"/>
  <c r="C92" i="6"/>
  <c r="D92" i="6"/>
  <c r="E92" i="6"/>
  <c r="C93" i="6"/>
  <c r="D93" i="6"/>
  <c r="E93" i="6"/>
  <c r="C94" i="6"/>
  <c r="D94" i="6"/>
  <c r="E94" i="6"/>
  <c r="C95" i="6"/>
  <c r="D95" i="6"/>
  <c r="E95" i="6"/>
  <c r="C96" i="6"/>
  <c r="D96" i="6"/>
  <c r="E96" i="6"/>
  <c r="C97" i="6"/>
  <c r="D97" i="6"/>
  <c r="E97" i="6"/>
  <c r="C98" i="6"/>
  <c r="D98" i="6"/>
  <c r="E98" i="6"/>
  <c r="C99" i="6"/>
  <c r="D99" i="6"/>
  <c r="E99" i="6"/>
  <c r="C100" i="6"/>
  <c r="D100" i="6"/>
  <c r="E100" i="6"/>
  <c r="C101" i="6"/>
  <c r="D101" i="6"/>
  <c r="E101" i="6"/>
  <c r="C102" i="6"/>
  <c r="D102" i="6"/>
  <c r="E102" i="6"/>
  <c r="C103" i="6"/>
  <c r="D103" i="6"/>
  <c r="E103" i="6"/>
  <c r="C104" i="6"/>
  <c r="D104" i="6"/>
  <c r="E104" i="6"/>
  <c r="C105" i="6"/>
  <c r="D105" i="6"/>
  <c r="E105" i="6"/>
  <c r="C106" i="6"/>
  <c r="D106" i="6"/>
  <c r="E106" i="6"/>
  <c r="C107" i="6"/>
  <c r="D107" i="6"/>
  <c r="E107" i="6"/>
  <c r="C108" i="6"/>
  <c r="D108" i="6"/>
  <c r="E108" i="6"/>
  <c r="C109" i="6"/>
  <c r="D109" i="6"/>
  <c r="E109" i="6"/>
  <c r="C110" i="6"/>
  <c r="D110" i="6"/>
  <c r="E110" i="6"/>
  <c r="C111" i="6"/>
  <c r="D111" i="6"/>
  <c r="E111" i="6"/>
  <c r="C112" i="6"/>
  <c r="D112" i="6"/>
  <c r="E112" i="6"/>
  <c r="C113" i="6"/>
  <c r="D113" i="6"/>
  <c r="E113" i="6"/>
  <c r="C114" i="6"/>
  <c r="D114" i="6"/>
  <c r="E114" i="6"/>
  <c r="C115" i="6"/>
  <c r="D115" i="6"/>
  <c r="E115" i="6"/>
  <c r="C116" i="6"/>
  <c r="D116" i="6"/>
  <c r="E116" i="6"/>
  <c r="C117" i="6"/>
  <c r="D117" i="6"/>
  <c r="E117" i="6"/>
  <c r="C118" i="6"/>
  <c r="D118" i="6"/>
  <c r="E118" i="6"/>
  <c r="C119" i="6"/>
  <c r="D119" i="6"/>
  <c r="E119" i="6"/>
  <c r="C120" i="6"/>
  <c r="D120" i="6"/>
  <c r="E120" i="6"/>
  <c r="C121" i="6"/>
  <c r="D121" i="6"/>
  <c r="E121" i="6"/>
  <c r="C122" i="6"/>
  <c r="D122" i="6"/>
  <c r="E122" i="6"/>
  <c r="C123" i="6"/>
  <c r="D123" i="6"/>
  <c r="E123" i="6"/>
  <c r="C124" i="6"/>
  <c r="D124" i="6"/>
  <c r="E124" i="6"/>
  <c r="C125" i="6"/>
  <c r="D125" i="6"/>
  <c r="E125" i="6"/>
  <c r="C126" i="6"/>
  <c r="D126" i="6"/>
  <c r="E126" i="6"/>
  <c r="C127" i="6"/>
  <c r="D127" i="6"/>
  <c r="E127" i="6"/>
  <c r="C128" i="6"/>
  <c r="D128" i="6"/>
  <c r="E128" i="6"/>
  <c r="C129" i="6"/>
  <c r="D129" i="6"/>
  <c r="E129" i="6"/>
  <c r="C130" i="6"/>
  <c r="D130" i="6"/>
  <c r="E130" i="6"/>
  <c r="C131" i="6"/>
  <c r="D131" i="6"/>
  <c r="E131" i="6"/>
  <c r="C132" i="6"/>
  <c r="D132" i="6"/>
  <c r="E132" i="6"/>
  <c r="C133" i="6"/>
  <c r="D133" i="6"/>
  <c r="E133" i="6"/>
  <c r="C134" i="6"/>
  <c r="D134" i="6"/>
  <c r="E134" i="6"/>
  <c r="C135" i="6"/>
  <c r="D135" i="6"/>
  <c r="E135" i="6"/>
  <c r="C136" i="6"/>
  <c r="D136" i="6"/>
  <c r="E136" i="6"/>
  <c r="C137" i="6"/>
  <c r="D137" i="6"/>
  <c r="E137" i="6"/>
  <c r="C138" i="6"/>
  <c r="D138" i="6"/>
  <c r="E138" i="6"/>
  <c r="C139" i="6"/>
  <c r="D139" i="6"/>
  <c r="E139" i="6"/>
  <c r="C140" i="6"/>
  <c r="D140" i="6"/>
  <c r="E140" i="6"/>
  <c r="C141" i="6"/>
  <c r="D141" i="6"/>
  <c r="E141" i="6"/>
  <c r="C142" i="6"/>
  <c r="D142" i="6"/>
  <c r="E142" i="6"/>
  <c r="C143" i="6"/>
  <c r="D143" i="6"/>
  <c r="E143" i="6"/>
  <c r="C144" i="6"/>
  <c r="D144" i="6"/>
  <c r="E144" i="6"/>
  <c r="C145" i="6"/>
  <c r="D145" i="6"/>
  <c r="E145" i="6"/>
  <c r="C146" i="6"/>
  <c r="D146" i="6"/>
  <c r="E146" i="6"/>
  <c r="C147" i="6"/>
  <c r="D147" i="6"/>
  <c r="E147" i="6"/>
  <c r="C148" i="6"/>
  <c r="D148" i="6"/>
  <c r="E148" i="6"/>
  <c r="C149" i="6"/>
  <c r="D149" i="6"/>
  <c r="E149" i="6"/>
  <c r="C150" i="6"/>
  <c r="D150" i="6"/>
  <c r="E150" i="6"/>
  <c r="C151" i="6"/>
  <c r="D151" i="6"/>
  <c r="E151" i="6"/>
  <c r="C152" i="6"/>
  <c r="D152" i="6"/>
  <c r="E152" i="6"/>
  <c r="C153" i="6"/>
  <c r="D153" i="6"/>
  <c r="E153" i="6"/>
  <c r="C154" i="6"/>
  <c r="D154" i="6"/>
  <c r="E154" i="6"/>
  <c r="C155" i="6"/>
  <c r="D155" i="6"/>
  <c r="E155" i="6"/>
  <c r="C156" i="6"/>
  <c r="D156" i="6"/>
  <c r="E156" i="6"/>
  <c r="C157" i="6"/>
  <c r="D157" i="6"/>
  <c r="E157" i="6"/>
  <c r="C158" i="6"/>
  <c r="D158" i="6"/>
  <c r="E158" i="6"/>
  <c r="C159" i="6"/>
  <c r="D159" i="6"/>
  <c r="E159" i="6"/>
  <c r="C160" i="6"/>
  <c r="D160" i="6"/>
  <c r="E160" i="6"/>
  <c r="C161" i="6"/>
  <c r="D161" i="6"/>
  <c r="E161" i="6"/>
  <c r="C162" i="6"/>
  <c r="D162" i="6"/>
  <c r="E162" i="6"/>
  <c r="C163" i="6"/>
  <c r="D163" i="6"/>
  <c r="E163" i="6"/>
  <c r="C164" i="6"/>
  <c r="D164" i="6"/>
  <c r="E164" i="6"/>
  <c r="C165" i="6"/>
  <c r="D165" i="6"/>
  <c r="E165" i="6"/>
  <c r="C166" i="6"/>
  <c r="D166" i="6"/>
  <c r="E166" i="6"/>
  <c r="C167" i="6"/>
  <c r="D167" i="6"/>
  <c r="E167" i="6"/>
  <c r="C168" i="6"/>
  <c r="D168" i="6"/>
  <c r="E168" i="6"/>
  <c r="C169" i="6"/>
  <c r="D169" i="6"/>
  <c r="E169" i="6"/>
  <c r="C170" i="6"/>
  <c r="D170" i="6"/>
  <c r="E170" i="6"/>
  <c r="C171" i="6"/>
  <c r="D171" i="6"/>
  <c r="E171" i="6"/>
  <c r="C172" i="6"/>
  <c r="D172" i="6"/>
  <c r="E172" i="6"/>
  <c r="C173" i="6"/>
  <c r="D173" i="6"/>
  <c r="E173" i="6"/>
  <c r="C174" i="6"/>
  <c r="D174" i="6"/>
  <c r="E174" i="6"/>
  <c r="C175" i="6"/>
  <c r="D175" i="6"/>
  <c r="E175" i="6"/>
  <c r="C176" i="6"/>
  <c r="D176" i="6"/>
  <c r="E176" i="6"/>
  <c r="E2" i="6"/>
  <c r="D2" i="6"/>
  <c r="C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2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" i="6"/>
  <c r="A4" i="6"/>
  <c r="A5" i="6"/>
  <c r="A6" i="6"/>
  <c r="A7" i="6"/>
  <c r="A8" i="6"/>
  <c r="A9" i="6"/>
  <c r="A10" i="6"/>
  <c r="A11" i="6"/>
  <c r="A2" i="6"/>
  <c r="N48" i="3"/>
  <c r="N47" i="3"/>
  <c r="N44" i="3"/>
  <c r="N43" i="3"/>
  <c r="N42" i="3"/>
  <c r="N41" i="3"/>
  <c r="N40" i="3"/>
  <c r="N39" i="3"/>
  <c r="B30" i="3" l="1"/>
  <c r="L44" i="3" s="1"/>
  <c r="B29" i="3"/>
  <c r="L43" i="3" s="1"/>
  <c r="B28" i="3"/>
  <c r="J42" i="3" s="1"/>
  <c r="B27" i="3"/>
  <c r="J41" i="3" s="1"/>
  <c r="B26" i="3"/>
  <c r="L40" i="3" s="1"/>
  <c r="B25" i="3"/>
  <c r="L39" i="3" s="1"/>
  <c r="B31" i="3"/>
  <c r="L45" i="3" s="1"/>
  <c r="B32" i="3"/>
  <c r="J46" i="3" s="1"/>
  <c r="F34" i="3"/>
  <c r="F33" i="3"/>
  <c r="F32" i="3"/>
  <c r="F31" i="3"/>
  <c r="F30" i="3"/>
  <c r="F29" i="3"/>
  <c r="F28" i="3"/>
  <c r="F27" i="3"/>
  <c r="F26" i="3"/>
  <c r="F25" i="3"/>
  <c r="D34" i="3"/>
  <c r="D33" i="3"/>
  <c r="D32" i="3"/>
  <c r="D31" i="3"/>
  <c r="D30" i="3"/>
  <c r="D29" i="3"/>
  <c r="D28" i="3"/>
  <c r="D27" i="3"/>
  <c r="D26" i="3"/>
  <c r="D25" i="3"/>
  <c r="B34" i="3"/>
  <c r="L48" i="3" s="1"/>
  <c r="B33" i="3"/>
  <c r="L47" i="3" s="1"/>
  <c r="I5" i="3"/>
  <c r="AA176" i="5"/>
  <c r="AB176" i="5" s="1"/>
  <c r="Y176" i="5"/>
  <c r="X176" i="5"/>
  <c r="U176" i="5"/>
  <c r="V176" i="5" s="1"/>
  <c r="Q176" i="5"/>
  <c r="S176" i="5" s="1"/>
  <c r="AA175" i="5"/>
  <c r="AB175" i="5" s="1"/>
  <c r="Y175" i="5"/>
  <c r="X175" i="5"/>
  <c r="U175" i="5"/>
  <c r="V175" i="5" s="1"/>
  <c r="Q175" i="5"/>
  <c r="S175" i="5" s="1"/>
  <c r="AA174" i="5"/>
  <c r="AB174" i="5" s="1"/>
  <c r="Y174" i="5"/>
  <c r="X174" i="5"/>
  <c r="U174" i="5"/>
  <c r="V174" i="5" s="1"/>
  <c r="Q174" i="5"/>
  <c r="S174" i="5" s="1"/>
  <c r="AA173" i="5"/>
  <c r="AB173" i="5" s="1"/>
  <c r="Y173" i="5"/>
  <c r="X173" i="5"/>
  <c r="U173" i="5"/>
  <c r="V173" i="5" s="1"/>
  <c r="Q173" i="5"/>
  <c r="S173" i="5" s="1"/>
  <c r="AA172" i="5"/>
  <c r="AB172" i="5" s="1"/>
  <c r="Y172" i="5"/>
  <c r="X172" i="5"/>
  <c r="U172" i="5"/>
  <c r="V172" i="5" s="1"/>
  <c r="Q172" i="5"/>
  <c r="S172" i="5" s="1"/>
  <c r="AA171" i="5"/>
  <c r="AB171" i="5" s="1"/>
  <c r="Y171" i="5"/>
  <c r="X171" i="5"/>
  <c r="U171" i="5"/>
  <c r="V171" i="5" s="1"/>
  <c r="Q171" i="5"/>
  <c r="S171" i="5" s="1"/>
  <c r="AA170" i="5"/>
  <c r="AB170" i="5" s="1"/>
  <c r="Y170" i="5"/>
  <c r="X170" i="5"/>
  <c r="U170" i="5"/>
  <c r="V170" i="5" s="1"/>
  <c r="Q170" i="5"/>
  <c r="S170" i="5" s="1"/>
  <c r="AA169" i="5"/>
  <c r="AB169" i="5" s="1"/>
  <c r="Y169" i="5"/>
  <c r="X169" i="5"/>
  <c r="U169" i="5"/>
  <c r="V169" i="5" s="1"/>
  <c r="Q169" i="5"/>
  <c r="S169" i="5" s="1"/>
  <c r="AA168" i="5"/>
  <c r="AB168" i="5" s="1"/>
  <c r="Y168" i="5"/>
  <c r="X168" i="5"/>
  <c r="U168" i="5"/>
  <c r="V168" i="5" s="1"/>
  <c r="Q168" i="5"/>
  <c r="S168" i="5" s="1"/>
  <c r="AA167" i="5"/>
  <c r="AB167" i="5" s="1"/>
  <c r="Y167" i="5"/>
  <c r="X167" i="5"/>
  <c r="U167" i="5"/>
  <c r="V167" i="5" s="1"/>
  <c r="Q167" i="5"/>
  <c r="S167" i="5" s="1"/>
  <c r="AA166" i="5"/>
  <c r="AB166" i="5" s="1"/>
  <c r="Y166" i="5"/>
  <c r="X166" i="5"/>
  <c r="U166" i="5"/>
  <c r="V166" i="5" s="1"/>
  <c r="Q166" i="5"/>
  <c r="S166" i="5" s="1"/>
  <c r="AA165" i="5"/>
  <c r="AB165" i="5" s="1"/>
  <c r="Y165" i="5"/>
  <c r="X165" i="5"/>
  <c r="U165" i="5"/>
  <c r="V165" i="5" s="1"/>
  <c r="Q165" i="5"/>
  <c r="S165" i="5" s="1"/>
  <c r="AA164" i="5"/>
  <c r="AB164" i="5" s="1"/>
  <c r="Y164" i="5"/>
  <c r="X164" i="5"/>
  <c r="U164" i="5"/>
  <c r="V164" i="5" s="1"/>
  <c r="Q164" i="5"/>
  <c r="S164" i="5" s="1"/>
  <c r="AA163" i="5"/>
  <c r="AB163" i="5" s="1"/>
  <c r="Y163" i="5"/>
  <c r="X163" i="5"/>
  <c r="U163" i="5"/>
  <c r="V163" i="5" s="1"/>
  <c r="Q163" i="5"/>
  <c r="S163" i="5" s="1"/>
  <c r="AA162" i="5"/>
  <c r="AB162" i="5" s="1"/>
  <c r="Y162" i="5"/>
  <c r="X162" i="5"/>
  <c r="U162" i="5"/>
  <c r="V162" i="5" s="1"/>
  <c r="Q162" i="5"/>
  <c r="S162" i="5" s="1"/>
  <c r="AA161" i="5"/>
  <c r="AB161" i="5" s="1"/>
  <c r="Y161" i="5"/>
  <c r="X161" i="5"/>
  <c r="U161" i="5"/>
  <c r="V161" i="5" s="1"/>
  <c r="Q161" i="5"/>
  <c r="S161" i="5" s="1"/>
  <c r="AA160" i="5"/>
  <c r="AB160" i="5" s="1"/>
  <c r="Y160" i="5"/>
  <c r="X160" i="5"/>
  <c r="U160" i="5"/>
  <c r="V160" i="5" s="1"/>
  <c r="Q160" i="5"/>
  <c r="S160" i="5" s="1"/>
  <c r="AA159" i="5"/>
  <c r="AB159" i="5" s="1"/>
  <c r="Y159" i="5"/>
  <c r="X159" i="5"/>
  <c r="U159" i="5"/>
  <c r="V159" i="5" s="1"/>
  <c r="Q159" i="5"/>
  <c r="S159" i="5" s="1"/>
  <c r="AA158" i="5"/>
  <c r="AB158" i="5" s="1"/>
  <c r="Y158" i="5"/>
  <c r="X158" i="5"/>
  <c r="U158" i="5"/>
  <c r="V158" i="5" s="1"/>
  <c r="Q158" i="5"/>
  <c r="S158" i="5" s="1"/>
  <c r="AA157" i="5"/>
  <c r="AB157" i="5" s="1"/>
  <c r="Y157" i="5"/>
  <c r="X157" i="5"/>
  <c r="U157" i="5"/>
  <c r="V157" i="5" s="1"/>
  <c r="Q157" i="5"/>
  <c r="S157" i="5" s="1"/>
  <c r="AA156" i="5"/>
  <c r="AB156" i="5" s="1"/>
  <c r="Y156" i="5"/>
  <c r="X156" i="5"/>
  <c r="U156" i="5"/>
  <c r="V156" i="5" s="1"/>
  <c r="Q156" i="5"/>
  <c r="S156" i="5" s="1"/>
  <c r="AA155" i="5"/>
  <c r="AB155" i="5" s="1"/>
  <c r="X155" i="5"/>
  <c r="Y155" i="5" s="1"/>
  <c r="U155" i="5"/>
  <c r="V155" i="5" s="1"/>
  <c r="Q155" i="5"/>
  <c r="S155" i="5" s="1"/>
  <c r="AA154" i="5"/>
  <c r="AB154" i="5" s="1"/>
  <c r="Y154" i="5"/>
  <c r="X154" i="5"/>
  <c r="U154" i="5"/>
  <c r="V154" i="5" s="1"/>
  <c r="Q154" i="5"/>
  <c r="S154" i="5" s="1"/>
  <c r="AA153" i="5"/>
  <c r="AB153" i="5" s="1"/>
  <c r="Y153" i="5"/>
  <c r="X153" i="5"/>
  <c r="U153" i="5"/>
  <c r="V153" i="5" s="1"/>
  <c r="Q153" i="5"/>
  <c r="S153" i="5" s="1"/>
  <c r="AA152" i="5"/>
  <c r="AB152" i="5" s="1"/>
  <c r="Y152" i="5"/>
  <c r="X152" i="5"/>
  <c r="U152" i="5"/>
  <c r="V152" i="5" s="1"/>
  <c r="Q152" i="5"/>
  <c r="S152" i="5" s="1"/>
  <c r="AA151" i="5"/>
  <c r="AB151" i="5" s="1"/>
  <c r="Y151" i="5"/>
  <c r="X151" i="5"/>
  <c r="U151" i="5"/>
  <c r="V151" i="5" s="1"/>
  <c r="Q151" i="5"/>
  <c r="S151" i="5" s="1"/>
  <c r="AA150" i="5"/>
  <c r="AB150" i="5" s="1"/>
  <c r="Y150" i="5"/>
  <c r="X150" i="5"/>
  <c r="U150" i="5"/>
  <c r="V150" i="5" s="1"/>
  <c r="Q150" i="5"/>
  <c r="S150" i="5" s="1"/>
  <c r="AA149" i="5"/>
  <c r="AB149" i="5" s="1"/>
  <c r="Y149" i="5"/>
  <c r="X149" i="5"/>
  <c r="U149" i="5"/>
  <c r="V149" i="5" s="1"/>
  <c r="Q149" i="5"/>
  <c r="S149" i="5" s="1"/>
  <c r="AA148" i="5"/>
  <c r="AB148" i="5" s="1"/>
  <c r="Y148" i="5"/>
  <c r="X148" i="5"/>
  <c r="U148" i="5"/>
  <c r="V148" i="5" s="1"/>
  <c r="Q148" i="5"/>
  <c r="S148" i="5" s="1"/>
  <c r="AA147" i="5"/>
  <c r="AB147" i="5" s="1"/>
  <c r="Y147" i="5"/>
  <c r="X147" i="5"/>
  <c r="U147" i="5"/>
  <c r="V147" i="5" s="1"/>
  <c r="Q147" i="5"/>
  <c r="S147" i="5" s="1"/>
  <c r="AA146" i="5"/>
  <c r="AB146" i="5" s="1"/>
  <c r="Y146" i="5"/>
  <c r="X146" i="5"/>
  <c r="U146" i="5"/>
  <c r="V146" i="5" s="1"/>
  <c r="Q146" i="5"/>
  <c r="S146" i="5" s="1"/>
  <c r="AA145" i="5"/>
  <c r="AB145" i="5" s="1"/>
  <c r="Y145" i="5"/>
  <c r="X145" i="5"/>
  <c r="U145" i="5"/>
  <c r="V145" i="5" s="1"/>
  <c r="Q145" i="5"/>
  <c r="S145" i="5" s="1"/>
  <c r="AA144" i="5"/>
  <c r="AB144" i="5" s="1"/>
  <c r="Y144" i="5"/>
  <c r="X144" i="5"/>
  <c r="U144" i="5"/>
  <c r="V144" i="5" s="1"/>
  <c r="Q144" i="5"/>
  <c r="S144" i="5" s="1"/>
  <c r="AA143" i="5"/>
  <c r="AB143" i="5" s="1"/>
  <c r="Y143" i="5"/>
  <c r="X143" i="5"/>
  <c r="U143" i="5"/>
  <c r="V143" i="5" s="1"/>
  <c r="Q143" i="5"/>
  <c r="S143" i="5" s="1"/>
  <c r="AA142" i="5"/>
  <c r="AB142" i="5" s="1"/>
  <c r="Y142" i="5"/>
  <c r="X142" i="5"/>
  <c r="U142" i="5"/>
  <c r="V142" i="5" s="1"/>
  <c r="Q142" i="5"/>
  <c r="S142" i="5" s="1"/>
  <c r="AA141" i="5"/>
  <c r="AB141" i="5" s="1"/>
  <c r="Y141" i="5"/>
  <c r="X141" i="5"/>
  <c r="U141" i="5"/>
  <c r="V141" i="5" s="1"/>
  <c r="Q141" i="5"/>
  <c r="S141" i="5" s="1"/>
  <c r="AA140" i="5"/>
  <c r="AB140" i="5" s="1"/>
  <c r="Y140" i="5"/>
  <c r="X140" i="5"/>
  <c r="U140" i="5"/>
  <c r="V140" i="5" s="1"/>
  <c r="Q140" i="5"/>
  <c r="S140" i="5" s="1"/>
  <c r="AA139" i="5"/>
  <c r="AB139" i="5" s="1"/>
  <c r="Y139" i="5"/>
  <c r="X139" i="5"/>
  <c r="U139" i="5"/>
  <c r="V139" i="5" s="1"/>
  <c r="Q139" i="5"/>
  <c r="S139" i="5" s="1"/>
  <c r="AA138" i="5"/>
  <c r="AB138" i="5" s="1"/>
  <c r="X138" i="5"/>
  <c r="Y138" i="5" s="1"/>
  <c r="U138" i="5"/>
  <c r="V138" i="5" s="1"/>
  <c r="Q138" i="5"/>
  <c r="S138" i="5" s="1"/>
  <c r="AA137" i="5"/>
  <c r="AB137" i="5" s="1"/>
  <c r="Y137" i="5"/>
  <c r="X137" i="5"/>
  <c r="U137" i="5"/>
  <c r="V137" i="5" s="1"/>
  <c r="Q137" i="5"/>
  <c r="S137" i="5" s="1"/>
  <c r="AA136" i="5"/>
  <c r="AB136" i="5" s="1"/>
  <c r="Y136" i="5"/>
  <c r="X136" i="5"/>
  <c r="U136" i="5"/>
  <c r="V136" i="5" s="1"/>
  <c r="Q136" i="5"/>
  <c r="S136" i="5" s="1"/>
  <c r="AA135" i="5"/>
  <c r="AB135" i="5" s="1"/>
  <c r="Y135" i="5"/>
  <c r="X135" i="5"/>
  <c r="U135" i="5"/>
  <c r="V135" i="5" s="1"/>
  <c r="Q135" i="5"/>
  <c r="S135" i="5" s="1"/>
  <c r="AA134" i="5"/>
  <c r="AB134" i="5" s="1"/>
  <c r="X134" i="5"/>
  <c r="Y134" i="5" s="1"/>
  <c r="U134" i="5"/>
  <c r="V134" i="5" s="1"/>
  <c r="Q134" i="5"/>
  <c r="S134" i="5" s="1"/>
  <c r="AA133" i="5"/>
  <c r="AB133" i="5" s="1"/>
  <c r="X133" i="5"/>
  <c r="Y133" i="5" s="1"/>
  <c r="U133" i="5"/>
  <c r="V133" i="5" s="1"/>
  <c r="Q133" i="5"/>
  <c r="S133" i="5" s="1"/>
  <c r="AA132" i="5"/>
  <c r="AB132" i="5" s="1"/>
  <c r="Y132" i="5"/>
  <c r="X132" i="5"/>
  <c r="U132" i="5"/>
  <c r="V132" i="5" s="1"/>
  <c r="Q132" i="5"/>
  <c r="S132" i="5" s="1"/>
  <c r="AA131" i="5"/>
  <c r="AB131" i="5" s="1"/>
  <c r="Y131" i="5"/>
  <c r="X131" i="5"/>
  <c r="U131" i="5"/>
  <c r="V131" i="5" s="1"/>
  <c r="Q131" i="5"/>
  <c r="S131" i="5" s="1"/>
  <c r="AA130" i="5"/>
  <c r="AB130" i="5" s="1"/>
  <c r="Y130" i="5"/>
  <c r="X130" i="5"/>
  <c r="U130" i="5"/>
  <c r="V130" i="5" s="1"/>
  <c r="Q130" i="5"/>
  <c r="S130" i="5" s="1"/>
  <c r="AA129" i="5"/>
  <c r="AB129" i="5" s="1"/>
  <c r="Y129" i="5"/>
  <c r="X129" i="5"/>
  <c r="U129" i="5"/>
  <c r="V129" i="5" s="1"/>
  <c r="Q129" i="5"/>
  <c r="S129" i="5" s="1"/>
  <c r="AA128" i="5"/>
  <c r="AB128" i="5" s="1"/>
  <c r="X128" i="5"/>
  <c r="Y128" i="5" s="1"/>
  <c r="U128" i="5"/>
  <c r="V128" i="5" s="1"/>
  <c r="Q128" i="5"/>
  <c r="S128" i="5" s="1"/>
  <c r="AA127" i="5"/>
  <c r="AB127" i="5" s="1"/>
  <c r="Y127" i="5"/>
  <c r="X127" i="5"/>
  <c r="U127" i="5"/>
  <c r="V127" i="5" s="1"/>
  <c r="Q127" i="5"/>
  <c r="S127" i="5" s="1"/>
  <c r="AA126" i="5"/>
  <c r="AB126" i="5" s="1"/>
  <c r="X126" i="5"/>
  <c r="Y126" i="5" s="1"/>
  <c r="U126" i="5"/>
  <c r="V126" i="5" s="1"/>
  <c r="Q126" i="5"/>
  <c r="S126" i="5" s="1"/>
  <c r="AA125" i="5"/>
  <c r="AB125" i="5" s="1"/>
  <c r="Y125" i="5"/>
  <c r="X125" i="5"/>
  <c r="U125" i="5"/>
  <c r="V125" i="5" s="1"/>
  <c r="Q125" i="5"/>
  <c r="S125" i="5" s="1"/>
  <c r="AA124" i="5"/>
  <c r="AB124" i="5" s="1"/>
  <c r="X124" i="5"/>
  <c r="Y124" i="5" s="1"/>
  <c r="U124" i="5"/>
  <c r="V124" i="5" s="1"/>
  <c r="Q124" i="5"/>
  <c r="S124" i="5" s="1"/>
  <c r="AA123" i="5"/>
  <c r="AB123" i="5" s="1"/>
  <c r="X123" i="5"/>
  <c r="Y123" i="5" s="1"/>
  <c r="U123" i="5"/>
  <c r="V123" i="5" s="1"/>
  <c r="Q123" i="5"/>
  <c r="S123" i="5" s="1"/>
  <c r="AA122" i="5"/>
  <c r="AB122" i="5" s="1"/>
  <c r="X122" i="5"/>
  <c r="Y122" i="5" s="1"/>
  <c r="U122" i="5"/>
  <c r="V122" i="5" s="1"/>
  <c r="Q122" i="5"/>
  <c r="S122" i="5" s="1"/>
  <c r="AA121" i="5"/>
  <c r="AB121" i="5" s="1"/>
  <c r="Y121" i="5"/>
  <c r="X121" i="5"/>
  <c r="U121" i="5"/>
  <c r="V121" i="5" s="1"/>
  <c r="Q121" i="5"/>
  <c r="S121" i="5" s="1"/>
  <c r="AA120" i="5"/>
  <c r="AB120" i="5" s="1"/>
  <c r="Y120" i="5"/>
  <c r="X120" i="5"/>
  <c r="U120" i="5"/>
  <c r="V120" i="5" s="1"/>
  <c r="Q120" i="5"/>
  <c r="S120" i="5" s="1"/>
  <c r="AA119" i="5"/>
  <c r="AB119" i="5" s="1"/>
  <c r="Y119" i="5"/>
  <c r="X119" i="5"/>
  <c r="U119" i="5"/>
  <c r="V119" i="5" s="1"/>
  <c r="Q119" i="5"/>
  <c r="S119" i="5" s="1"/>
  <c r="AA118" i="5"/>
  <c r="AB118" i="5" s="1"/>
  <c r="Y118" i="5"/>
  <c r="X118" i="5"/>
  <c r="U118" i="5"/>
  <c r="V118" i="5" s="1"/>
  <c r="Q118" i="5"/>
  <c r="S118" i="5" s="1"/>
  <c r="AA117" i="5"/>
  <c r="AB117" i="5" s="1"/>
  <c r="Y117" i="5"/>
  <c r="X117" i="5"/>
  <c r="U117" i="5"/>
  <c r="V117" i="5" s="1"/>
  <c r="Q117" i="5"/>
  <c r="S117" i="5" s="1"/>
  <c r="AA116" i="5"/>
  <c r="AB116" i="5" s="1"/>
  <c r="Y116" i="5"/>
  <c r="X116" i="5"/>
  <c r="U116" i="5"/>
  <c r="V116" i="5" s="1"/>
  <c r="Q116" i="5"/>
  <c r="S116" i="5" s="1"/>
  <c r="AA115" i="5"/>
  <c r="AB115" i="5" s="1"/>
  <c r="X115" i="5"/>
  <c r="Y115" i="5" s="1"/>
  <c r="U115" i="5"/>
  <c r="V115" i="5" s="1"/>
  <c r="Q115" i="5"/>
  <c r="S115" i="5" s="1"/>
  <c r="AA114" i="5"/>
  <c r="AB114" i="5" s="1"/>
  <c r="Y114" i="5"/>
  <c r="X114" i="5"/>
  <c r="U114" i="5"/>
  <c r="V114" i="5" s="1"/>
  <c r="Q114" i="5"/>
  <c r="S114" i="5" s="1"/>
  <c r="AA113" i="5"/>
  <c r="AB113" i="5" s="1"/>
  <c r="Y113" i="5"/>
  <c r="X113" i="5"/>
  <c r="U113" i="5"/>
  <c r="V113" i="5" s="1"/>
  <c r="Q113" i="5"/>
  <c r="S113" i="5" s="1"/>
  <c r="AA112" i="5"/>
  <c r="AB112" i="5" s="1"/>
  <c r="Y112" i="5"/>
  <c r="X112" i="5"/>
  <c r="U112" i="5"/>
  <c r="V112" i="5" s="1"/>
  <c r="Q112" i="5"/>
  <c r="S112" i="5" s="1"/>
  <c r="AA111" i="5"/>
  <c r="AB111" i="5" s="1"/>
  <c r="Y111" i="5"/>
  <c r="X111" i="5"/>
  <c r="U111" i="5"/>
  <c r="V111" i="5" s="1"/>
  <c r="Q111" i="5"/>
  <c r="S111" i="5" s="1"/>
  <c r="AA110" i="5"/>
  <c r="AB110" i="5" s="1"/>
  <c r="Y110" i="5"/>
  <c r="X110" i="5"/>
  <c r="U110" i="5"/>
  <c r="V110" i="5" s="1"/>
  <c r="Q110" i="5"/>
  <c r="S110" i="5" s="1"/>
  <c r="AA109" i="5"/>
  <c r="AB109" i="5" s="1"/>
  <c r="Y109" i="5"/>
  <c r="X109" i="5"/>
  <c r="U109" i="5"/>
  <c r="V109" i="5" s="1"/>
  <c r="Q109" i="5"/>
  <c r="S109" i="5" s="1"/>
  <c r="AA108" i="5"/>
  <c r="AB108" i="5" s="1"/>
  <c r="Y108" i="5"/>
  <c r="X108" i="5"/>
  <c r="U108" i="5"/>
  <c r="V108" i="5" s="1"/>
  <c r="Q108" i="5"/>
  <c r="S108" i="5" s="1"/>
  <c r="AA107" i="5"/>
  <c r="AB107" i="5" s="1"/>
  <c r="Y107" i="5"/>
  <c r="X107" i="5"/>
  <c r="U107" i="5"/>
  <c r="V107" i="5" s="1"/>
  <c r="Q107" i="5"/>
  <c r="S107" i="5" s="1"/>
  <c r="AA106" i="5"/>
  <c r="AB106" i="5" s="1"/>
  <c r="Y106" i="5"/>
  <c r="X106" i="5"/>
  <c r="U106" i="5"/>
  <c r="V106" i="5" s="1"/>
  <c r="Q106" i="5"/>
  <c r="S106" i="5" s="1"/>
  <c r="AA105" i="5"/>
  <c r="AB105" i="5" s="1"/>
  <c r="Y105" i="5"/>
  <c r="X105" i="5"/>
  <c r="U105" i="5"/>
  <c r="V105" i="5" s="1"/>
  <c r="Q105" i="5"/>
  <c r="S105" i="5" s="1"/>
  <c r="AA104" i="5"/>
  <c r="AB104" i="5" s="1"/>
  <c r="Y104" i="5"/>
  <c r="X104" i="5"/>
  <c r="U104" i="5"/>
  <c r="V104" i="5" s="1"/>
  <c r="Q104" i="5"/>
  <c r="S104" i="5" s="1"/>
  <c r="AA103" i="5"/>
  <c r="AB103" i="5" s="1"/>
  <c r="Y103" i="5"/>
  <c r="X103" i="5"/>
  <c r="U103" i="5"/>
  <c r="V103" i="5" s="1"/>
  <c r="Q103" i="5"/>
  <c r="S103" i="5" s="1"/>
  <c r="AA102" i="5"/>
  <c r="AB102" i="5" s="1"/>
  <c r="Y102" i="5"/>
  <c r="X102" i="5"/>
  <c r="U102" i="5"/>
  <c r="V102" i="5" s="1"/>
  <c r="Q102" i="5"/>
  <c r="S102" i="5" s="1"/>
  <c r="AA101" i="5"/>
  <c r="AB101" i="5" s="1"/>
  <c r="X101" i="5"/>
  <c r="Y101" i="5" s="1"/>
  <c r="U101" i="5"/>
  <c r="V101" i="5" s="1"/>
  <c r="Q101" i="5"/>
  <c r="S101" i="5" s="1"/>
  <c r="AA100" i="5"/>
  <c r="AB100" i="5" s="1"/>
  <c r="X100" i="5"/>
  <c r="Y100" i="5" s="1"/>
  <c r="U100" i="5"/>
  <c r="V100" i="5" s="1"/>
  <c r="Q100" i="5"/>
  <c r="S100" i="5" s="1"/>
  <c r="AA99" i="5"/>
  <c r="AB99" i="5" s="1"/>
  <c r="X99" i="5"/>
  <c r="Y99" i="5" s="1"/>
  <c r="U99" i="5"/>
  <c r="V99" i="5" s="1"/>
  <c r="Q99" i="5"/>
  <c r="S99" i="5" s="1"/>
  <c r="AA98" i="5"/>
  <c r="AB98" i="5" s="1"/>
  <c r="X98" i="5"/>
  <c r="Y98" i="5" s="1"/>
  <c r="U98" i="5"/>
  <c r="V98" i="5" s="1"/>
  <c r="Q98" i="5"/>
  <c r="S98" i="5" s="1"/>
  <c r="AA97" i="5"/>
  <c r="AB97" i="5" s="1"/>
  <c r="X97" i="5"/>
  <c r="Y97" i="5" s="1"/>
  <c r="U97" i="5"/>
  <c r="V97" i="5" s="1"/>
  <c r="Q97" i="5"/>
  <c r="S97" i="5" s="1"/>
  <c r="AA96" i="5"/>
  <c r="AB96" i="5" s="1"/>
  <c r="X96" i="5"/>
  <c r="Y96" i="5" s="1"/>
  <c r="U96" i="5"/>
  <c r="V96" i="5" s="1"/>
  <c r="Q96" i="5"/>
  <c r="S96" i="5" s="1"/>
  <c r="AA95" i="5"/>
  <c r="AB95" i="5" s="1"/>
  <c r="X95" i="5"/>
  <c r="Y95" i="5" s="1"/>
  <c r="U95" i="5"/>
  <c r="V95" i="5" s="1"/>
  <c r="Q95" i="5"/>
  <c r="S95" i="5" s="1"/>
  <c r="AA94" i="5"/>
  <c r="AB94" i="5" s="1"/>
  <c r="X94" i="5"/>
  <c r="Y94" i="5" s="1"/>
  <c r="U94" i="5"/>
  <c r="V94" i="5" s="1"/>
  <c r="Q94" i="5"/>
  <c r="S94" i="5" s="1"/>
  <c r="AA93" i="5"/>
  <c r="AB93" i="5" s="1"/>
  <c r="X93" i="5"/>
  <c r="Y93" i="5" s="1"/>
  <c r="U93" i="5"/>
  <c r="V93" i="5" s="1"/>
  <c r="Q93" i="5"/>
  <c r="S93" i="5" s="1"/>
  <c r="AA92" i="5"/>
  <c r="AB92" i="5" s="1"/>
  <c r="X92" i="5"/>
  <c r="Y92" i="5" s="1"/>
  <c r="U92" i="5"/>
  <c r="V92" i="5" s="1"/>
  <c r="Q92" i="5"/>
  <c r="S92" i="5" s="1"/>
  <c r="AA91" i="5"/>
  <c r="AB91" i="5" s="1"/>
  <c r="X91" i="5"/>
  <c r="Y91" i="5" s="1"/>
  <c r="U91" i="5"/>
  <c r="V91" i="5" s="1"/>
  <c r="Q91" i="5"/>
  <c r="S91" i="5" s="1"/>
  <c r="AA90" i="5"/>
  <c r="AB90" i="5" s="1"/>
  <c r="X90" i="5"/>
  <c r="Y90" i="5" s="1"/>
  <c r="U90" i="5"/>
  <c r="V90" i="5" s="1"/>
  <c r="Q90" i="5"/>
  <c r="S90" i="5" s="1"/>
  <c r="AA89" i="5"/>
  <c r="AB89" i="5" s="1"/>
  <c r="X89" i="5"/>
  <c r="Y89" i="5" s="1"/>
  <c r="U89" i="5"/>
  <c r="V89" i="5" s="1"/>
  <c r="Q89" i="5"/>
  <c r="S89" i="5" s="1"/>
  <c r="AA88" i="5"/>
  <c r="AB88" i="5" s="1"/>
  <c r="X88" i="5"/>
  <c r="Y88" i="5" s="1"/>
  <c r="U88" i="5"/>
  <c r="V88" i="5" s="1"/>
  <c r="Q88" i="5"/>
  <c r="S88" i="5" s="1"/>
  <c r="AA87" i="5"/>
  <c r="AB87" i="5" s="1"/>
  <c r="X87" i="5"/>
  <c r="Y87" i="5" s="1"/>
  <c r="U87" i="5"/>
  <c r="V87" i="5" s="1"/>
  <c r="Q87" i="5"/>
  <c r="S87" i="5" s="1"/>
  <c r="AA86" i="5"/>
  <c r="AB86" i="5" s="1"/>
  <c r="X86" i="5"/>
  <c r="Y86" i="5" s="1"/>
  <c r="U86" i="5"/>
  <c r="V86" i="5" s="1"/>
  <c r="Q86" i="5"/>
  <c r="S86" i="5" s="1"/>
  <c r="AA85" i="5"/>
  <c r="AB85" i="5" s="1"/>
  <c r="Y85" i="5"/>
  <c r="X85" i="5"/>
  <c r="U85" i="5"/>
  <c r="V85" i="5" s="1"/>
  <c r="Q85" i="5"/>
  <c r="S85" i="5" s="1"/>
  <c r="AA84" i="5"/>
  <c r="AB84" i="5" s="1"/>
  <c r="Y84" i="5"/>
  <c r="X84" i="5"/>
  <c r="U84" i="5"/>
  <c r="V84" i="5" s="1"/>
  <c r="Q84" i="5"/>
  <c r="S84" i="5" s="1"/>
  <c r="AA83" i="5"/>
  <c r="AB83" i="5" s="1"/>
  <c r="Y83" i="5"/>
  <c r="X83" i="5"/>
  <c r="U83" i="5"/>
  <c r="V83" i="5" s="1"/>
  <c r="Q83" i="5"/>
  <c r="S83" i="5" s="1"/>
  <c r="AA82" i="5"/>
  <c r="AB82" i="5" s="1"/>
  <c r="Y82" i="5"/>
  <c r="X82" i="5"/>
  <c r="U82" i="5"/>
  <c r="V82" i="5" s="1"/>
  <c r="Q82" i="5"/>
  <c r="S82" i="5" s="1"/>
  <c r="AA81" i="5"/>
  <c r="AB81" i="5" s="1"/>
  <c r="Y81" i="5"/>
  <c r="X81" i="5"/>
  <c r="U81" i="5"/>
  <c r="V81" i="5" s="1"/>
  <c r="Q81" i="5"/>
  <c r="S81" i="5" s="1"/>
  <c r="AA80" i="5"/>
  <c r="AB80" i="5" s="1"/>
  <c r="Y80" i="5"/>
  <c r="X80" i="5"/>
  <c r="U80" i="5"/>
  <c r="V80" i="5" s="1"/>
  <c r="Q80" i="5"/>
  <c r="S80" i="5" s="1"/>
  <c r="AA79" i="5"/>
  <c r="AB79" i="5" s="1"/>
  <c r="Y79" i="5"/>
  <c r="X79" i="5"/>
  <c r="U79" i="5"/>
  <c r="V79" i="5" s="1"/>
  <c r="Q79" i="5"/>
  <c r="S79" i="5" s="1"/>
  <c r="AA78" i="5"/>
  <c r="AB78" i="5" s="1"/>
  <c r="Y78" i="5"/>
  <c r="X78" i="5"/>
  <c r="U78" i="5"/>
  <c r="V78" i="5" s="1"/>
  <c r="Q78" i="5"/>
  <c r="S78" i="5" s="1"/>
  <c r="AA77" i="5"/>
  <c r="AB77" i="5" s="1"/>
  <c r="Y77" i="5"/>
  <c r="X77" i="5"/>
  <c r="U77" i="5"/>
  <c r="V77" i="5" s="1"/>
  <c r="Q77" i="5"/>
  <c r="S77" i="5" s="1"/>
  <c r="AA76" i="5"/>
  <c r="AB76" i="5" s="1"/>
  <c r="Y76" i="5"/>
  <c r="X76" i="5"/>
  <c r="U76" i="5"/>
  <c r="V76" i="5" s="1"/>
  <c r="Q76" i="5"/>
  <c r="S76" i="5" s="1"/>
  <c r="AA75" i="5"/>
  <c r="AB75" i="5" s="1"/>
  <c r="Y75" i="5"/>
  <c r="X75" i="5"/>
  <c r="U75" i="5"/>
  <c r="V75" i="5" s="1"/>
  <c r="Q75" i="5"/>
  <c r="S75" i="5" s="1"/>
  <c r="AA74" i="5"/>
  <c r="AB74" i="5" s="1"/>
  <c r="Y74" i="5"/>
  <c r="X74" i="5"/>
  <c r="U74" i="5"/>
  <c r="V74" i="5" s="1"/>
  <c r="Q74" i="5"/>
  <c r="S74" i="5" s="1"/>
  <c r="AA73" i="5"/>
  <c r="AB73" i="5" s="1"/>
  <c r="Y73" i="5"/>
  <c r="X73" i="5"/>
  <c r="U73" i="5"/>
  <c r="V73" i="5" s="1"/>
  <c r="Q73" i="5"/>
  <c r="S73" i="5" s="1"/>
  <c r="AA72" i="5"/>
  <c r="AB72" i="5" s="1"/>
  <c r="Y72" i="5"/>
  <c r="X72" i="5"/>
  <c r="U72" i="5"/>
  <c r="V72" i="5" s="1"/>
  <c r="Q72" i="5"/>
  <c r="S72" i="5" s="1"/>
  <c r="AA71" i="5"/>
  <c r="AB71" i="5" s="1"/>
  <c r="Y71" i="5"/>
  <c r="X71" i="5"/>
  <c r="U71" i="5"/>
  <c r="V71" i="5" s="1"/>
  <c r="Q71" i="5"/>
  <c r="S71" i="5" s="1"/>
  <c r="AA70" i="5"/>
  <c r="AB70" i="5" s="1"/>
  <c r="Y70" i="5"/>
  <c r="X70" i="5"/>
  <c r="U70" i="5"/>
  <c r="V70" i="5" s="1"/>
  <c r="Q70" i="5"/>
  <c r="S70" i="5" s="1"/>
  <c r="AA69" i="5"/>
  <c r="AB69" i="5" s="1"/>
  <c r="Y69" i="5"/>
  <c r="X69" i="5"/>
  <c r="U69" i="5"/>
  <c r="V69" i="5" s="1"/>
  <c r="Q69" i="5"/>
  <c r="S69" i="5" s="1"/>
  <c r="AA68" i="5"/>
  <c r="AB68" i="5" s="1"/>
  <c r="X68" i="5"/>
  <c r="Y68" i="5" s="1"/>
  <c r="U68" i="5"/>
  <c r="V68" i="5" s="1"/>
  <c r="Q68" i="5"/>
  <c r="S68" i="5" s="1"/>
  <c r="AA67" i="5"/>
  <c r="AB67" i="5" s="1"/>
  <c r="X67" i="5"/>
  <c r="Y67" i="5" s="1"/>
  <c r="U67" i="5"/>
  <c r="V67" i="5" s="1"/>
  <c r="Q67" i="5"/>
  <c r="S67" i="5" s="1"/>
  <c r="AA66" i="5"/>
  <c r="AB66" i="5" s="1"/>
  <c r="Y66" i="5"/>
  <c r="X66" i="5"/>
  <c r="U66" i="5"/>
  <c r="V66" i="5" s="1"/>
  <c r="Q66" i="5"/>
  <c r="S66" i="5" s="1"/>
  <c r="AA65" i="5"/>
  <c r="AB65" i="5" s="1"/>
  <c r="Y65" i="5"/>
  <c r="X65" i="5"/>
  <c r="U65" i="5"/>
  <c r="V65" i="5" s="1"/>
  <c r="Q65" i="5"/>
  <c r="S65" i="5" s="1"/>
  <c r="AA64" i="5"/>
  <c r="AB64" i="5" s="1"/>
  <c r="X64" i="5"/>
  <c r="Y64" i="5" s="1"/>
  <c r="U64" i="5"/>
  <c r="V64" i="5" s="1"/>
  <c r="Q64" i="5"/>
  <c r="S64" i="5" s="1"/>
  <c r="AA63" i="5"/>
  <c r="AB63" i="5" s="1"/>
  <c r="Y63" i="5"/>
  <c r="X63" i="5"/>
  <c r="U63" i="5"/>
  <c r="V63" i="5" s="1"/>
  <c r="Q63" i="5"/>
  <c r="S63" i="5" s="1"/>
  <c r="AA62" i="5"/>
  <c r="AB62" i="5" s="1"/>
  <c r="Y62" i="5"/>
  <c r="X62" i="5"/>
  <c r="U62" i="5"/>
  <c r="V62" i="5" s="1"/>
  <c r="Q62" i="5"/>
  <c r="S62" i="5" s="1"/>
  <c r="AA61" i="5"/>
  <c r="AB61" i="5" s="1"/>
  <c r="X61" i="5"/>
  <c r="Y61" i="5" s="1"/>
  <c r="U61" i="5"/>
  <c r="V61" i="5" s="1"/>
  <c r="Q61" i="5"/>
  <c r="S61" i="5" s="1"/>
  <c r="AA60" i="5"/>
  <c r="AB60" i="5" s="1"/>
  <c r="Y60" i="5"/>
  <c r="X60" i="5"/>
  <c r="U60" i="5"/>
  <c r="V60" i="5" s="1"/>
  <c r="Q60" i="5"/>
  <c r="S60" i="5" s="1"/>
  <c r="AA59" i="5"/>
  <c r="AB59" i="5" s="1"/>
  <c r="Y59" i="5"/>
  <c r="X59" i="5"/>
  <c r="U59" i="5"/>
  <c r="V59" i="5" s="1"/>
  <c r="Q59" i="5"/>
  <c r="S59" i="5" s="1"/>
  <c r="AA58" i="5"/>
  <c r="AB58" i="5" s="1"/>
  <c r="Y58" i="5"/>
  <c r="X58" i="5"/>
  <c r="U58" i="5"/>
  <c r="V58" i="5" s="1"/>
  <c r="Q58" i="5"/>
  <c r="S58" i="5" s="1"/>
  <c r="AA57" i="5"/>
  <c r="AB57" i="5" s="1"/>
  <c r="Y57" i="5"/>
  <c r="X57" i="5"/>
  <c r="U57" i="5"/>
  <c r="V57" i="5" s="1"/>
  <c r="Q57" i="5"/>
  <c r="S57" i="5" s="1"/>
  <c r="AA56" i="5"/>
  <c r="AB56" i="5" s="1"/>
  <c r="Y56" i="5"/>
  <c r="X56" i="5"/>
  <c r="U56" i="5"/>
  <c r="V56" i="5" s="1"/>
  <c r="Q56" i="5"/>
  <c r="S56" i="5" s="1"/>
  <c r="AA55" i="5"/>
  <c r="AB55" i="5" s="1"/>
  <c r="Y55" i="5"/>
  <c r="X55" i="5"/>
  <c r="U55" i="5"/>
  <c r="V55" i="5" s="1"/>
  <c r="Q55" i="5"/>
  <c r="S55" i="5" s="1"/>
  <c r="AA54" i="5"/>
  <c r="AB54" i="5" s="1"/>
  <c r="Y54" i="5"/>
  <c r="X54" i="5"/>
  <c r="U54" i="5"/>
  <c r="V54" i="5" s="1"/>
  <c r="Q54" i="5"/>
  <c r="S54" i="5" s="1"/>
  <c r="AA53" i="5"/>
  <c r="AB53" i="5" s="1"/>
  <c r="Y53" i="5"/>
  <c r="X53" i="5"/>
  <c r="U53" i="5"/>
  <c r="V53" i="5" s="1"/>
  <c r="Q53" i="5"/>
  <c r="S53" i="5" s="1"/>
  <c r="AA52" i="5"/>
  <c r="AB52" i="5" s="1"/>
  <c r="Y52" i="5"/>
  <c r="X52" i="5"/>
  <c r="U52" i="5"/>
  <c r="V52" i="5" s="1"/>
  <c r="Q52" i="5"/>
  <c r="S52" i="5" s="1"/>
  <c r="AA51" i="5"/>
  <c r="AB51" i="5" s="1"/>
  <c r="Y51" i="5"/>
  <c r="X51" i="5"/>
  <c r="U51" i="5"/>
  <c r="V51" i="5" s="1"/>
  <c r="Q51" i="5"/>
  <c r="S51" i="5" s="1"/>
  <c r="AA50" i="5"/>
  <c r="AB50" i="5" s="1"/>
  <c r="Y50" i="5"/>
  <c r="X50" i="5"/>
  <c r="U50" i="5"/>
  <c r="V50" i="5" s="1"/>
  <c r="Q50" i="5"/>
  <c r="S50" i="5" s="1"/>
  <c r="AA49" i="5"/>
  <c r="AB49" i="5" s="1"/>
  <c r="Y49" i="5"/>
  <c r="X49" i="5"/>
  <c r="U49" i="5"/>
  <c r="V49" i="5" s="1"/>
  <c r="Q49" i="5"/>
  <c r="S49" i="5" s="1"/>
  <c r="AA48" i="5"/>
  <c r="AB48" i="5" s="1"/>
  <c r="Y48" i="5"/>
  <c r="X48" i="5"/>
  <c r="U48" i="5"/>
  <c r="V48" i="5" s="1"/>
  <c r="Q48" i="5"/>
  <c r="S48" i="5" s="1"/>
  <c r="AA47" i="5"/>
  <c r="AB47" i="5" s="1"/>
  <c r="Y47" i="5"/>
  <c r="X47" i="5"/>
  <c r="U47" i="5"/>
  <c r="V47" i="5" s="1"/>
  <c r="Q47" i="5"/>
  <c r="S47" i="5" s="1"/>
  <c r="AA46" i="5"/>
  <c r="AB46" i="5" s="1"/>
  <c r="X46" i="5"/>
  <c r="Y46" i="5" s="1"/>
  <c r="U46" i="5"/>
  <c r="V46" i="5" s="1"/>
  <c r="Q46" i="5"/>
  <c r="S46" i="5" s="1"/>
  <c r="AA45" i="5"/>
  <c r="AB45" i="5" s="1"/>
  <c r="Y45" i="5"/>
  <c r="X45" i="5"/>
  <c r="U45" i="5"/>
  <c r="V45" i="5" s="1"/>
  <c r="Q45" i="5"/>
  <c r="S45" i="5" s="1"/>
  <c r="AA44" i="5"/>
  <c r="AB44" i="5" s="1"/>
  <c r="Y44" i="5"/>
  <c r="X44" i="5"/>
  <c r="U44" i="5"/>
  <c r="V44" i="5" s="1"/>
  <c r="Q44" i="5"/>
  <c r="S44" i="5" s="1"/>
  <c r="AA43" i="5"/>
  <c r="AB43" i="5" s="1"/>
  <c r="Y43" i="5"/>
  <c r="X43" i="5"/>
  <c r="U43" i="5"/>
  <c r="V43" i="5" s="1"/>
  <c r="Q43" i="5"/>
  <c r="S43" i="5" s="1"/>
  <c r="AA42" i="5"/>
  <c r="AB42" i="5" s="1"/>
  <c r="Y42" i="5"/>
  <c r="X42" i="5"/>
  <c r="U42" i="5"/>
  <c r="V42" i="5" s="1"/>
  <c r="Q42" i="5"/>
  <c r="S42" i="5" s="1"/>
  <c r="AA41" i="5"/>
  <c r="AB41" i="5" s="1"/>
  <c r="Y41" i="5"/>
  <c r="X41" i="5"/>
  <c r="U41" i="5"/>
  <c r="V41" i="5" s="1"/>
  <c r="Q41" i="5"/>
  <c r="S41" i="5" s="1"/>
  <c r="AA40" i="5"/>
  <c r="AB40" i="5" s="1"/>
  <c r="Y40" i="5"/>
  <c r="X40" i="5"/>
  <c r="U40" i="5"/>
  <c r="V40" i="5" s="1"/>
  <c r="Q40" i="5"/>
  <c r="S40" i="5" s="1"/>
  <c r="AA39" i="5"/>
  <c r="AB39" i="5" s="1"/>
  <c r="Y39" i="5"/>
  <c r="X39" i="5"/>
  <c r="U39" i="5"/>
  <c r="V39" i="5" s="1"/>
  <c r="Q39" i="5"/>
  <c r="S39" i="5" s="1"/>
  <c r="AA38" i="5"/>
  <c r="AB38" i="5" s="1"/>
  <c r="Y38" i="5"/>
  <c r="X38" i="5"/>
  <c r="U38" i="5"/>
  <c r="V38" i="5" s="1"/>
  <c r="Q38" i="5"/>
  <c r="S38" i="5" s="1"/>
  <c r="AA37" i="5"/>
  <c r="AB37" i="5" s="1"/>
  <c r="Y37" i="5"/>
  <c r="X37" i="5"/>
  <c r="U37" i="5"/>
  <c r="V37" i="5" s="1"/>
  <c r="Q37" i="5"/>
  <c r="S37" i="5" s="1"/>
  <c r="AA36" i="5"/>
  <c r="AB36" i="5" s="1"/>
  <c r="Y36" i="5"/>
  <c r="X36" i="5"/>
  <c r="U36" i="5"/>
  <c r="V36" i="5" s="1"/>
  <c r="Q36" i="5"/>
  <c r="S36" i="5" s="1"/>
  <c r="AA35" i="5"/>
  <c r="AB35" i="5" s="1"/>
  <c r="Y35" i="5"/>
  <c r="X35" i="5"/>
  <c r="U35" i="5"/>
  <c r="V35" i="5" s="1"/>
  <c r="Q35" i="5"/>
  <c r="S35" i="5" s="1"/>
  <c r="AA34" i="5"/>
  <c r="AB34" i="5" s="1"/>
  <c r="X34" i="5"/>
  <c r="Y34" i="5" s="1"/>
  <c r="U34" i="5"/>
  <c r="V34" i="5" s="1"/>
  <c r="Q34" i="5"/>
  <c r="S34" i="5" s="1"/>
  <c r="AA33" i="5"/>
  <c r="AB33" i="5" s="1"/>
  <c r="Y33" i="5"/>
  <c r="X33" i="5"/>
  <c r="U33" i="5"/>
  <c r="V33" i="5" s="1"/>
  <c r="Q33" i="5"/>
  <c r="S33" i="5" s="1"/>
  <c r="AA32" i="5"/>
  <c r="AB32" i="5" s="1"/>
  <c r="Y32" i="5"/>
  <c r="X32" i="5"/>
  <c r="U32" i="5"/>
  <c r="V32" i="5" s="1"/>
  <c r="Q32" i="5"/>
  <c r="S32" i="5" s="1"/>
  <c r="AA31" i="5"/>
  <c r="AB31" i="5" s="1"/>
  <c r="Y31" i="5"/>
  <c r="X31" i="5"/>
  <c r="U31" i="5"/>
  <c r="V31" i="5" s="1"/>
  <c r="Q31" i="5"/>
  <c r="S31" i="5" s="1"/>
  <c r="AA30" i="5"/>
  <c r="AB30" i="5" s="1"/>
  <c r="X30" i="5"/>
  <c r="Y30" i="5" s="1"/>
  <c r="U30" i="5"/>
  <c r="V30" i="5" s="1"/>
  <c r="Q30" i="5"/>
  <c r="S30" i="5" s="1"/>
  <c r="AA29" i="5"/>
  <c r="AB29" i="5" s="1"/>
  <c r="Y29" i="5"/>
  <c r="X29" i="5"/>
  <c r="U29" i="5"/>
  <c r="V29" i="5" s="1"/>
  <c r="Q29" i="5"/>
  <c r="S29" i="5" s="1"/>
  <c r="AA28" i="5"/>
  <c r="AB28" i="5" s="1"/>
  <c r="Y28" i="5"/>
  <c r="X28" i="5"/>
  <c r="U28" i="5"/>
  <c r="V28" i="5" s="1"/>
  <c r="Q28" i="5"/>
  <c r="S28" i="5" s="1"/>
  <c r="AA27" i="5"/>
  <c r="AB27" i="5" s="1"/>
  <c r="Y27" i="5"/>
  <c r="X27" i="5"/>
  <c r="U27" i="5"/>
  <c r="V27" i="5" s="1"/>
  <c r="Q27" i="5"/>
  <c r="S27" i="5" s="1"/>
  <c r="AA26" i="5"/>
  <c r="AB26" i="5" s="1"/>
  <c r="Y26" i="5"/>
  <c r="X26" i="5"/>
  <c r="U26" i="5"/>
  <c r="V26" i="5" s="1"/>
  <c r="Q26" i="5"/>
  <c r="S26" i="5" s="1"/>
  <c r="AA25" i="5"/>
  <c r="AB25" i="5" s="1"/>
  <c r="X25" i="5"/>
  <c r="Y25" i="5" s="1"/>
  <c r="U25" i="5"/>
  <c r="V25" i="5" s="1"/>
  <c r="Q25" i="5"/>
  <c r="S25" i="5" s="1"/>
  <c r="AA24" i="5"/>
  <c r="AB24" i="5" s="1"/>
  <c r="Y24" i="5"/>
  <c r="X24" i="5"/>
  <c r="U24" i="5"/>
  <c r="V24" i="5" s="1"/>
  <c r="Q24" i="5"/>
  <c r="S24" i="5" s="1"/>
  <c r="AA23" i="5"/>
  <c r="AB23" i="5" s="1"/>
  <c r="Y23" i="5"/>
  <c r="X23" i="5"/>
  <c r="U23" i="5"/>
  <c r="V23" i="5" s="1"/>
  <c r="Q23" i="5"/>
  <c r="S23" i="5" s="1"/>
  <c r="AA22" i="5"/>
  <c r="AB22" i="5" s="1"/>
  <c r="Y22" i="5"/>
  <c r="X22" i="5"/>
  <c r="U22" i="5"/>
  <c r="V22" i="5" s="1"/>
  <c r="Q22" i="5"/>
  <c r="S22" i="5" s="1"/>
  <c r="AA21" i="5"/>
  <c r="AB21" i="5" s="1"/>
  <c r="Y21" i="5"/>
  <c r="X21" i="5"/>
  <c r="U21" i="5"/>
  <c r="V21" i="5" s="1"/>
  <c r="Q21" i="5"/>
  <c r="S21" i="5" s="1"/>
  <c r="AA20" i="5"/>
  <c r="AB20" i="5" s="1"/>
  <c r="Y20" i="5"/>
  <c r="X20" i="5"/>
  <c r="U20" i="5"/>
  <c r="V20" i="5" s="1"/>
  <c r="Q20" i="5"/>
  <c r="S20" i="5" s="1"/>
  <c r="AA19" i="5"/>
  <c r="AB19" i="5" s="1"/>
  <c r="Y19" i="5"/>
  <c r="X19" i="5"/>
  <c r="U19" i="5"/>
  <c r="V19" i="5" s="1"/>
  <c r="Q19" i="5"/>
  <c r="S19" i="5" s="1"/>
  <c r="AA18" i="5"/>
  <c r="AB18" i="5" s="1"/>
  <c r="Y18" i="5"/>
  <c r="X18" i="5"/>
  <c r="U18" i="5"/>
  <c r="V18" i="5" s="1"/>
  <c r="Q18" i="5"/>
  <c r="S18" i="5" s="1"/>
  <c r="AA17" i="5"/>
  <c r="AB17" i="5" s="1"/>
  <c r="X17" i="5"/>
  <c r="Y17" i="5" s="1"/>
  <c r="U17" i="5"/>
  <c r="V17" i="5" s="1"/>
  <c r="Q17" i="5"/>
  <c r="S17" i="5" s="1"/>
  <c r="AA16" i="5"/>
  <c r="AB16" i="5" s="1"/>
  <c r="X16" i="5"/>
  <c r="Y16" i="5" s="1"/>
  <c r="U16" i="5"/>
  <c r="V16" i="5" s="1"/>
  <c r="Q16" i="5"/>
  <c r="S16" i="5" s="1"/>
  <c r="AA15" i="5"/>
  <c r="AB15" i="5" s="1"/>
  <c r="X15" i="5"/>
  <c r="Y15" i="5" s="1"/>
  <c r="U15" i="5"/>
  <c r="V15" i="5" s="1"/>
  <c r="Q15" i="5"/>
  <c r="S15" i="5" s="1"/>
  <c r="AA14" i="5"/>
  <c r="AB14" i="5" s="1"/>
  <c r="Y14" i="5"/>
  <c r="X14" i="5"/>
  <c r="U14" i="5"/>
  <c r="V14" i="5" s="1"/>
  <c r="Q14" i="5"/>
  <c r="S14" i="5" s="1"/>
  <c r="AA13" i="5"/>
  <c r="AB13" i="5" s="1"/>
  <c r="Y13" i="5"/>
  <c r="X13" i="5"/>
  <c r="U13" i="5"/>
  <c r="V13" i="5" s="1"/>
  <c r="Q13" i="5"/>
  <c r="S13" i="5" s="1"/>
  <c r="AA12" i="5"/>
  <c r="AB12" i="5" s="1"/>
  <c r="X12" i="5"/>
  <c r="Y12" i="5" s="1"/>
  <c r="U12" i="5"/>
  <c r="V12" i="5" s="1"/>
  <c r="Q12" i="5"/>
  <c r="S12" i="5" s="1"/>
  <c r="AA11" i="5"/>
  <c r="AB11" i="5" s="1"/>
  <c r="Y11" i="5"/>
  <c r="X11" i="5"/>
  <c r="U11" i="5"/>
  <c r="V11" i="5" s="1"/>
  <c r="S11" i="5"/>
  <c r="AA10" i="5"/>
  <c r="AB10" i="5" s="1"/>
  <c r="Y10" i="5"/>
  <c r="X10" i="5"/>
  <c r="U10" i="5"/>
  <c r="V10" i="5" s="1"/>
  <c r="S10" i="5"/>
  <c r="AA9" i="5"/>
  <c r="AB9" i="5" s="1"/>
  <c r="Y9" i="5"/>
  <c r="X9" i="5"/>
  <c r="U9" i="5"/>
  <c r="V9" i="5" s="1"/>
  <c r="S9" i="5"/>
  <c r="AA8" i="5"/>
  <c r="AB8" i="5" s="1"/>
  <c r="Y8" i="5"/>
  <c r="X8" i="5"/>
  <c r="U8" i="5"/>
  <c r="V8" i="5" s="1"/>
  <c r="S8" i="5"/>
  <c r="AA7" i="5"/>
  <c r="AB7" i="5" s="1"/>
  <c r="Y7" i="5"/>
  <c r="X7" i="5"/>
  <c r="U7" i="5"/>
  <c r="V7" i="5" s="1"/>
  <c r="Q7" i="5"/>
  <c r="S7" i="5" s="1"/>
  <c r="AA6" i="5"/>
  <c r="AB6" i="5" s="1"/>
  <c r="Y6" i="5"/>
  <c r="X6" i="5"/>
  <c r="U6" i="5"/>
  <c r="V6" i="5" s="1"/>
  <c r="Q6" i="5"/>
  <c r="S6" i="5" s="1"/>
  <c r="AA5" i="5"/>
  <c r="AB5" i="5" s="1"/>
  <c r="Y5" i="5"/>
  <c r="X5" i="5"/>
  <c r="U5" i="5"/>
  <c r="V5" i="5" s="1"/>
  <c r="Q5" i="5"/>
  <c r="S5" i="5" s="1"/>
  <c r="AA4" i="5"/>
  <c r="AB4" i="5" s="1"/>
  <c r="Y4" i="5"/>
  <c r="X4" i="5"/>
  <c r="U4" i="5"/>
  <c r="V4" i="5" s="1"/>
  <c r="Q4" i="5"/>
  <c r="S4" i="5" s="1"/>
  <c r="AA3" i="5"/>
  <c r="AB3" i="5" s="1"/>
  <c r="Y3" i="5"/>
  <c r="X3" i="5"/>
  <c r="U3" i="5"/>
  <c r="V3" i="5" s="1"/>
  <c r="Q3" i="5"/>
  <c r="S3" i="5" s="1"/>
  <c r="AA2" i="5"/>
  <c r="AB2" i="5" s="1"/>
  <c r="Y2" i="5"/>
  <c r="X2" i="5"/>
  <c r="U2" i="5"/>
  <c r="V2" i="5" s="1"/>
  <c r="Q2" i="5"/>
  <c r="S2" i="5" s="1"/>
  <c r="AA126" i="2"/>
  <c r="AB126" i="2" s="1"/>
  <c r="Y126" i="2"/>
  <c r="X126" i="2"/>
  <c r="U126" i="2"/>
  <c r="V126" i="2" s="1"/>
  <c r="Q126" i="2"/>
  <c r="S126" i="2" s="1"/>
  <c r="AX125" i="2"/>
  <c r="AY125" i="2" s="1"/>
  <c r="AN125" i="2"/>
  <c r="AO125" i="2" s="1"/>
  <c r="AA125" i="2"/>
  <c r="AB125" i="2" s="1"/>
  <c r="Y125" i="2"/>
  <c r="X125" i="2"/>
  <c r="U125" i="2"/>
  <c r="V125" i="2" s="1"/>
  <c r="Q125" i="2"/>
  <c r="S125" i="2" s="1"/>
  <c r="BR125" i="2" s="1"/>
  <c r="BS125" i="2" s="1"/>
  <c r="BR124" i="2"/>
  <c r="BS124" i="2" s="1"/>
  <c r="BM124" i="2"/>
  <c r="BN124" i="2" s="1"/>
  <c r="AX124" i="2"/>
  <c r="AY124" i="2" s="1"/>
  <c r="AS124" i="2"/>
  <c r="AT124" i="2" s="1"/>
  <c r="AD124" i="2"/>
  <c r="AA124" i="2"/>
  <c r="AB124" i="2" s="1"/>
  <c r="Y124" i="2"/>
  <c r="X124" i="2"/>
  <c r="U124" i="2"/>
  <c r="V124" i="2" s="1"/>
  <c r="Q124" i="2"/>
  <c r="S124" i="2" s="1"/>
  <c r="BH124" i="2" s="1"/>
  <c r="BI124" i="2" s="1"/>
  <c r="BW123" i="2"/>
  <c r="BX123" i="2" s="1"/>
  <c r="BH123" i="2"/>
  <c r="BI123" i="2" s="1"/>
  <c r="BC123" i="2"/>
  <c r="BD123" i="2" s="1"/>
  <c r="AX123" i="2"/>
  <c r="AY123" i="2" s="1"/>
  <c r="AN123" i="2"/>
  <c r="AO123" i="2" s="1"/>
  <c r="AI123" i="2"/>
  <c r="AJ123" i="2" s="1"/>
  <c r="AD123" i="2"/>
  <c r="AE123" i="2" s="1"/>
  <c r="AA123" i="2"/>
  <c r="AB123" i="2" s="1"/>
  <c r="Y123" i="2"/>
  <c r="X123" i="2"/>
  <c r="U123" i="2"/>
  <c r="V123" i="2" s="1"/>
  <c r="Q123" i="2"/>
  <c r="S123" i="2" s="1"/>
  <c r="BR123" i="2" s="1"/>
  <c r="BS123" i="2" s="1"/>
  <c r="BR122" i="2"/>
  <c r="BS122" i="2" s="1"/>
  <c r="BM122" i="2"/>
  <c r="BN122" i="2" s="1"/>
  <c r="BH122" i="2"/>
  <c r="BI122" i="2" s="1"/>
  <c r="AX122" i="2"/>
  <c r="AY122" i="2" s="1"/>
  <c r="AS122" i="2"/>
  <c r="AT122" i="2" s="1"/>
  <c r="AN122" i="2"/>
  <c r="AO122" i="2" s="1"/>
  <c r="AD122" i="2"/>
  <c r="AE122" i="2" s="1"/>
  <c r="AA122" i="2"/>
  <c r="AB122" i="2" s="1"/>
  <c r="Y122" i="2"/>
  <c r="X122" i="2"/>
  <c r="U122" i="2"/>
  <c r="V122" i="2" s="1"/>
  <c r="Q122" i="2"/>
  <c r="S122" i="2" s="1"/>
  <c r="BW122" i="2" s="1"/>
  <c r="BX122" i="2" s="1"/>
  <c r="BW121" i="2"/>
  <c r="BX121" i="2" s="1"/>
  <c r="BR121" i="2"/>
  <c r="BS121" i="2" s="1"/>
  <c r="BH121" i="2"/>
  <c r="BI121" i="2" s="1"/>
  <c r="BC121" i="2"/>
  <c r="BD121" i="2" s="1"/>
  <c r="AX121" i="2"/>
  <c r="AY121" i="2" s="1"/>
  <c r="AN121" i="2"/>
  <c r="AO121" i="2" s="1"/>
  <c r="AI121" i="2"/>
  <c r="AJ121" i="2" s="1"/>
  <c r="AD121" i="2"/>
  <c r="AE121" i="2" s="1"/>
  <c r="AA121" i="2"/>
  <c r="AB121" i="2" s="1"/>
  <c r="Y121" i="2"/>
  <c r="X121" i="2"/>
  <c r="U121" i="2"/>
  <c r="V121" i="2" s="1"/>
  <c r="Q121" i="2"/>
  <c r="S121" i="2" s="1"/>
  <c r="BM121" i="2" s="1"/>
  <c r="BN121" i="2" s="1"/>
  <c r="BR120" i="2"/>
  <c r="BS120" i="2" s="1"/>
  <c r="BM120" i="2"/>
  <c r="BN120" i="2" s="1"/>
  <c r="BH120" i="2"/>
  <c r="BI120" i="2" s="1"/>
  <c r="AX120" i="2"/>
  <c r="AY120" i="2" s="1"/>
  <c r="AS120" i="2"/>
  <c r="AT120" i="2" s="1"/>
  <c r="AN120" i="2"/>
  <c r="AO120" i="2" s="1"/>
  <c r="AI120" i="2"/>
  <c r="AJ120" i="2" s="1"/>
  <c r="AD120" i="2"/>
  <c r="AE120" i="2" s="1"/>
  <c r="AA120" i="2"/>
  <c r="AB120" i="2" s="1"/>
  <c r="Y120" i="2"/>
  <c r="X120" i="2"/>
  <c r="U120" i="2"/>
  <c r="V120" i="2" s="1"/>
  <c r="Q120" i="2"/>
  <c r="S120" i="2" s="1"/>
  <c r="BW120" i="2" s="1"/>
  <c r="BX120" i="2" s="1"/>
  <c r="BW119" i="2"/>
  <c r="BX119" i="2" s="1"/>
  <c r="BR119" i="2"/>
  <c r="BS119" i="2" s="1"/>
  <c r="BM119" i="2"/>
  <c r="BN119" i="2" s="1"/>
  <c r="BH119" i="2"/>
  <c r="BI119" i="2" s="1"/>
  <c r="BC119" i="2"/>
  <c r="BD119" i="2" s="1"/>
  <c r="AX119" i="2"/>
  <c r="AY119" i="2" s="1"/>
  <c r="AS119" i="2"/>
  <c r="AT119" i="2" s="1"/>
  <c r="AN119" i="2"/>
  <c r="AO119" i="2" s="1"/>
  <c r="AI119" i="2"/>
  <c r="AJ119" i="2" s="1"/>
  <c r="AD119" i="2"/>
  <c r="AE119" i="2" s="1"/>
  <c r="AA119" i="2"/>
  <c r="AB119" i="2" s="1"/>
  <c r="Y119" i="2"/>
  <c r="X119" i="2"/>
  <c r="U119" i="2"/>
  <c r="V119" i="2" s="1"/>
  <c r="Q119" i="2"/>
  <c r="S119" i="2" s="1"/>
  <c r="BW118" i="2"/>
  <c r="BX118" i="2" s="1"/>
  <c r="BR118" i="2"/>
  <c r="BS118" i="2" s="1"/>
  <c r="BM118" i="2"/>
  <c r="BN118" i="2" s="1"/>
  <c r="BH118" i="2"/>
  <c r="BI118" i="2" s="1"/>
  <c r="BC118" i="2"/>
  <c r="BD118" i="2" s="1"/>
  <c r="AX118" i="2"/>
  <c r="AY118" i="2" s="1"/>
  <c r="AS118" i="2"/>
  <c r="AT118" i="2" s="1"/>
  <c r="AN118" i="2"/>
  <c r="AO118" i="2" s="1"/>
  <c r="AI118" i="2"/>
  <c r="AJ118" i="2" s="1"/>
  <c r="AD118" i="2"/>
  <c r="AE118" i="2" s="1"/>
  <c r="AA118" i="2"/>
  <c r="AB118" i="2" s="1"/>
  <c r="Y118" i="2"/>
  <c r="X118" i="2"/>
  <c r="U118" i="2"/>
  <c r="V118" i="2" s="1"/>
  <c r="Q118" i="2"/>
  <c r="S118" i="2" s="1"/>
  <c r="BW117" i="2"/>
  <c r="BX117" i="2" s="1"/>
  <c r="BR117" i="2"/>
  <c r="BS117" i="2" s="1"/>
  <c r="BM117" i="2"/>
  <c r="BN117" i="2" s="1"/>
  <c r="BH117" i="2"/>
  <c r="BI117" i="2" s="1"/>
  <c r="BC117" i="2"/>
  <c r="BD117" i="2" s="1"/>
  <c r="AX117" i="2"/>
  <c r="AY117" i="2" s="1"/>
  <c r="AS117" i="2"/>
  <c r="AT117" i="2" s="1"/>
  <c r="AN117" i="2"/>
  <c r="AO117" i="2" s="1"/>
  <c r="AI117" i="2"/>
  <c r="AJ117" i="2" s="1"/>
  <c r="AD117" i="2"/>
  <c r="AE117" i="2" s="1"/>
  <c r="AA117" i="2"/>
  <c r="AB117" i="2" s="1"/>
  <c r="Y117" i="2"/>
  <c r="X117" i="2"/>
  <c r="U117" i="2"/>
  <c r="V117" i="2" s="1"/>
  <c r="Q117" i="2"/>
  <c r="S117" i="2" s="1"/>
  <c r="BW116" i="2"/>
  <c r="BX116" i="2" s="1"/>
  <c r="BR116" i="2"/>
  <c r="BS116" i="2" s="1"/>
  <c r="BM116" i="2"/>
  <c r="BN116" i="2" s="1"/>
  <c r="BH116" i="2"/>
  <c r="BI116" i="2" s="1"/>
  <c r="BC116" i="2"/>
  <c r="BD116" i="2" s="1"/>
  <c r="AX116" i="2"/>
  <c r="AY116" i="2" s="1"/>
  <c r="AS116" i="2"/>
  <c r="AT116" i="2" s="1"/>
  <c r="AN116" i="2"/>
  <c r="AO116" i="2" s="1"/>
  <c r="AI116" i="2"/>
  <c r="AJ116" i="2" s="1"/>
  <c r="AD116" i="2"/>
  <c r="AE116" i="2" s="1"/>
  <c r="AA116" i="2"/>
  <c r="AB116" i="2" s="1"/>
  <c r="Y116" i="2"/>
  <c r="X116" i="2"/>
  <c r="U116" i="2"/>
  <c r="V116" i="2" s="1"/>
  <c r="Q116" i="2"/>
  <c r="S116" i="2" s="1"/>
  <c r="BW115" i="2"/>
  <c r="BX115" i="2" s="1"/>
  <c r="BR115" i="2"/>
  <c r="BS115" i="2" s="1"/>
  <c r="BM115" i="2"/>
  <c r="BN115" i="2" s="1"/>
  <c r="BH115" i="2"/>
  <c r="BI115" i="2" s="1"/>
  <c r="BC115" i="2"/>
  <c r="BD115" i="2" s="1"/>
  <c r="AX115" i="2"/>
  <c r="AY115" i="2" s="1"/>
  <c r="AS115" i="2"/>
  <c r="AT115" i="2" s="1"/>
  <c r="AN115" i="2"/>
  <c r="AO115" i="2" s="1"/>
  <c r="AI115" i="2"/>
  <c r="AJ115" i="2" s="1"/>
  <c r="AD115" i="2"/>
  <c r="AA115" i="2"/>
  <c r="AB115" i="2" s="1"/>
  <c r="Y115" i="2"/>
  <c r="X115" i="2"/>
  <c r="U115" i="2"/>
  <c r="V115" i="2" s="1"/>
  <c r="Q115" i="2"/>
  <c r="S115" i="2" s="1"/>
  <c r="BW114" i="2"/>
  <c r="BX114" i="2" s="1"/>
  <c r="BR114" i="2"/>
  <c r="BS114" i="2" s="1"/>
  <c r="BM114" i="2"/>
  <c r="BN114" i="2" s="1"/>
  <c r="BH114" i="2"/>
  <c r="BI114" i="2" s="1"/>
  <c r="BC114" i="2"/>
  <c r="BD114" i="2" s="1"/>
  <c r="AX114" i="2"/>
  <c r="AY114" i="2" s="1"/>
  <c r="AS114" i="2"/>
  <c r="AT114" i="2" s="1"/>
  <c r="AN114" i="2"/>
  <c r="AO114" i="2" s="1"/>
  <c r="AI114" i="2"/>
  <c r="AJ114" i="2" s="1"/>
  <c r="AD114" i="2"/>
  <c r="AE114" i="2" s="1"/>
  <c r="AA114" i="2"/>
  <c r="AB114" i="2" s="1"/>
  <c r="Y114" i="2"/>
  <c r="X114" i="2"/>
  <c r="U114" i="2"/>
  <c r="V114" i="2" s="1"/>
  <c r="Q114" i="2"/>
  <c r="S114" i="2" s="1"/>
  <c r="AB113" i="2"/>
  <c r="AA113" i="2"/>
  <c r="Y113" i="2"/>
  <c r="X113" i="2"/>
  <c r="V113" i="2"/>
  <c r="U113" i="2"/>
  <c r="S113" i="2"/>
  <c r="Q113" i="2"/>
  <c r="AB112" i="2"/>
  <c r="AA112" i="2"/>
  <c r="Y112" i="2"/>
  <c r="X112" i="2"/>
  <c r="V112" i="2"/>
  <c r="U112" i="2"/>
  <c r="S112" i="2"/>
  <c r="Q112" i="2"/>
  <c r="AB111" i="2"/>
  <c r="AA111" i="2"/>
  <c r="Y111" i="2"/>
  <c r="X111" i="2"/>
  <c r="V111" i="2"/>
  <c r="U111" i="2"/>
  <c r="S111" i="2"/>
  <c r="Q111" i="2"/>
  <c r="AB110" i="2"/>
  <c r="AA110" i="2"/>
  <c r="Y110" i="2"/>
  <c r="X110" i="2"/>
  <c r="V110" i="2"/>
  <c r="U110" i="2"/>
  <c r="S110" i="2"/>
  <c r="Q110" i="2"/>
  <c r="AB109" i="2"/>
  <c r="AA109" i="2"/>
  <c r="Y109" i="2"/>
  <c r="X109" i="2"/>
  <c r="U109" i="2"/>
  <c r="V109" i="2" s="1"/>
  <c r="S109" i="2"/>
  <c r="Q109" i="2"/>
  <c r="BC108" i="2"/>
  <c r="BD108" i="2" s="1"/>
  <c r="AX108" i="2"/>
  <c r="AY108" i="2" s="1"/>
  <c r="AJ108" i="2"/>
  <c r="AI108" i="2"/>
  <c r="AB108" i="2"/>
  <c r="AA108" i="2"/>
  <c r="Y108" i="2"/>
  <c r="X108" i="2"/>
  <c r="V108" i="2"/>
  <c r="U108" i="2"/>
  <c r="S108" i="2"/>
  <c r="Q108" i="2"/>
  <c r="AA107" i="2"/>
  <c r="AB107" i="2" s="1"/>
  <c r="Y107" i="2"/>
  <c r="X107" i="2"/>
  <c r="V107" i="2"/>
  <c r="U107" i="2"/>
  <c r="S107" i="2"/>
  <c r="Q107" i="2"/>
  <c r="AB106" i="2"/>
  <c r="AA106" i="2"/>
  <c r="Y106" i="2"/>
  <c r="X106" i="2"/>
  <c r="V106" i="2"/>
  <c r="U106" i="2"/>
  <c r="Q106" i="2"/>
  <c r="S106" i="2" s="1"/>
  <c r="BR105" i="2"/>
  <c r="BS105" i="2" s="1"/>
  <c r="AB105" i="2"/>
  <c r="AA105" i="2"/>
  <c r="Y105" i="2"/>
  <c r="X105" i="2"/>
  <c r="U105" i="2"/>
  <c r="V105" i="2" s="1"/>
  <c r="S105" i="2"/>
  <c r="Q105" i="2"/>
  <c r="BH104" i="2"/>
  <c r="BI104" i="2" s="1"/>
  <c r="AB104" i="2"/>
  <c r="AA104" i="2"/>
  <c r="Y104" i="2"/>
  <c r="BR104" i="2" s="1"/>
  <c r="BS104" i="2" s="1"/>
  <c r="X104" i="2"/>
  <c r="V104" i="2"/>
  <c r="U104" i="2"/>
  <c r="S104" i="2"/>
  <c r="Q104" i="2"/>
  <c r="AB103" i="2"/>
  <c r="AA103" i="2"/>
  <c r="Y103" i="2"/>
  <c r="X103" i="2"/>
  <c r="V103" i="2"/>
  <c r="U103" i="2"/>
  <c r="S103" i="2"/>
  <c r="Q103" i="2"/>
  <c r="BW102" i="2"/>
  <c r="BX102" i="2" s="1"/>
  <c r="BY102" i="2" s="1"/>
  <c r="BC102" i="2"/>
  <c r="BD102" i="2" s="1"/>
  <c r="BE102" i="2" s="1"/>
  <c r="AI102" i="2"/>
  <c r="AJ102" i="2" s="1"/>
  <c r="AB102" i="2"/>
  <c r="AA102" i="2"/>
  <c r="Y102" i="2"/>
  <c r="X102" i="2"/>
  <c r="V102" i="2"/>
  <c r="U102" i="2"/>
  <c r="S102" i="2"/>
  <c r="Q102" i="2"/>
  <c r="AB101" i="2"/>
  <c r="AA101" i="2"/>
  <c r="Y101" i="2"/>
  <c r="X101" i="2"/>
  <c r="V101" i="2"/>
  <c r="U101" i="2"/>
  <c r="S101" i="2"/>
  <c r="Q101" i="2"/>
  <c r="AX100" i="2"/>
  <c r="AY100" i="2" s="1"/>
  <c r="AD100" i="2"/>
  <c r="AB100" i="2"/>
  <c r="AA100" i="2"/>
  <c r="Y100" i="2"/>
  <c r="X100" i="2"/>
  <c r="V100" i="2"/>
  <c r="U100" i="2"/>
  <c r="Q100" i="2"/>
  <c r="S100" i="2" s="1"/>
  <c r="AA99" i="2"/>
  <c r="AB99" i="2" s="1"/>
  <c r="Y99" i="2"/>
  <c r="X99" i="2"/>
  <c r="V99" i="2"/>
  <c r="U99" i="2"/>
  <c r="S99" i="2"/>
  <c r="Q99" i="2"/>
  <c r="BM98" i="2"/>
  <c r="BN98" i="2" s="1"/>
  <c r="BO98" i="2" s="1"/>
  <c r="AX98" i="2"/>
  <c r="AY98" i="2" s="1"/>
  <c r="AZ98" i="2" s="1"/>
  <c r="AB98" i="2"/>
  <c r="AA98" i="2"/>
  <c r="Y98" i="2"/>
  <c r="X98" i="2"/>
  <c r="V98" i="2"/>
  <c r="U98" i="2"/>
  <c r="Q98" i="2"/>
  <c r="S98" i="2" s="1"/>
  <c r="AB97" i="2"/>
  <c r="AA97" i="2"/>
  <c r="Y97" i="2"/>
  <c r="X97" i="2"/>
  <c r="V97" i="2"/>
  <c r="U97" i="2"/>
  <c r="S97" i="2"/>
  <c r="Q97" i="2"/>
  <c r="AB96" i="2"/>
  <c r="AA96" i="2"/>
  <c r="Y96" i="2"/>
  <c r="X96" i="2"/>
  <c r="V96" i="2"/>
  <c r="U96" i="2"/>
  <c r="S96" i="2"/>
  <c r="Q96" i="2"/>
  <c r="AB95" i="2"/>
  <c r="AA95" i="2"/>
  <c r="Y95" i="2"/>
  <c r="X95" i="2"/>
  <c r="V95" i="2"/>
  <c r="U95" i="2"/>
  <c r="S95" i="2"/>
  <c r="Q95" i="2"/>
  <c r="AB94" i="2"/>
  <c r="AA94" i="2"/>
  <c r="Y94" i="2"/>
  <c r="X94" i="2"/>
  <c r="V94" i="2"/>
  <c r="U94" i="2"/>
  <c r="S94" i="2"/>
  <c r="Q94" i="2"/>
  <c r="AB93" i="2"/>
  <c r="AA93" i="2"/>
  <c r="Y93" i="2"/>
  <c r="X93" i="2"/>
  <c r="V93" i="2"/>
  <c r="U93" i="2"/>
  <c r="S93" i="2"/>
  <c r="BR93" i="2" s="1"/>
  <c r="BS93" i="2" s="1"/>
  <c r="Q93" i="2"/>
  <c r="AA92" i="2"/>
  <c r="AB92" i="2" s="1"/>
  <c r="Y92" i="2"/>
  <c r="X92" i="2"/>
  <c r="V92" i="2"/>
  <c r="U92" i="2"/>
  <c r="S92" i="2"/>
  <c r="Q92" i="2"/>
  <c r="AI91" i="2"/>
  <c r="AJ91" i="2" s="1"/>
  <c r="AB91" i="2"/>
  <c r="AA91" i="2"/>
  <c r="Y91" i="2"/>
  <c r="X91" i="2"/>
  <c r="V91" i="2"/>
  <c r="U91" i="2"/>
  <c r="S91" i="2"/>
  <c r="Q91" i="2"/>
  <c r="AB90" i="2"/>
  <c r="AA90" i="2"/>
  <c r="Y90" i="2"/>
  <c r="X90" i="2"/>
  <c r="U90" i="2"/>
  <c r="V90" i="2" s="1"/>
  <c r="S90" i="2"/>
  <c r="Q90" i="2"/>
  <c r="AA89" i="2"/>
  <c r="AB89" i="2" s="1"/>
  <c r="Y89" i="2"/>
  <c r="X89" i="2"/>
  <c r="V89" i="2"/>
  <c r="U89" i="2"/>
  <c r="Q89" i="2"/>
  <c r="S89" i="2" s="1"/>
  <c r="AA88" i="2"/>
  <c r="AB88" i="2" s="1"/>
  <c r="X88" i="2"/>
  <c r="Y88" i="2" s="1"/>
  <c r="U88" i="2"/>
  <c r="V88" i="2" s="1"/>
  <c r="S88" i="2"/>
  <c r="Q88" i="2"/>
  <c r="AB87" i="2"/>
  <c r="AA87" i="2"/>
  <c r="Y87" i="2"/>
  <c r="BR87" i="2" s="1"/>
  <c r="BS87" i="2" s="1"/>
  <c r="X87" i="2"/>
  <c r="V87" i="2"/>
  <c r="U87" i="2"/>
  <c r="Q87" i="2"/>
  <c r="S87" i="2" s="1"/>
  <c r="AA86" i="2"/>
  <c r="AB86" i="2" s="1"/>
  <c r="Y86" i="2"/>
  <c r="X86" i="2"/>
  <c r="U86" i="2"/>
  <c r="V86" i="2" s="1"/>
  <c r="Q86" i="2"/>
  <c r="S86" i="2" s="1"/>
  <c r="AA85" i="2"/>
  <c r="AB85" i="2" s="1"/>
  <c r="Y85" i="2"/>
  <c r="X85" i="2"/>
  <c r="V85" i="2"/>
  <c r="U85" i="2"/>
  <c r="Q85" i="2"/>
  <c r="S85" i="2" s="1"/>
  <c r="BR85" i="2" s="1"/>
  <c r="BS85" i="2" s="1"/>
  <c r="AA84" i="2"/>
  <c r="AB84" i="2" s="1"/>
  <c r="Y84" i="2"/>
  <c r="X84" i="2"/>
  <c r="U84" i="2"/>
  <c r="V84" i="2" s="1"/>
  <c r="S84" i="2"/>
  <c r="Q84" i="2"/>
  <c r="AB83" i="2"/>
  <c r="AA83" i="2"/>
  <c r="X83" i="2"/>
  <c r="Y83" i="2" s="1"/>
  <c r="V83" i="2"/>
  <c r="U83" i="2"/>
  <c r="Q83" i="2"/>
  <c r="S83" i="2" s="1"/>
  <c r="AA82" i="2"/>
  <c r="AB82" i="2" s="1"/>
  <c r="Y82" i="2"/>
  <c r="X82" i="2"/>
  <c r="V82" i="2"/>
  <c r="U82" i="2"/>
  <c r="Q82" i="2"/>
  <c r="S82" i="2" s="1"/>
  <c r="AB81" i="2"/>
  <c r="AA81" i="2"/>
  <c r="Y81" i="2"/>
  <c r="X81" i="2"/>
  <c r="V81" i="2"/>
  <c r="U81" i="2"/>
  <c r="Q81" i="2"/>
  <c r="S81" i="2" s="1"/>
  <c r="BC80" i="2"/>
  <c r="BD80" i="2" s="1"/>
  <c r="AA80" i="2"/>
  <c r="AB80" i="2" s="1"/>
  <c r="Y80" i="2"/>
  <c r="X80" i="2"/>
  <c r="U80" i="2"/>
  <c r="V80" i="2" s="1"/>
  <c r="S80" i="2"/>
  <c r="Q80" i="2"/>
  <c r="BW79" i="2"/>
  <c r="BX79" i="2" s="1"/>
  <c r="BR79" i="2"/>
  <c r="BS79" i="2" s="1"/>
  <c r="BM79" i="2"/>
  <c r="BN79" i="2" s="1"/>
  <c r="AX79" i="2"/>
  <c r="AY79" i="2" s="1"/>
  <c r="AT79" i="2"/>
  <c r="AS79" i="2"/>
  <c r="AN79" i="2"/>
  <c r="AO79" i="2" s="1"/>
  <c r="AI79" i="2"/>
  <c r="AJ79" i="2" s="1"/>
  <c r="AD79" i="2"/>
  <c r="AE79" i="2" s="1"/>
  <c r="AA79" i="2"/>
  <c r="AB79" i="2" s="1"/>
  <c r="Y79" i="2"/>
  <c r="BC79" i="2" s="1"/>
  <c r="BD79" i="2" s="1"/>
  <c r="X79" i="2"/>
  <c r="V79" i="2"/>
  <c r="U79" i="2"/>
  <c r="Q79" i="2"/>
  <c r="S79" i="2" s="1"/>
  <c r="AS78" i="2"/>
  <c r="AT78" i="2" s="1"/>
  <c r="AA78" i="2"/>
  <c r="AB78" i="2" s="1"/>
  <c r="Y78" i="2"/>
  <c r="BM78" i="2" s="1"/>
  <c r="BN78" i="2" s="1"/>
  <c r="X78" i="2"/>
  <c r="U78" i="2"/>
  <c r="V78" i="2" s="1"/>
  <c r="S78" i="2"/>
  <c r="Q78" i="2"/>
  <c r="BC77" i="2"/>
  <c r="BD77" i="2" s="1"/>
  <c r="AA77" i="2"/>
  <c r="AB77" i="2" s="1"/>
  <c r="Y77" i="2"/>
  <c r="X77" i="2"/>
  <c r="U77" i="2"/>
  <c r="V77" i="2" s="1"/>
  <c r="S77" i="2"/>
  <c r="BW77" i="2" s="1"/>
  <c r="BX77" i="2" s="1"/>
  <c r="Q77" i="2"/>
  <c r="BD76" i="2"/>
  <c r="BC76" i="2"/>
  <c r="AS76" i="2"/>
  <c r="AT76" i="2" s="1"/>
  <c r="AA76" i="2"/>
  <c r="AB76" i="2" s="1"/>
  <c r="Y76" i="2"/>
  <c r="BM76" i="2" s="1"/>
  <c r="BN76" i="2" s="1"/>
  <c r="BO76" i="2" s="1"/>
  <c r="X76" i="2"/>
  <c r="U76" i="2"/>
  <c r="V76" i="2" s="1"/>
  <c r="S76" i="2"/>
  <c r="Q76" i="2"/>
  <c r="BC75" i="2"/>
  <c r="BD75" i="2" s="1"/>
  <c r="AA75" i="2"/>
  <c r="AB75" i="2" s="1"/>
  <c r="Y75" i="2"/>
  <c r="X75" i="2"/>
  <c r="U75" i="2"/>
  <c r="V75" i="2" s="1"/>
  <c r="Q75" i="2"/>
  <c r="S75" i="2" s="1"/>
  <c r="AA74" i="2"/>
  <c r="AB74" i="2" s="1"/>
  <c r="X74" i="2"/>
  <c r="Y74" i="2" s="1"/>
  <c r="V74" i="2"/>
  <c r="U74" i="2"/>
  <c r="Q74" i="2"/>
  <c r="S74" i="2" s="1"/>
  <c r="AA73" i="2"/>
  <c r="AB73" i="2" s="1"/>
  <c r="Y73" i="2"/>
  <c r="X73" i="2"/>
  <c r="U73" i="2"/>
  <c r="V73" i="2" s="1"/>
  <c r="S73" i="2"/>
  <c r="Q73" i="2"/>
  <c r="BW72" i="2"/>
  <c r="BX72" i="2" s="1"/>
  <c r="BM72" i="2"/>
  <c r="BN72" i="2" s="1"/>
  <c r="BC72" i="2"/>
  <c r="BD72" i="2" s="1"/>
  <c r="AI72" i="2"/>
  <c r="AJ72" i="2" s="1"/>
  <c r="AD72" i="2"/>
  <c r="AB72" i="2"/>
  <c r="AA72" i="2"/>
  <c r="X72" i="2"/>
  <c r="Y72" i="2" s="1"/>
  <c r="V72" i="2"/>
  <c r="U72" i="2"/>
  <c r="Q72" i="2"/>
  <c r="S72" i="2" s="1"/>
  <c r="AA71" i="2"/>
  <c r="AB71" i="2" s="1"/>
  <c r="Y71" i="2"/>
  <c r="X71" i="2"/>
  <c r="U71" i="2"/>
  <c r="V71" i="2" s="1"/>
  <c r="S71" i="2"/>
  <c r="Q71" i="2"/>
  <c r="BR70" i="2"/>
  <c r="BS70" i="2" s="1"/>
  <c r="AB70" i="2"/>
  <c r="AA70" i="2"/>
  <c r="Y70" i="2"/>
  <c r="X70" i="2"/>
  <c r="V70" i="2"/>
  <c r="U70" i="2"/>
  <c r="Q70" i="2"/>
  <c r="S70" i="2" s="1"/>
  <c r="AA69" i="2"/>
  <c r="AB69" i="2" s="1"/>
  <c r="Y69" i="2"/>
  <c r="X69" i="2"/>
  <c r="V69" i="2"/>
  <c r="U69" i="2"/>
  <c r="S69" i="2"/>
  <c r="Q69" i="2"/>
  <c r="AN68" i="2"/>
  <c r="AO68" i="2" s="1"/>
  <c r="AB68" i="2"/>
  <c r="AA68" i="2"/>
  <c r="Y68" i="2"/>
  <c r="AX68" i="2" s="1"/>
  <c r="AY68" i="2" s="1"/>
  <c r="AZ68" i="2" s="1"/>
  <c r="X68" i="2"/>
  <c r="V68" i="2"/>
  <c r="U68" i="2"/>
  <c r="S68" i="2"/>
  <c r="BH68" i="2" s="1"/>
  <c r="BI68" i="2" s="1"/>
  <c r="Q68" i="2"/>
  <c r="AB67" i="2"/>
  <c r="AA67" i="2"/>
  <c r="Y67" i="2"/>
  <c r="X67" i="2"/>
  <c r="V67" i="2"/>
  <c r="U67" i="2"/>
  <c r="S67" i="2"/>
  <c r="Q67" i="2"/>
  <c r="BW66" i="2"/>
  <c r="BX66" i="2" s="1"/>
  <c r="AN66" i="2"/>
  <c r="AO66" i="2" s="1"/>
  <c r="AI66" i="2"/>
  <c r="AJ66" i="2" s="1"/>
  <c r="AB66" i="2"/>
  <c r="AA66" i="2"/>
  <c r="Y66" i="2"/>
  <c r="X66" i="2"/>
  <c r="V66" i="2"/>
  <c r="U66" i="2"/>
  <c r="S66" i="2"/>
  <c r="Q66" i="2"/>
  <c r="AB65" i="2"/>
  <c r="AA65" i="2"/>
  <c r="Y65" i="2"/>
  <c r="X65" i="2"/>
  <c r="V65" i="2"/>
  <c r="U65" i="2"/>
  <c r="S65" i="2"/>
  <c r="Q65" i="2"/>
  <c r="BW64" i="2"/>
  <c r="BX64" i="2" s="1"/>
  <c r="BR64" i="2"/>
  <c r="BS64" i="2" s="1"/>
  <c r="AB64" i="2"/>
  <c r="AA64" i="2"/>
  <c r="Y64" i="2"/>
  <c r="X64" i="2"/>
  <c r="V64" i="2"/>
  <c r="U64" i="2"/>
  <c r="Q64" i="2"/>
  <c r="S64" i="2" s="1"/>
  <c r="AD64" i="2" s="1"/>
  <c r="AI63" i="2"/>
  <c r="AJ63" i="2" s="1"/>
  <c r="AK63" i="2" s="1"/>
  <c r="AA63" i="2"/>
  <c r="AB63" i="2" s="1"/>
  <c r="Y63" i="2"/>
  <c r="X63" i="2"/>
  <c r="V63" i="2"/>
  <c r="U63" i="2"/>
  <c r="S63" i="2"/>
  <c r="Q63" i="2"/>
  <c r="AB62" i="2"/>
  <c r="AA62" i="2"/>
  <c r="Y62" i="2"/>
  <c r="X62" i="2"/>
  <c r="V62" i="2"/>
  <c r="U62" i="2"/>
  <c r="Q62" i="2"/>
  <c r="S62" i="2" s="1"/>
  <c r="AI62" i="2" s="1"/>
  <c r="AJ62" i="2" s="1"/>
  <c r="AB61" i="2"/>
  <c r="AA61" i="2"/>
  <c r="Y61" i="2"/>
  <c r="X61" i="2"/>
  <c r="V61" i="2"/>
  <c r="U61" i="2"/>
  <c r="Q61" i="2"/>
  <c r="S61" i="2" s="1"/>
  <c r="AA60" i="2"/>
  <c r="AB60" i="2" s="1"/>
  <c r="Y60" i="2"/>
  <c r="X60" i="2"/>
  <c r="V60" i="2"/>
  <c r="U60" i="2"/>
  <c r="S60" i="2"/>
  <c r="Q60" i="2"/>
  <c r="BW59" i="2"/>
  <c r="BX59" i="2" s="1"/>
  <c r="AI59" i="2"/>
  <c r="AJ59" i="2" s="1"/>
  <c r="AB59" i="2"/>
  <c r="AA59" i="2"/>
  <c r="Y59" i="2"/>
  <c r="BM59" i="2" s="1"/>
  <c r="BN59" i="2" s="1"/>
  <c r="X59" i="2"/>
  <c r="V59" i="2"/>
  <c r="U59" i="2"/>
  <c r="S59" i="2"/>
  <c r="Q59" i="2"/>
  <c r="AB58" i="2"/>
  <c r="AA58" i="2"/>
  <c r="Y58" i="2"/>
  <c r="X58" i="2"/>
  <c r="U58" i="2"/>
  <c r="V58" i="2" s="1"/>
  <c r="S58" i="2"/>
  <c r="Q58" i="2"/>
  <c r="AB57" i="2"/>
  <c r="AA57" i="2"/>
  <c r="Y57" i="2"/>
  <c r="X57" i="2"/>
  <c r="V57" i="2"/>
  <c r="U57" i="2"/>
  <c r="Q57" i="2"/>
  <c r="S57" i="2" s="1"/>
  <c r="AA56" i="2"/>
  <c r="AB56" i="2" s="1"/>
  <c r="Y56" i="2"/>
  <c r="X56" i="2"/>
  <c r="V56" i="2"/>
  <c r="U56" i="2"/>
  <c r="S56" i="2"/>
  <c r="Q56" i="2"/>
  <c r="AB55" i="2"/>
  <c r="AA55" i="2"/>
  <c r="Y55" i="2"/>
  <c r="X55" i="2"/>
  <c r="V55" i="2"/>
  <c r="U55" i="2"/>
  <c r="Q55" i="2"/>
  <c r="S55" i="2" s="1"/>
  <c r="BH54" i="2"/>
  <c r="BI54" i="2" s="1"/>
  <c r="AA54" i="2"/>
  <c r="AB54" i="2" s="1"/>
  <c r="Y54" i="2"/>
  <c r="X54" i="2"/>
  <c r="U54" i="2"/>
  <c r="V54" i="2" s="1"/>
  <c r="Q54" i="2"/>
  <c r="S54" i="2" s="1"/>
  <c r="AX53" i="2"/>
  <c r="AY53" i="2" s="1"/>
  <c r="AA53" i="2"/>
  <c r="AB53" i="2" s="1"/>
  <c r="Y53" i="2"/>
  <c r="X53" i="2"/>
  <c r="V53" i="2"/>
  <c r="U53" i="2"/>
  <c r="S53" i="2"/>
  <c r="Q53" i="2"/>
  <c r="BC52" i="2"/>
  <c r="BD52" i="2" s="1"/>
  <c r="AA52" i="2"/>
  <c r="AB52" i="2" s="1"/>
  <c r="Y52" i="2"/>
  <c r="X52" i="2"/>
  <c r="U52" i="2"/>
  <c r="V52" i="2" s="1"/>
  <c r="S52" i="2"/>
  <c r="Q52" i="2"/>
  <c r="BC51" i="2"/>
  <c r="BD51" i="2" s="1"/>
  <c r="AS51" i="2"/>
  <c r="AT51" i="2" s="1"/>
  <c r="AN51" i="2"/>
  <c r="AO51" i="2" s="1"/>
  <c r="AP51" i="2" s="1"/>
  <c r="AB51" i="2"/>
  <c r="AA51" i="2"/>
  <c r="Y51" i="2"/>
  <c r="AX51" i="2" s="1"/>
  <c r="AY51" i="2" s="1"/>
  <c r="X51" i="2"/>
  <c r="U51" i="2"/>
  <c r="V51" i="2" s="1"/>
  <c r="S51" i="2"/>
  <c r="Q51" i="2"/>
  <c r="AN50" i="2"/>
  <c r="AO50" i="2" s="1"/>
  <c r="AP50" i="2" s="1"/>
  <c r="AB50" i="2"/>
  <c r="AA50" i="2"/>
  <c r="Y50" i="2"/>
  <c r="BR50" i="2" s="1"/>
  <c r="BS50" i="2" s="1"/>
  <c r="BT50" i="2" s="1"/>
  <c r="X50" i="2"/>
  <c r="U50" i="2"/>
  <c r="V50" i="2" s="1"/>
  <c r="S50" i="2"/>
  <c r="Q50" i="2"/>
  <c r="BW49" i="2"/>
  <c r="BX49" i="2" s="1"/>
  <c r="BY49" i="2" s="1"/>
  <c r="AS49" i="2"/>
  <c r="AT49" i="2" s="1"/>
  <c r="AN49" i="2"/>
  <c r="AO49" i="2" s="1"/>
  <c r="AI49" i="2"/>
  <c r="AJ49" i="2" s="1"/>
  <c r="AB49" i="2"/>
  <c r="AA49" i="2"/>
  <c r="Y49" i="2"/>
  <c r="X49" i="2"/>
  <c r="V49" i="2"/>
  <c r="U49" i="2"/>
  <c r="S49" i="2"/>
  <c r="Q49" i="2"/>
  <c r="BW48" i="2"/>
  <c r="BX48" i="2" s="1"/>
  <c r="BY48" i="2" s="1"/>
  <c r="BR48" i="2"/>
  <c r="BS48" i="2" s="1"/>
  <c r="BM48" i="2"/>
  <c r="BN48" i="2" s="1"/>
  <c r="BO48" i="2" s="1"/>
  <c r="BC48" i="2"/>
  <c r="BD48" i="2" s="1"/>
  <c r="BE48" i="2" s="1"/>
  <c r="AX48" i="2"/>
  <c r="AY48" i="2" s="1"/>
  <c r="AS48" i="2"/>
  <c r="AT48" i="2" s="1"/>
  <c r="AU48" i="2" s="1"/>
  <c r="AI48" i="2"/>
  <c r="AJ48" i="2" s="1"/>
  <c r="AK48" i="2" s="1"/>
  <c r="AD48" i="2"/>
  <c r="AB48" i="2"/>
  <c r="AA48" i="2"/>
  <c r="X48" i="2"/>
  <c r="Y48" i="2" s="1"/>
  <c r="U48" i="2"/>
  <c r="V48" i="2" s="1"/>
  <c r="Q48" i="2"/>
  <c r="S48" i="2" s="1"/>
  <c r="AA47" i="2"/>
  <c r="AB47" i="2" s="1"/>
  <c r="X47" i="2"/>
  <c r="Y47" i="2" s="1"/>
  <c r="U47" i="2"/>
  <c r="V47" i="2" s="1"/>
  <c r="Q47" i="2"/>
  <c r="S47" i="2" s="1"/>
  <c r="AA46" i="2"/>
  <c r="AB46" i="2" s="1"/>
  <c r="X46" i="2"/>
  <c r="Y46" i="2" s="1"/>
  <c r="BC46" i="2" s="1"/>
  <c r="BD46" i="2" s="1"/>
  <c r="U46" i="2"/>
  <c r="V46" i="2" s="1"/>
  <c r="Q46" i="2"/>
  <c r="S46" i="2" s="1"/>
  <c r="BR45" i="2"/>
  <c r="BS45" i="2" s="1"/>
  <c r="AN45" i="2"/>
  <c r="AO45" i="2" s="1"/>
  <c r="AD45" i="2"/>
  <c r="AA45" i="2"/>
  <c r="AB45" i="2" s="1"/>
  <c r="X45" i="2"/>
  <c r="Y45" i="2" s="1"/>
  <c r="U45" i="2"/>
  <c r="V45" i="2" s="1"/>
  <c r="Q45" i="2"/>
  <c r="S45" i="2" s="1"/>
  <c r="BW44" i="2"/>
  <c r="BX44" i="2" s="1"/>
  <c r="BR44" i="2"/>
  <c r="BS44" i="2" s="1"/>
  <c r="BH44" i="2"/>
  <c r="BI44" i="2" s="1"/>
  <c r="BC44" i="2"/>
  <c r="BD44" i="2" s="1"/>
  <c r="AS44" i="2"/>
  <c r="AT44" i="2" s="1"/>
  <c r="AN44" i="2"/>
  <c r="AO44" i="2" s="1"/>
  <c r="AI44" i="2"/>
  <c r="AJ44" i="2" s="1"/>
  <c r="AD44" i="2"/>
  <c r="AE44" i="2" s="1"/>
  <c r="AA44" i="2"/>
  <c r="AB44" i="2" s="1"/>
  <c r="Y44" i="2"/>
  <c r="BM44" i="2" s="1"/>
  <c r="BN44" i="2" s="1"/>
  <c r="X44" i="2"/>
  <c r="U44" i="2"/>
  <c r="V44" i="2" s="1"/>
  <c r="Q44" i="2"/>
  <c r="S44" i="2" s="1"/>
  <c r="BW43" i="2"/>
  <c r="BX43" i="2" s="1"/>
  <c r="BC43" i="2"/>
  <c r="BD43" i="2" s="1"/>
  <c r="AS43" i="2"/>
  <c r="AT43" i="2" s="1"/>
  <c r="AI43" i="2"/>
  <c r="AJ43" i="2" s="1"/>
  <c r="AA43" i="2"/>
  <c r="AB43" i="2" s="1"/>
  <c r="Y43" i="2"/>
  <c r="BM43" i="2" s="1"/>
  <c r="BN43" i="2" s="1"/>
  <c r="X43" i="2"/>
  <c r="U43" i="2"/>
  <c r="V43" i="2" s="1"/>
  <c r="Q43" i="2"/>
  <c r="S43" i="2" s="1"/>
  <c r="BW42" i="2"/>
  <c r="BX42" i="2" s="1"/>
  <c r="BR42" i="2"/>
  <c r="BS42" i="2" s="1"/>
  <c r="BH42" i="2"/>
  <c r="BI42" i="2" s="1"/>
  <c r="BC42" i="2"/>
  <c r="BD42" i="2" s="1"/>
  <c r="AX42" i="2"/>
  <c r="AY42" i="2" s="1"/>
  <c r="AS42" i="2"/>
  <c r="AT42" i="2" s="1"/>
  <c r="AI42" i="2"/>
  <c r="AJ42" i="2" s="1"/>
  <c r="AD42" i="2"/>
  <c r="AA42" i="2"/>
  <c r="AB42" i="2" s="1"/>
  <c r="X42" i="2"/>
  <c r="Y42" i="2" s="1"/>
  <c r="U42" i="2"/>
  <c r="V42" i="2" s="1"/>
  <c r="Q42" i="2"/>
  <c r="S42" i="2" s="1"/>
  <c r="BT41" i="2"/>
  <c r="BR41" i="2"/>
  <c r="BS41" i="2" s="1"/>
  <c r="BJ41" i="2"/>
  <c r="BH41" i="2"/>
  <c r="BI41" i="2" s="1"/>
  <c r="BE41" i="2"/>
  <c r="BC41" i="2"/>
  <c r="BD41" i="2" s="1"/>
  <c r="AX41" i="2"/>
  <c r="AY41" i="2" s="1"/>
  <c r="AU41" i="2"/>
  <c r="AS41" i="2"/>
  <c r="AT41" i="2" s="1"/>
  <c r="AV41" i="2" s="1"/>
  <c r="AD41" i="2"/>
  <c r="AB41" i="2"/>
  <c r="AA41" i="2"/>
  <c r="X41" i="2"/>
  <c r="Y41" i="2" s="1"/>
  <c r="BW41" i="2" s="1"/>
  <c r="BX41" i="2" s="1"/>
  <c r="U41" i="2"/>
  <c r="V41" i="2" s="1"/>
  <c r="Q41" i="2"/>
  <c r="S41" i="2" s="1"/>
  <c r="BM40" i="2"/>
  <c r="BN40" i="2" s="1"/>
  <c r="BH40" i="2"/>
  <c r="BI40" i="2" s="1"/>
  <c r="AD40" i="2"/>
  <c r="AB40" i="2"/>
  <c r="AA40" i="2"/>
  <c r="X40" i="2"/>
  <c r="Y40" i="2" s="1"/>
  <c r="U40" i="2"/>
  <c r="V40" i="2" s="1"/>
  <c r="Q40" i="2"/>
  <c r="S40" i="2" s="1"/>
  <c r="BW39" i="2"/>
  <c r="BX39" i="2" s="1"/>
  <c r="AA39" i="2"/>
  <c r="AB39" i="2" s="1"/>
  <c r="Y39" i="2"/>
  <c r="X39" i="2"/>
  <c r="V39" i="2"/>
  <c r="U39" i="2"/>
  <c r="S39" i="2"/>
  <c r="Q39" i="2"/>
  <c r="AB38" i="2"/>
  <c r="AA38" i="2"/>
  <c r="X38" i="2"/>
  <c r="Y38" i="2" s="1"/>
  <c r="V38" i="2"/>
  <c r="U38" i="2"/>
  <c r="S38" i="2"/>
  <c r="Q38" i="2"/>
  <c r="AB37" i="2"/>
  <c r="AA37" i="2"/>
  <c r="Y37" i="2"/>
  <c r="X37" i="2"/>
  <c r="U37" i="2"/>
  <c r="V37" i="2" s="1"/>
  <c r="S37" i="2"/>
  <c r="Q37" i="2"/>
  <c r="AB36" i="2"/>
  <c r="AA36" i="2"/>
  <c r="Y36" i="2"/>
  <c r="X36" i="2"/>
  <c r="V36" i="2"/>
  <c r="U36" i="2"/>
  <c r="Q36" i="2"/>
  <c r="S36" i="2" s="1"/>
  <c r="AA35" i="2"/>
  <c r="AB35" i="2" s="1"/>
  <c r="Y35" i="2"/>
  <c r="X35" i="2"/>
  <c r="V35" i="2"/>
  <c r="U35" i="2"/>
  <c r="S35" i="2"/>
  <c r="Q35" i="2"/>
  <c r="AB34" i="2"/>
  <c r="AA34" i="2"/>
  <c r="Y34" i="2"/>
  <c r="X34" i="2"/>
  <c r="V34" i="2"/>
  <c r="U34" i="2"/>
  <c r="S34" i="2"/>
  <c r="Q34" i="2"/>
  <c r="AB33" i="2"/>
  <c r="AA33" i="2"/>
  <c r="Y33" i="2"/>
  <c r="X33" i="2"/>
  <c r="U33" i="2"/>
  <c r="V33" i="2" s="1"/>
  <c r="S33" i="2"/>
  <c r="Q33" i="2"/>
  <c r="AB32" i="2"/>
  <c r="AA32" i="2"/>
  <c r="Y32" i="2"/>
  <c r="X32" i="2"/>
  <c r="V32" i="2"/>
  <c r="U32" i="2"/>
  <c r="Q32" i="2"/>
  <c r="S32" i="2" s="1"/>
  <c r="AA31" i="2"/>
  <c r="AB31" i="2" s="1"/>
  <c r="Y31" i="2"/>
  <c r="X31" i="2"/>
  <c r="V31" i="2"/>
  <c r="U31" i="2"/>
  <c r="S31" i="2"/>
  <c r="AD31" i="2" s="1"/>
  <c r="Q31" i="2"/>
  <c r="BH30" i="2"/>
  <c r="BI30" i="2" s="1"/>
  <c r="AQ30" i="2"/>
  <c r="AO30" i="2"/>
  <c r="AP30" i="2" s="1"/>
  <c r="AN30" i="2"/>
  <c r="AB30" i="2"/>
  <c r="AA30" i="2"/>
  <c r="Y30" i="2"/>
  <c r="X30" i="2"/>
  <c r="V30" i="2"/>
  <c r="U30" i="2"/>
  <c r="S30" i="2"/>
  <c r="AD30" i="2" s="1"/>
  <c r="Q30" i="2"/>
  <c r="BC29" i="2"/>
  <c r="BD29" i="2" s="1"/>
  <c r="AB29" i="2"/>
  <c r="AA29" i="2"/>
  <c r="Y29" i="2"/>
  <c r="BM29" i="2" s="1"/>
  <c r="BN29" i="2" s="1"/>
  <c r="X29" i="2"/>
  <c r="U29" i="2"/>
  <c r="V29" i="2" s="1"/>
  <c r="S29" i="2"/>
  <c r="AI29" i="2" s="1"/>
  <c r="AJ29" i="2" s="1"/>
  <c r="Q29" i="2"/>
  <c r="BX28" i="2"/>
  <c r="BY28" i="2" s="1"/>
  <c r="BW28" i="2"/>
  <c r="AS28" i="2"/>
  <c r="AT28" i="2" s="1"/>
  <c r="AB28" i="2"/>
  <c r="AA28" i="2"/>
  <c r="Y28" i="2"/>
  <c r="X28" i="2"/>
  <c r="V28" i="2"/>
  <c r="U28" i="2"/>
  <c r="Q28" i="2"/>
  <c r="S28" i="2" s="1"/>
  <c r="BR27" i="2"/>
  <c r="BS27" i="2" s="1"/>
  <c r="AA27" i="2"/>
  <c r="AB27" i="2" s="1"/>
  <c r="Y27" i="2"/>
  <c r="X27" i="2"/>
  <c r="V27" i="2"/>
  <c r="U27" i="2"/>
  <c r="S27" i="2"/>
  <c r="AX27" i="2" s="1"/>
  <c r="AY27" i="2" s="1"/>
  <c r="Q27" i="2"/>
  <c r="BW26" i="2"/>
  <c r="BX26" i="2" s="1"/>
  <c r="BY26" i="2" s="1"/>
  <c r="BZ26" i="2" s="1"/>
  <c r="BM26" i="2"/>
  <c r="BN26" i="2" s="1"/>
  <c r="AY26" i="2"/>
  <c r="AX26" i="2"/>
  <c r="AI26" i="2"/>
  <c r="AJ26" i="2" s="1"/>
  <c r="AK26" i="2" s="1"/>
  <c r="AL26" i="2" s="1"/>
  <c r="AB26" i="2"/>
  <c r="AA26" i="2"/>
  <c r="Y26" i="2"/>
  <c r="X26" i="2"/>
  <c r="V26" i="2"/>
  <c r="U26" i="2"/>
  <c r="S26" i="2"/>
  <c r="BR26" i="2" s="1"/>
  <c r="BS26" i="2" s="1"/>
  <c r="Q26" i="2"/>
  <c r="AB25" i="2"/>
  <c r="AA25" i="2"/>
  <c r="Y25" i="2"/>
  <c r="BM25" i="2" s="1"/>
  <c r="BN25" i="2" s="1"/>
  <c r="BO25" i="2" s="1"/>
  <c r="X25" i="2"/>
  <c r="U25" i="2"/>
  <c r="V25" i="2" s="1"/>
  <c r="S25" i="2"/>
  <c r="Q25" i="2"/>
  <c r="AB24" i="2"/>
  <c r="AA24" i="2"/>
  <c r="Y24" i="2"/>
  <c r="AX24" i="2" s="1"/>
  <c r="AY24" i="2" s="1"/>
  <c r="X24" i="2"/>
  <c r="V24" i="2"/>
  <c r="U24" i="2"/>
  <c r="Q24" i="2"/>
  <c r="S24" i="2" s="1"/>
  <c r="AA23" i="2"/>
  <c r="AB23" i="2" s="1"/>
  <c r="Y23" i="2"/>
  <c r="AX23" i="2" s="1"/>
  <c r="AY23" i="2" s="1"/>
  <c r="X23" i="2"/>
  <c r="U23" i="2"/>
  <c r="V23" i="2" s="1"/>
  <c r="Q23" i="2"/>
  <c r="S23" i="2" s="1"/>
  <c r="BH22" i="2"/>
  <c r="BI22" i="2" s="1"/>
  <c r="BJ22" i="2" s="1"/>
  <c r="AX22" i="2"/>
  <c r="AY22" i="2" s="1"/>
  <c r="AI22" i="2"/>
  <c r="AJ22" i="2" s="1"/>
  <c r="AK22" i="2" s="1"/>
  <c r="AA22" i="2"/>
  <c r="AB22" i="2" s="1"/>
  <c r="Y22" i="2"/>
  <c r="X22" i="2"/>
  <c r="V22" i="2"/>
  <c r="U22" i="2"/>
  <c r="Q22" i="2"/>
  <c r="S22" i="2" s="1"/>
  <c r="AA21" i="2"/>
  <c r="AB21" i="2" s="1"/>
  <c r="Y21" i="2"/>
  <c r="BC21" i="2" s="1"/>
  <c r="BD21" i="2" s="1"/>
  <c r="X21" i="2"/>
  <c r="U21" i="2"/>
  <c r="V21" i="2" s="1"/>
  <c r="S21" i="2"/>
  <c r="Q21" i="2"/>
  <c r="BR20" i="2"/>
  <c r="BS20" i="2" s="1"/>
  <c r="AA20" i="2"/>
  <c r="AB20" i="2" s="1"/>
  <c r="Y20" i="2"/>
  <c r="X20" i="2"/>
  <c r="V20" i="2"/>
  <c r="U20" i="2"/>
  <c r="S20" i="2"/>
  <c r="Q20" i="2"/>
  <c r="AB19" i="2"/>
  <c r="AA19" i="2"/>
  <c r="Y19" i="2"/>
  <c r="AS19" i="2" s="1"/>
  <c r="AT19" i="2" s="1"/>
  <c r="X19" i="2"/>
  <c r="V19" i="2"/>
  <c r="U19" i="2"/>
  <c r="S19" i="2"/>
  <c r="Q19" i="2"/>
  <c r="AB18" i="2"/>
  <c r="AA18" i="2"/>
  <c r="Y18" i="2"/>
  <c r="X18" i="2"/>
  <c r="U18" i="2"/>
  <c r="V18" i="2" s="1"/>
  <c r="S18" i="2"/>
  <c r="Q18" i="2"/>
  <c r="BH17" i="2"/>
  <c r="BI17" i="2" s="1"/>
  <c r="AY17" i="2"/>
  <c r="AX17" i="2"/>
  <c r="AN17" i="2"/>
  <c r="AO17" i="2" s="1"/>
  <c r="AE17" i="2"/>
  <c r="AD17" i="2"/>
  <c r="AB17" i="2"/>
  <c r="AA17" i="2"/>
  <c r="Y17" i="2"/>
  <c r="X17" i="2"/>
  <c r="V17" i="2"/>
  <c r="U17" i="2"/>
  <c r="S17" i="2"/>
  <c r="Q17" i="2"/>
  <c r="AB16" i="2"/>
  <c r="AA16" i="2"/>
  <c r="Y16" i="2"/>
  <c r="X16" i="2"/>
  <c r="V16" i="2"/>
  <c r="U16" i="2"/>
  <c r="S16" i="2"/>
  <c r="Q16" i="2"/>
  <c r="BN15" i="2"/>
  <c r="BM15" i="2"/>
  <c r="AS15" i="2"/>
  <c r="AT15" i="2" s="1"/>
  <c r="AB15" i="2"/>
  <c r="AA15" i="2"/>
  <c r="Y15" i="2"/>
  <c r="X15" i="2"/>
  <c r="V15" i="2"/>
  <c r="U15" i="2"/>
  <c r="S15" i="2"/>
  <c r="Q15" i="2"/>
  <c r="AB14" i="2"/>
  <c r="AA14" i="2"/>
  <c r="Y14" i="2"/>
  <c r="X14" i="2"/>
  <c r="V14" i="2"/>
  <c r="U14" i="2"/>
  <c r="S14" i="2"/>
  <c r="Q14" i="2"/>
  <c r="AB13" i="2"/>
  <c r="AA13" i="2"/>
  <c r="Y13" i="2"/>
  <c r="X13" i="2"/>
  <c r="V13" i="2"/>
  <c r="U13" i="2"/>
  <c r="Q13" i="2"/>
  <c r="S13" i="2" s="1"/>
  <c r="AA12" i="2"/>
  <c r="AB12" i="2" s="1"/>
  <c r="Y12" i="2"/>
  <c r="X12" i="2"/>
  <c r="V12" i="2"/>
  <c r="U12" i="2"/>
  <c r="S12" i="2"/>
  <c r="Q12" i="2"/>
  <c r="AB11" i="2"/>
  <c r="AA11" i="2"/>
  <c r="X11" i="2"/>
  <c r="Y11" i="2" s="1"/>
  <c r="V11" i="2"/>
  <c r="U11" i="2"/>
  <c r="S11" i="2"/>
  <c r="Q11" i="2"/>
  <c r="AB10" i="2"/>
  <c r="AA10" i="2"/>
  <c r="Y10" i="2"/>
  <c r="X10" i="2"/>
  <c r="U10" i="2"/>
  <c r="V10" i="2" s="1"/>
  <c r="S10" i="2"/>
  <c r="Q10" i="2"/>
  <c r="AB9" i="2"/>
  <c r="AA9" i="2"/>
  <c r="Y9" i="2"/>
  <c r="X9" i="2"/>
  <c r="V9" i="2"/>
  <c r="U9" i="2"/>
  <c r="Q9" i="2"/>
  <c r="S9" i="2" s="1"/>
  <c r="AA8" i="2"/>
  <c r="AB8" i="2" s="1"/>
  <c r="Y8" i="2"/>
  <c r="X8" i="2"/>
  <c r="V8" i="2"/>
  <c r="U8" i="2"/>
  <c r="S8" i="2"/>
  <c r="Q8" i="2"/>
  <c r="AB7" i="2"/>
  <c r="AA7" i="2"/>
  <c r="Y7" i="2"/>
  <c r="BW7" i="2" s="1"/>
  <c r="BX7" i="2" s="1"/>
  <c r="X7" i="2"/>
  <c r="V7" i="2"/>
  <c r="U7" i="2"/>
  <c r="S7" i="2"/>
  <c r="Q7" i="2"/>
  <c r="AB6" i="2"/>
  <c r="AA6" i="2"/>
  <c r="Y6" i="2"/>
  <c r="AX6" i="2" s="1"/>
  <c r="AY6" i="2" s="1"/>
  <c r="X6" i="2"/>
  <c r="V6" i="2"/>
  <c r="U6" i="2"/>
  <c r="Q6" i="2"/>
  <c r="S6" i="2" s="1"/>
  <c r="BH5" i="2"/>
  <c r="BI5" i="2" s="1"/>
  <c r="AB5" i="2"/>
  <c r="AA5" i="2"/>
  <c r="Y5" i="2"/>
  <c r="AX5" i="2" s="1"/>
  <c r="AY5" i="2" s="1"/>
  <c r="X5" i="2"/>
  <c r="V5" i="2"/>
  <c r="U5" i="2"/>
  <c r="S5" i="2"/>
  <c r="Q5" i="2"/>
  <c r="BM4" i="2"/>
  <c r="BN4" i="2" s="1"/>
  <c r="AB4" i="2"/>
  <c r="AA4" i="2"/>
  <c r="Y4" i="2"/>
  <c r="BW4" i="2" s="1"/>
  <c r="BX4" i="2" s="1"/>
  <c r="X4" i="2"/>
  <c r="V4" i="2"/>
  <c r="U4" i="2"/>
  <c r="S4" i="2"/>
  <c r="Q4" i="2"/>
  <c r="AB3" i="2"/>
  <c r="AA3" i="2"/>
  <c r="Y3" i="2"/>
  <c r="BM3" i="2" s="1"/>
  <c r="BN3" i="2" s="1"/>
  <c r="X3" i="2"/>
  <c r="U3" i="2"/>
  <c r="V3" i="2" s="1"/>
  <c r="Q3" i="2"/>
  <c r="S3" i="2" s="1"/>
  <c r="AA2" i="2"/>
  <c r="AB2" i="2" s="1"/>
  <c r="Y2" i="2"/>
  <c r="BR2" i="2" s="1"/>
  <c r="BS2" i="2" s="1"/>
  <c r="X2" i="2"/>
  <c r="V2" i="2"/>
  <c r="U2" i="2"/>
  <c r="Q2" i="2"/>
  <c r="S2" i="2" s="1"/>
  <c r="BW51" i="1"/>
  <c r="BX51" i="1" s="1"/>
  <c r="BM51" i="1"/>
  <c r="BN51" i="1" s="1"/>
  <c r="BC51" i="1"/>
  <c r="BD51" i="1" s="1"/>
  <c r="AS51" i="1"/>
  <c r="AT51" i="1" s="1"/>
  <c r="AI51" i="1"/>
  <c r="AJ51" i="1" s="1"/>
  <c r="AA51" i="1"/>
  <c r="AB51" i="1" s="1"/>
  <c r="Y51" i="1"/>
  <c r="X51" i="1"/>
  <c r="V51" i="1"/>
  <c r="U51" i="1"/>
  <c r="S51" i="1"/>
  <c r="BR51" i="1" s="1"/>
  <c r="BS51" i="1" s="1"/>
  <c r="Q51" i="1"/>
  <c r="AB50" i="1"/>
  <c r="AA50" i="1"/>
  <c r="Y50" i="1"/>
  <c r="X50" i="1"/>
  <c r="U50" i="1"/>
  <c r="V50" i="1" s="1"/>
  <c r="S50" i="1"/>
  <c r="Q50" i="1"/>
  <c r="AB49" i="1"/>
  <c r="AA49" i="1"/>
  <c r="Y49" i="1"/>
  <c r="X49" i="1"/>
  <c r="U49" i="1"/>
  <c r="V49" i="1" s="1"/>
  <c r="Q49" i="1"/>
  <c r="S49" i="1" s="1"/>
  <c r="BH49" i="1" s="1"/>
  <c r="BI49" i="1" s="1"/>
  <c r="AA48" i="1"/>
  <c r="AB48" i="1" s="1"/>
  <c r="Y48" i="1"/>
  <c r="X48" i="1"/>
  <c r="V48" i="1"/>
  <c r="U48" i="1"/>
  <c r="Q48" i="1"/>
  <c r="S48" i="1" s="1"/>
  <c r="BM47" i="1"/>
  <c r="BN47" i="1" s="1"/>
  <c r="BC47" i="1"/>
  <c r="BD47" i="1" s="1"/>
  <c r="AS47" i="1"/>
  <c r="AT47" i="1" s="1"/>
  <c r="AA47" i="1"/>
  <c r="AB47" i="1" s="1"/>
  <c r="Y47" i="1"/>
  <c r="X47" i="1"/>
  <c r="V47" i="1"/>
  <c r="U47" i="1"/>
  <c r="Q47" i="1"/>
  <c r="S47" i="1" s="1"/>
  <c r="AA46" i="1"/>
  <c r="AB46" i="1" s="1"/>
  <c r="X46" i="1"/>
  <c r="Y46" i="1" s="1"/>
  <c r="U46" i="1"/>
  <c r="V46" i="1" s="1"/>
  <c r="S46" i="1"/>
  <c r="Q46" i="1"/>
  <c r="BR45" i="1"/>
  <c r="BS45" i="1" s="1"/>
  <c r="BH45" i="1"/>
  <c r="BI45" i="1" s="1"/>
  <c r="AD45" i="1"/>
  <c r="AE45" i="1" s="1"/>
  <c r="AB45" i="1"/>
  <c r="AA45" i="1"/>
  <c r="Y45" i="1"/>
  <c r="X45" i="1"/>
  <c r="U45" i="1"/>
  <c r="V45" i="1" s="1"/>
  <c r="Q45" i="1"/>
  <c r="S45" i="1" s="1"/>
  <c r="AN45" i="1" s="1"/>
  <c r="AO45" i="1" s="1"/>
  <c r="AI44" i="1"/>
  <c r="AJ44" i="1" s="1"/>
  <c r="AA44" i="1"/>
  <c r="AB44" i="1" s="1"/>
  <c r="Y44" i="1"/>
  <c r="BW44" i="1" s="1"/>
  <c r="BX44" i="1" s="1"/>
  <c r="X44" i="1"/>
  <c r="U44" i="1"/>
  <c r="V44" i="1" s="1"/>
  <c r="Q44" i="1"/>
  <c r="S44" i="1" s="1"/>
  <c r="BW43" i="1"/>
  <c r="BX43" i="1" s="1"/>
  <c r="BM43" i="1"/>
  <c r="BN43" i="1" s="1"/>
  <c r="BC43" i="1"/>
  <c r="BD43" i="1" s="1"/>
  <c r="AS43" i="1"/>
  <c r="AT43" i="1" s="1"/>
  <c r="AA43" i="1"/>
  <c r="AB43" i="1" s="1"/>
  <c r="Y43" i="1"/>
  <c r="X43" i="1"/>
  <c r="U43" i="1"/>
  <c r="V43" i="1" s="1"/>
  <c r="Q43" i="1"/>
  <c r="S43" i="1" s="1"/>
  <c r="AY42" i="1"/>
  <c r="AX42" i="1"/>
  <c r="AD42" i="1"/>
  <c r="AE42" i="1" s="1"/>
  <c r="AA42" i="1"/>
  <c r="AB42" i="1" s="1"/>
  <c r="Y42" i="1"/>
  <c r="X42" i="1"/>
  <c r="U42" i="1"/>
  <c r="V42" i="1" s="1"/>
  <c r="S42" i="1"/>
  <c r="Q42" i="1"/>
  <c r="BR41" i="1"/>
  <c r="BS41" i="1" s="1"/>
  <c r="BH41" i="1"/>
  <c r="BI41" i="1" s="1"/>
  <c r="AX41" i="1"/>
  <c r="AY41" i="1" s="1"/>
  <c r="AN41" i="1"/>
  <c r="AO41" i="1" s="1"/>
  <c r="AA41" i="1"/>
  <c r="AB41" i="1" s="1"/>
  <c r="Y41" i="1"/>
  <c r="X41" i="1"/>
  <c r="U41" i="1"/>
  <c r="V41" i="1" s="1"/>
  <c r="Q41" i="1"/>
  <c r="S41" i="1" s="1"/>
  <c r="BH40" i="1"/>
  <c r="BI40" i="1" s="1"/>
  <c r="AS40" i="1"/>
  <c r="AT40" i="1" s="1"/>
  <c r="AN40" i="1"/>
  <c r="AO40" i="1" s="1"/>
  <c r="AA40" i="1"/>
  <c r="AB40" i="1" s="1"/>
  <c r="Y40" i="1"/>
  <c r="X40" i="1"/>
  <c r="U40" i="1"/>
  <c r="V40" i="1" s="1"/>
  <c r="Q40" i="1"/>
  <c r="S40" i="1" s="1"/>
  <c r="AA39" i="1"/>
  <c r="AB39" i="1" s="1"/>
  <c r="Y39" i="1"/>
  <c r="X39" i="1"/>
  <c r="V39" i="1"/>
  <c r="U39" i="1"/>
  <c r="S39" i="1"/>
  <c r="BR39" i="1" s="1"/>
  <c r="BS39" i="1" s="1"/>
  <c r="Q39" i="1"/>
  <c r="AA38" i="1"/>
  <c r="AB38" i="1" s="1"/>
  <c r="Y38" i="1"/>
  <c r="X38" i="1"/>
  <c r="U38" i="1"/>
  <c r="V38" i="1" s="1"/>
  <c r="Q38" i="1"/>
  <c r="S38" i="1" s="1"/>
  <c r="AA37" i="1"/>
  <c r="AB37" i="1" s="1"/>
  <c r="Y37" i="1"/>
  <c r="X37" i="1"/>
  <c r="U37" i="1"/>
  <c r="V37" i="1" s="1"/>
  <c r="Q37" i="1"/>
  <c r="S37" i="1" s="1"/>
  <c r="AA36" i="1"/>
  <c r="AB36" i="1" s="1"/>
  <c r="Y36" i="1"/>
  <c r="X36" i="1"/>
  <c r="U36" i="1"/>
  <c r="V36" i="1" s="1"/>
  <c r="Q36" i="1"/>
  <c r="S36" i="1" s="1"/>
  <c r="AA35" i="1"/>
  <c r="AB35" i="1" s="1"/>
  <c r="Y35" i="1"/>
  <c r="X35" i="1"/>
  <c r="U35" i="1"/>
  <c r="V35" i="1" s="1"/>
  <c r="Q35" i="1"/>
  <c r="S35" i="1" s="1"/>
  <c r="AA34" i="1"/>
  <c r="AB34" i="1" s="1"/>
  <c r="X34" i="1"/>
  <c r="Y34" i="1" s="1"/>
  <c r="U34" i="1"/>
  <c r="V34" i="1" s="1"/>
  <c r="Q34" i="1"/>
  <c r="S34" i="1" s="1"/>
  <c r="AI33" i="1"/>
  <c r="AJ33" i="1" s="1"/>
  <c r="AA33" i="1"/>
  <c r="AB33" i="1" s="1"/>
  <c r="Y33" i="1"/>
  <c r="BR33" i="1" s="1"/>
  <c r="BS33" i="1" s="1"/>
  <c r="X33" i="1"/>
  <c r="U33" i="1"/>
  <c r="V33" i="1" s="1"/>
  <c r="Q33" i="1"/>
  <c r="S33" i="1" s="1"/>
  <c r="AA32" i="1"/>
  <c r="AB32" i="1" s="1"/>
  <c r="Y32" i="1"/>
  <c r="X32" i="1"/>
  <c r="U32" i="1"/>
  <c r="V32" i="1" s="1"/>
  <c r="Q32" i="1"/>
  <c r="S32" i="1" s="1"/>
  <c r="BH31" i="1"/>
  <c r="BI31" i="1" s="1"/>
  <c r="AX31" i="1"/>
  <c r="AY31" i="1" s="1"/>
  <c r="AA31" i="1"/>
  <c r="AB31" i="1" s="1"/>
  <c r="Y31" i="1"/>
  <c r="X31" i="1"/>
  <c r="U31" i="1"/>
  <c r="V31" i="1" s="1"/>
  <c r="Q31" i="1"/>
  <c r="S31" i="1" s="1"/>
  <c r="AN31" i="1" s="1"/>
  <c r="AO31" i="1" s="1"/>
  <c r="AA30" i="1"/>
  <c r="AB30" i="1" s="1"/>
  <c r="X30" i="1"/>
  <c r="Y30" i="1" s="1"/>
  <c r="AX30" i="1" s="1"/>
  <c r="AY30" i="1" s="1"/>
  <c r="U30" i="1"/>
  <c r="V30" i="1" s="1"/>
  <c r="Q30" i="1"/>
  <c r="S30" i="1" s="1"/>
  <c r="AA29" i="1"/>
  <c r="AB29" i="1" s="1"/>
  <c r="Y29" i="1"/>
  <c r="X29" i="1"/>
  <c r="U29" i="1"/>
  <c r="V29" i="1" s="1"/>
  <c r="Q29" i="1"/>
  <c r="S29" i="1" s="1"/>
  <c r="AS29" i="1" s="1"/>
  <c r="AT29" i="1" s="1"/>
  <c r="BM28" i="1"/>
  <c r="BN28" i="1" s="1"/>
  <c r="BC28" i="1"/>
  <c r="BD28" i="1" s="1"/>
  <c r="AA28" i="1"/>
  <c r="AB28" i="1" s="1"/>
  <c r="Y28" i="1"/>
  <c r="X28" i="1"/>
  <c r="U28" i="1"/>
  <c r="V28" i="1" s="1"/>
  <c r="Q28" i="1"/>
  <c r="S28" i="1" s="1"/>
  <c r="AS28" i="1" s="1"/>
  <c r="AT28" i="1" s="1"/>
  <c r="BR27" i="1"/>
  <c r="BS27" i="1" s="1"/>
  <c r="BH27" i="1"/>
  <c r="BI27" i="1" s="1"/>
  <c r="AZ27" i="1"/>
  <c r="AX27" i="1"/>
  <c r="AY27" i="1" s="1"/>
  <c r="AN27" i="1"/>
  <c r="AO27" i="1" s="1"/>
  <c r="AD27" i="1"/>
  <c r="AE27" i="1" s="1"/>
  <c r="AA27" i="1"/>
  <c r="AB27" i="1" s="1"/>
  <c r="Y27" i="1"/>
  <c r="X27" i="1"/>
  <c r="U27" i="1"/>
  <c r="V27" i="1" s="1"/>
  <c r="Q27" i="1"/>
  <c r="S27" i="1" s="1"/>
  <c r="BR26" i="1"/>
  <c r="BS26" i="1" s="1"/>
  <c r="BH26" i="1"/>
  <c r="BI26" i="1" s="1"/>
  <c r="AX26" i="1"/>
  <c r="AY26" i="1" s="1"/>
  <c r="AN26" i="1"/>
  <c r="AO26" i="1" s="1"/>
  <c r="AD26" i="1"/>
  <c r="AE26" i="1" s="1"/>
  <c r="AA26" i="1"/>
  <c r="AB26" i="1" s="1"/>
  <c r="Y26" i="1"/>
  <c r="X26" i="1"/>
  <c r="U26" i="1"/>
  <c r="V26" i="1" s="1"/>
  <c r="Q26" i="1"/>
  <c r="S26" i="1" s="1"/>
  <c r="BW25" i="1"/>
  <c r="BX25" i="1" s="1"/>
  <c r="BM25" i="1"/>
  <c r="BN25" i="1" s="1"/>
  <c r="AI25" i="1"/>
  <c r="AJ25" i="1" s="1"/>
  <c r="AA25" i="1"/>
  <c r="AB25" i="1" s="1"/>
  <c r="X25" i="1"/>
  <c r="Y25" i="1" s="1"/>
  <c r="U25" i="1"/>
  <c r="V25" i="1" s="1"/>
  <c r="Q25" i="1"/>
  <c r="S25" i="1" s="1"/>
  <c r="AA24" i="1"/>
  <c r="AB24" i="1" s="1"/>
  <c r="Y24" i="1"/>
  <c r="X24" i="1"/>
  <c r="U24" i="1"/>
  <c r="V24" i="1" s="1"/>
  <c r="Q24" i="1"/>
  <c r="S24" i="1" s="1"/>
  <c r="BW24" i="1" s="1"/>
  <c r="BX24" i="1" s="1"/>
  <c r="AA23" i="1"/>
  <c r="AB23" i="1" s="1"/>
  <c r="Y23" i="1"/>
  <c r="X23" i="1"/>
  <c r="U23" i="1"/>
  <c r="V23" i="1" s="1"/>
  <c r="Q23" i="1"/>
  <c r="S23" i="1" s="1"/>
  <c r="BR22" i="1"/>
  <c r="BS22" i="1" s="1"/>
  <c r="AX22" i="1"/>
  <c r="AY22" i="1" s="1"/>
  <c r="AN22" i="1"/>
  <c r="AO22" i="1" s="1"/>
  <c r="AD22" i="1"/>
  <c r="AA22" i="1"/>
  <c r="AB22" i="1" s="1"/>
  <c r="Y22" i="1"/>
  <c r="X22" i="1"/>
  <c r="U22" i="1"/>
  <c r="V22" i="1" s="1"/>
  <c r="S22" i="1"/>
  <c r="Q22" i="1"/>
  <c r="BN21" i="1"/>
  <c r="BO21" i="1" s="1"/>
  <c r="BP21" i="1" s="1"/>
  <c r="BM21" i="1"/>
  <c r="BC21" i="1"/>
  <c r="BD21" i="1" s="1"/>
  <c r="AI21" i="1"/>
  <c r="AJ21" i="1" s="1"/>
  <c r="AB21" i="1"/>
  <c r="AA21" i="1"/>
  <c r="Y21" i="1"/>
  <c r="X21" i="1"/>
  <c r="U21" i="1"/>
  <c r="V21" i="1" s="1"/>
  <c r="Q21" i="1"/>
  <c r="S21" i="1" s="1"/>
  <c r="BW20" i="1"/>
  <c r="BX20" i="1" s="1"/>
  <c r="BT20" i="1"/>
  <c r="BR20" i="1"/>
  <c r="BS20" i="1" s="1"/>
  <c r="BU20" i="1" s="1"/>
  <c r="BH20" i="1"/>
  <c r="BI20" i="1" s="1"/>
  <c r="BC20" i="1"/>
  <c r="BD20" i="1" s="1"/>
  <c r="AN20" i="1"/>
  <c r="AO20" i="1" s="1"/>
  <c r="AP20" i="1" s="1"/>
  <c r="AQ20" i="1" s="1"/>
  <c r="AJ20" i="1"/>
  <c r="AI20" i="1"/>
  <c r="AA20" i="1"/>
  <c r="AB20" i="1" s="1"/>
  <c r="Y20" i="1"/>
  <c r="BM20" i="1" s="1"/>
  <c r="BN20" i="1" s="1"/>
  <c r="X20" i="1"/>
  <c r="V20" i="1"/>
  <c r="U20" i="1"/>
  <c r="Q20" i="1"/>
  <c r="S20" i="1" s="1"/>
  <c r="AA19" i="1"/>
  <c r="AB19" i="1" s="1"/>
  <c r="Y19" i="1"/>
  <c r="X19" i="1"/>
  <c r="V19" i="1"/>
  <c r="U19" i="1"/>
  <c r="S19" i="1"/>
  <c r="AD19" i="1" s="1"/>
  <c r="Q19" i="1"/>
  <c r="AN18" i="1"/>
  <c r="AO18" i="1" s="1"/>
  <c r="AB18" i="1"/>
  <c r="AA18" i="1"/>
  <c r="Y18" i="1"/>
  <c r="X18" i="1"/>
  <c r="U18" i="1"/>
  <c r="V18" i="1" s="1"/>
  <c r="S18" i="1"/>
  <c r="BM18" i="1" s="1"/>
  <c r="BN18" i="1" s="1"/>
  <c r="Q18" i="1"/>
  <c r="BM17" i="1"/>
  <c r="BN17" i="1" s="1"/>
  <c r="AS17" i="1"/>
  <c r="AT17" i="1" s="1"/>
  <c r="AA17" i="1"/>
  <c r="AB17" i="1" s="1"/>
  <c r="Y17" i="1"/>
  <c r="X17" i="1"/>
  <c r="U17" i="1"/>
  <c r="V17" i="1" s="1"/>
  <c r="Q17" i="1"/>
  <c r="S17" i="1" s="1"/>
  <c r="AA16" i="1"/>
  <c r="AB16" i="1" s="1"/>
  <c r="Y16" i="1"/>
  <c r="BW16" i="1" s="1"/>
  <c r="BX16" i="1" s="1"/>
  <c r="X16" i="1"/>
  <c r="U16" i="1"/>
  <c r="V16" i="1" s="1"/>
  <c r="Q16" i="1"/>
  <c r="S16" i="1" s="1"/>
  <c r="BR15" i="1"/>
  <c r="BS15" i="1" s="1"/>
  <c r="BH15" i="1"/>
  <c r="BI15" i="1" s="1"/>
  <c r="AX15" i="1"/>
  <c r="AY15" i="1" s="1"/>
  <c r="AP15" i="1"/>
  <c r="AO15" i="1"/>
  <c r="AQ15" i="1" s="1"/>
  <c r="AN15" i="1"/>
  <c r="AD15" i="1"/>
  <c r="AB15" i="1"/>
  <c r="AA15" i="1"/>
  <c r="X15" i="1"/>
  <c r="Y15" i="1" s="1"/>
  <c r="V15" i="1"/>
  <c r="U15" i="1"/>
  <c r="S15" i="1"/>
  <c r="Q15" i="1"/>
  <c r="AB14" i="1"/>
  <c r="AA14" i="1"/>
  <c r="Y14" i="1"/>
  <c r="BC14" i="1" s="1"/>
  <c r="BD14" i="1" s="1"/>
  <c r="X14" i="1"/>
  <c r="U14" i="1"/>
  <c r="V14" i="1" s="1"/>
  <c r="Q14" i="1"/>
  <c r="S14" i="1" s="1"/>
  <c r="BW13" i="1"/>
  <c r="BX13" i="1" s="1"/>
  <c r="BM13" i="1"/>
  <c r="BN13" i="1" s="1"/>
  <c r="AI13" i="1"/>
  <c r="AJ13" i="1" s="1"/>
  <c r="AA13" i="1"/>
  <c r="AB13" i="1" s="1"/>
  <c r="Y13" i="1"/>
  <c r="X13" i="1"/>
  <c r="U13" i="1"/>
  <c r="V13" i="1" s="1"/>
  <c r="Q13" i="1"/>
  <c r="S13" i="1" s="1"/>
  <c r="AS13" i="1" s="1"/>
  <c r="AT13" i="1" s="1"/>
  <c r="BY12" i="1"/>
  <c r="BX12" i="1"/>
  <c r="BW12" i="1"/>
  <c r="BR12" i="1"/>
  <c r="BS12" i="1" s="1"/>
  <c r="BN12" i="1"/>
  <c r="BM12" i="1"/>
  <c r="BC12" i="1"/>
  <c r="BD12" i="1" s="1"/>
  <c r="AI12" i="1"/>
  <c r="AJ12" i="1" s="1"/>
  <c r="AF12" i="1"/>
  <c r="AE12" i="1"/>
  <c r="AG12" i="1" s="1"/>
  <c r="AD12" i="1"/>
  <c r="AA12" i="1"/>
  <c r="AB12" i="1" s="1"/>
  <c r="Y12" i="1"/>
  <c r="X12" i="1"/>
  <c r="V12" i="1"/>
  <c r="U12" i="1"/>
  <c r="S12" i="1"/>
  <c r="Q12" i="1"/>
  <c r="BY11" i="1"/>
  <c r="BW11" i="1"/>
  <c r="BX11" i="1" s="1"/>
  <c r="BZ11" i="1" s="1"/>
  <c r="BM11" i="1"/>
  <c r="BN11" i="1" s="1"/>
  <c r="AV11" i="1"/>
  <c r="AU11" i="1"/>
  <c r="AQ11" i="1"/>
  <c r="AP11" i="1"/>
  <c r="AN11" i="1"/>
  <c r="AB11" i="1"/>
  <c r="AA11" i="1"/>
  <c r="Y11" i="1"/>
  <c r="AX11" i="1" s="1"/>
  <c r="AY11" i="1" s="1"/>
  <c r="X11" i="1"/>
  <c r="U11" i="1"/>
  <c r="V11" i="1" s="1"/>
  <c r="S11" i="1"/>
  <c r="AB10" i="1"/>
  <c r="AA10" i="1"/>
  <c r="Y10" i="1"/>
  <c r="X10" i="1"/>
  <c r="V10" i="1"/>
  <c r="U10" i="1"/>
  <c r="S10" i="1"/>
  <c r="BW9" i="1"/>
  <c r="BX9" i="1" s="1"/>
  <c r="BY9" i="1" s="1"/>
  <c r="BZ9" i="1" s="1"/>
  <c r="BR9" i="1"/>
  <c r="BS9" i="1" s="1"/>
  <c r="BI9" i="1"/>
  <c r="BH9" i="1"/>
  <c r="BF9" i="1"/>
  <c r="BE9" i="1"/>
  <c r="BC9" i="1"/>
  <c r="BD9" i="1" s="1"/>
  <c r="AX9" i="1"/>
  <c r="AY9" i="1" s="1"/>
  <c r="AU9" i="1"/>
  <c r="AS9" i="1"/>
  <c r="AT9" i="1" s="1"/>
  <c r="AV9" i="1" s="1"/>
  <c r="AO9" i="1"/>
  <c r="AP9" i="1" s="1"/>
  <c r="AQ9" i="1" s="1"/>
  <c r="AN9" i="1"/>
  <c r="AI9" i="1"/>
  <c r="AJ9" i="1" s="1"/>
  <c r="AD9" i="1"/>
  <c r="AE9" i="1" s="1"/>
  <c r="AA9" i="1"/>
  <c r="AB9" i="1" s="1"/>
  <c r="Y9" i="1"/>
  <c r="X9" i="1"/>
  <c r="V9" i="1"/>
  <c r="U9" i="1"/>
  <c r="S9" i="1"/>
  <c r="BM9" i="1" s="1"/>
  <c r="BN9" i="1" s="1"/>
  <c r="BW8" i="1"/>
  <c r="BX8" i="1" s="1"/>
  <c r="BR8" i="1"/>
  <c r="BS8" i="1" s="1"/>
  <c r="BM8" i="1"/>
  <c r="BN8" i="1" s="1"/>
  <c r="BH8" i="1"/>
  <c r="BI8" i="1" s="1"/>
  <c r="BC8" i="1"/>
  <c r="BD8" i="1" s="1"/>
  <c r="AX8" i="1"/>
  <c r="AY8" i="1" s="1"/>
  <c r="AS8" i="1"/>
  <c r="AT8" i="1" s="1"/>
  <c r="AN8" i="1"/>
  <c r="AO8" i="1" s="1"/>
  <c r="AI8" i="1"/>
  <c r="AJ8" i="1" s="1"/>
  <c r="AD8" i="1"/>
  <c r="CA8" i="1" s="1"/>
  <c r="AB8" i="1"/>
  <c r="AA8" i="1"/>
  <c r="Y8" i="1"/>
  <c r="X8" i="1"/>
  <c r="U8" i="1"/>
  <c r="V8" i="1" s="1"/>
  <c r="S8" i="1"/>
  <c r="AB7" i="1"/>
  <c r="AA7" i="1"/>
  <c r="Y7" i="1"/>
  <c r="BR7" i="1" s="1"/>
  <c r="BS7" i="1" s="1"/>
  <c r="X7" i="1"/>
  <c r="V7" i="1"/>
  <c r="U7" i="1"/>
  <c r="S7" i="1"/>
  <c r="Q7" i="1"/>
  <c r="AB6" i="1"/>
  <c r="AA6" i="1"/>
  <c r="Y6" i="1"/>
  <c r="BR6" i="1" s="1"/>
  <c r="BS6" i="1" s="1"/>
  <c r="X6" i="1"/>
  <c r="V6" i="1"/>
  <c r="U6" i="1"/>
  <c r="S6" i="1"/>
  <c r="Q6" i="1"/>
  <c r="AB5" i="1"/>
  <c r="AA5" i="1"/>
  <c r="Y5" i="1"/>
  <c r="X5" i="1"/>
  <c r="V5" i="1"/>
  <c r="U5" i="1"/>
  <c r="S5" i="1"/>
  <c r="BR5" i="1" s="1"/>
  <c r="BS5" i="1" s="1"/>
  <c r="Q5" i="1"/>
  <c r="AB4" i="1"/>
  <c r="AA4" i="1"/>
  <c r="Y4" i="1"/>
  <c r="X4" i="1"/>
  <c r="V4" i="1"/>
  <c r="U4" i="1"/>
  <c r="S4" i="1"/>
  <c r="Q4" i="1"/>
  <c r="AB3" i="1"/>
  <c r="AA3" i="1"/>
  <c r="Y3" i="1"/>
  <c r="X3" i="1"/>
  <c r="V3" i="1"/>
  <c r="U3" i="1"/>
  <c r="S3" i="1"/>
  <c r="Q3" i="1"/>
  <c r="AB2" i="1"/>
  <c r="AA2" i="1"/>
  <c r="Y2" i="1"/>
  <c r="X2" i="1"/>
  <c r="V2" i="1"/>
  <c r="U2" i="1"/>
  <c r="S2" i="1"/>
  <c r="Q2" i="1"/>
  <c r="J40" i="3" l="1"/>
  <c r="J43" i="3"/>
  <c r="J45" i="3"/>
  <c r="J48" i="3"/>
  <c r="L46" i="3"/>
  <c r="J44" i="3"/>
  <c r="L42" i="3"/>
  <c r="L41" i="3"/>
  <c r="J39" i="3"/>
  <c r="J47" i="3"/>
  <c r="D42" i="3"/>
  <c r="B45" i="3"/>
  <c r="N45" i="3" s="1"/>
  <c r="D43" i="3"/>
  <c r="F41" i="3"/>
  <c r="B44" i="3"/>
  <c r="F48" i="3"/>
  <c r="B46" i="3"/>
  <c r="N46" i="3" s="1"/>
  <c r="D44" i="3"/>
  <c r="F42" i="3"/>
  <c r="B47" i="3"/>
  <c r="D45" i="3"/>
  <c r="F43" i="3"/>
  <c r="B48" i="3"/>
  <c r="D46" i="3"/>
  <c r="F44" i="3"/>
  <c r="D39" i="3"/>
  <c r="D47" i="3"/>
  <c r="F45" i="3"/>
  <c r="D40" i="3"/>
  <c r="D48" i="3"/>
  <c r="F46" i="3"/>
  <c r="D41" i="3"/>
  <c r="F39" i="3"/>
  <c r="F47" i="3"/>
  <c r="F40" i="3"/>
  <c r="B39" i="3"/>
  <c r="B40" i="3"/>
  <c r="B41" i="3"/>
  <c r="B42" i="3"/>
  <c r="B43" i="3"/>
  <c r="H25" i="3"/>
  <c r="F35" i="3"/>
  <c r="B35" i="3"/>
  <c r="D35" i="3"/>
  <c r="L5" i="3" s="1"/>
  <c r="O5" i="3" s="1"/>
  <c r="AP18" i="1"/>
  <c r="AQ18" i="1" s="1"/>
  <c r="AZ22" i="1"/>
  <c r="BA22" i="1" s="1"/>
  <c r="AQ31" i="1"/>
  <c r="AP31" i="1"/>
  <c r="BP17" i="1"/>
  <c r="BO17" i="1"/>
  <c r="AU28" i="1"/>
  <c r="AV28" i="1" s="1"/>
  <c r="BE8" i="1"/>
  <c r="BF8" i="1" s="1"/>
  <c r="AL12" i="1"/>
  <c r="AK12" i="1"/>
  <c r="AV13" i="1"/>
  <c r="AU13" i="1"/>
  <c r="BR14" i="1"/>
  <c r="BS14" i="1" s="1"/>
  <c r="AS14" i="1"/>
  <c r="AT14" i="1" s="1"/>
  <c r="AD14" i="1"/>
  <c r="BE20" i="1"/>
  <c r="BF20" i="1" s="1"/>
  <c r="BU22" i="1"/>
  <c r="BT22" i="1"/>
  <c r="BY13" i="1"/>
  <c r="BZ13" i="1" s="1"/>
  <c r="BA9" i="1"/>
  <c r="AZ9" i="1"/>
  <c r="AZ15" i="1"/>
  <c r="BA15" i="1"/>
  <c r="BO18" i="1"/>
  <c r="BP18" i="1" s="1"/>
  <c r="AE19" i="1"/>
  <c r="BW23" i="1"/>
  <c r="BX23" i="1" s="1"/>
  <c r="BM23" i="1"/>
  <c r="BN23" i="1" s="1"/>
  <c r="BC23" i="1"/>
  <c r="BD23" i="1" s="1"/>
  <c r="AS23" i="1"/>
  <c r="AT23" i="1" s="1"/>
  <c r="AI23" i="1"/>
  <c r="AJ23" i="1" s="1"/>
  <c r="BH23" i="1"/>
  <c r="BI23" i="1" s="1"/>
  <c r="AN23" i="1"/>
  <c r="AO23" i="1" s="1"/>
  <c r="BR23" i="1"/>
  <c r="BS23" i="1" s="1"/>
  <c r="AX23" i="1"/>
  <c r="AY23" i="1" s="1"/>
  <c r="AD23" i="1"/>
  <c r="BU7" i="1"/>
  <c r="BT7" i="1"/>
  <c r="BO8" i="1"/>
  <c r="BP8" i="1"/>
  <c r="BK15" i="1"/>
  <c r="BJ15" i="1"/>
  <c r="BA8" i="1"/>
  <c r="AZ8" i="1"/>
  <c r="BF12" i="1"/>
  <c r="BE12" i="1"/>
  <c r="BU8" i="1"/>
  <c r="BT8" i="1"/>
  <c r="AF9" i="1"/>
  <c r="CB9" i="1"/>
  <c r="BF14" i="1"/>
  <c r="BE14" i="1"/>
  <c r="BU15" i="1"/>
  <c r="BT15" i="1"/>
  <c r="BP20" i="1"/>
  <c r="BO20" i="1"/>
  <c r="AK21" i="1"/>
  <c r="AL21" i="1" s="1"/>
  <c r="BT9" i="1"/>
  <c r="BU9" i="1" s="1"/>
  <c r="BJ8" i="1"/>
  <c r="BK8" i="1" s="1"/>
  <c r="BA11" i="1"/>
  <c r="AZ11" i="1"/>
  <c r="AK8" i="1"/>
  <c r="AL8" i="1"/>
  <c r="BY8" i="1"/>
  <c r="BZ8" i="1"/>
  <c r="BU12" i="1"/>
  <c r="BT12" i="1"/>
  <c r="BY20" i="1"/>
  <c r="BZ20" i="1" s="1"/>
  <c r="BF21" i="1"/>
  <c r="BE21" i="1"/>
  <c r="BU6" i="1"/>
  <c r="BT6" i="1"/>
  <c r="AQ8" i="1"/>
  <c r="AP8" i="1"/>
  <c r="BO9" i="1"/>
  <c r="BP9" i="1"/>
  <c r="AK13" i="1"/>
  <c r="AL13" i="1"/>
  <c r="BA30" i="1"/>
  <c r="AZ30" i="1"/>
  <c r="BY16" i="1"/>
  <c r="BZ16" i="1" s="1"/>
  <c r="BT5" i="1"/>
  <c r="BU5" i="1" s="1"/>
  <c r="AU8" i="1"/>
  <c r="AV8" i="1"/>
  <c r="BO13" i="1"/>
  <c r="BP13" i="1" s="1"/>
  <c r="AV17" i="1"/>
  <c r="AU17" i="1"/>
  <c r="AQ22" i="1"/>
  <c r="AP22" i="1"/>
  <c r="BZ24" i="1"/>
  <c r="BY24" i="1"/>
  <c r="AU29" i="1"/>
  <c r="AV29" i="1" s="1"/>
  <c r="AI3" i="1"/>
  <c r="AJ3" i="1" s="1"/>
  <c r="AS3" i="1"/>
  <c r="AT3" i="1" s="1"/>
  <c r="BC3" i="1"/>
  <c r="BD3" i="1" s="1"/>
  <c r="BM3" i="1"/>
  <c r="BN3" i="1" s="1"/>
  <c r="BW3" i="1"/>
  <c r="BX3" i="1" s="1"/>
  <c r="AD5" i="1"/>
  <c r="AN5" i="1"/>
  <c r="AO5" i="1" s="1"/>
  <c r="AX5" i="1"/>
  <c r="AY5" i="1" s="1"/>
  <c r="BH5" i="1"/>
  <c r="BI5" i="1" s="1"/>
  <c r="AI7" i="1"/>
  <c r="AJ7" i="1" s="1"/>
  <c r="AS7" i="1"/>
  <c r="AT7" i="1" s="1"/>
  <c r="BC7" i="1"/>
  <c r="BD7" i="1" s="1"/>
  <c r="BM7" i="1"/>
  <c r="BN7" i="1" s="1"/>
  <c r="BW7" i="1"/>
  <c r="BX7" i="1" s="1"/>
  <c r="CA9" i="1"/>
  <c r="BZ12" i="1"/>
  <c r="AN16" i="1"/>
  <c r="AO16" i="1" s="1"/>
  <c r="BM16" i="1"/>
  <c r="BN16" i="1" s="1"/>
  <c r="BR17" i="1"/>
  <c r="BS17" i="1" s="1"/>
  <c r="BH17" i="1"/>
  <c r="BI17" i="1" s="1"/>
  <c r="AX17" i="1"/>
  <c r="AY17" i="1" s="1"/>
  <c r="AN17" i="1"/>
  <c r="AO17" i="1" s="1"/>
  <c r="AD17" i="1"/>
  <c r="BW17" i="1"/>
  <c r="BX17" i="1" s="1"/>
  <c r="AI18" i="1"/>
  <c r="AJ18" i="1" s="1"/>
  <c r="AX18" i="1"/>
  <c r="AY18" i="1" s="1"/>
  <c r="BH19" i="1"/>
  <c r="BI19" i="1" s="1"/>
  <c r="AL20" i="1"/>
  <c r="AK20" i="1"/>
  <c r="AI24" i="1"/>
  <c r="AJ24" i="1" s="1"/>
  <c r="BC24" i="1"/>
  <c r="BD24" i="1" s="1"/>
  <c r="BR25" i="1"/>
  <c r="BS25" i="1" s="1"/>
  <c r="BH25" i="1"/>
  <c r="BI25" i="1" s="1"/>
  <c r="AX25" i="1"/>
  <c r="AY25" i="1" s="1"/>
  <c r="AN25" i="1"/>
  <c r="AO25" i="1" s="1"/>
  <c r="AD25" i="1"/>
  <c r="BA31" i="1"/>
  <c r="BW32" i="1"/>
  <c r="BX32" i="1" s="1"/>
  <c r="BM32" i="1"/>
  <c r="BN32" i="1" s="1"/>
  <c r="BC32" i="1"/>
  <c r="BD32" i="1" s="1"/>
  <c r="AS32" i="1"/>
  <c r="AT32" i="1" s="1"/>
  <c r="BM37" i="1"/>
  <c r="BN37" i="1" s="1"/>
  <c r="BC37" i="1"/>
  <c r="BD37" i="1" s="1"/>
  <c r="AS37" i="1"/>
  <c r="AT37" i="1" s="1"/>
  <c r="AI37" i="1"/>
  <c r="AJ37" i="1" s="1"/>
  <c r="AF42" i="1"/>
  <c r="BJ26" i="1"/>
  <c r="BK26" i="1" s="1"/>
  <c r="BE28" i="1"/>
  <c r="BF28" i="1" s="1"/>
  <c r="BC29" i="1"/>
  <c r="BD29" i="1" s="1"/>
  <c r="AZ31" i="1"/>
  <c r="AK33" i="1"/>
  <c r="AL33" i="1" s="1"/>
  <c r="AL44" i="1"/>
  <c r="AK44" i="1"/>
  <c r="BR10" i="1"/>
  <c r="BS10" i="1" s="1"/>
  <c r="BH10" i="1"/>
  <c r="BI10" i="1" s="1"/>
  <c r="AX10" i="1"/>
  <c r="AY10" i="1" s="1"/>
  <c r="AN10" i="1"/>
  <c r="AO10" i="1" s="1"/>
  <c r="AD10" i="1"/>
  <c r="AI2" i="1"/>
  <c r="AJ2" i="1" s="1"/>
  <c r="AS2" i="1"/>
  <c r="AT2" i="1" s="1"/>
  <c r="BC2" i="1"/>
  <c r="BD2" i="1" s="1"/>
  <c r="BM2" i="1"/>
  <c r="BN2" i="1" s="1"/>
  <c r="BW2" i="1"/>
  <c r="BX2" i="1" s="1"/>
  <c r="AD4" i="1"/>
  <c r="AN4" i="1"/>
  <c r="AO4" i="1" s="1"/>
  <c r="AX4" i="1"/>
  <c r="AY4" i="1" s="1"/>
  <c r="BH4" i="1"/>
  <c r="BI4" i="1" s="1"/>
  <c r="BR4" i="1"/>
  <c r="BS4" i="1" s="1"/>
  <c r="AI6" i="1"/>
  <c r="AJ6" i="1" s="1"/>
  <c r="AS6" i="1"/>
  <c r="AT6" i="1" s="1"/>
  <c r="BC6" i="1"/>
  <c r="BD6" i="1" s="1"/>
  <c r="BM6" i="1"/>
  <c r="BN6" i="1" s="1"/>
  <c r="BW6" i="1"/>
  <c r="BX6" i="1" s="1"/>
  <c r="AE8" i="1"/>
  <c r="AK9" i="1"/>
  <c r="AL9" i="1" s="1"/>
  <c r="AD11" i="1"/>
  <c r="BC11" i="1"/>
  <c r="BD11" i="1" s="1"/>
  <c r="BO11" i="1"/>
  <c r="BP11" i="1" s="1"/>
  <c r="AS12" i="1"/>
  <c r="AT12" i="1" s="1"/>
  <c r="BO12" i="1"/>
  <c r="BP12" i="1" s="1"/>
  <c r="AI14" i="1"/>
  <c r="AJ14" i="1" s="1"/>
  <c r="BH14" i="1"/>
  <c r="BI14" i="1" s="1"/>
  <c r="BW14" i="1"/>
  <c r="BX14" i="1" s="1"/>
  <c r="AE15" i="1"/>
  <c r="AD16" i="1"/>
  <c r="BC16" i="1"/>
  <c r="BD16" i="1" s="1"/>
  <c r="BR16" i="1"/>
  <c r="BS16" i="1" s="1"/>
  <c r="BC18" i="1"/>
  <c r="BD18" i="1" s="1"/>
  <c r="BR18" i="1"/>
  <c r="BS18" i="1" s="1"/>
  <c r="BO25" i="1"/>
  <c r="BP25" i="1" s="1"/>
  <c r="BJ27" i="1"/>
  <c r="BK27" i="1" s="1"/>
  <c r="BW30" i="1"/>
  <c r="BX30" i="1" s="1"/>
  <c r="BM30" i="1"/>
  <c r="BN30" i="1" s="1"/>
  <c r="BC30" i="1"/>
  <c r="BD30" i="1" s="1"/>
  <c r="AS30" i="1"/>
  <c r="AT30" i="1" s="1"/>
  <c r="AI30" i="1"/>
  <c r="AJ30" i="1" s="1"/>
  <c r="BH30" i="1"/>
  <c r="BI30" i="1" s="1"/>
  <c r="AP45" i="1"/>
  <c r="AQ45" i="1" s="1"/>
  <c r="AF26" i="1"/>
  <c r="BT26" i="1"/>
  <c r="BU26" i="1" s="1"/>
  <c r="BO28" i="1"/>
  <c r="BP28" i="1" s="1"/>
  <c r="BR29" i="1"/>
  <c r="BS29" i="1" s="1"/>
  <c r="BM29" i="1"/>
  <c r="BN29" i="1" s="1"/>
  <c r="BJ31" i="1"/>
  <c r="BK31" i="1" s="1"/>
  <c r="BW36" i="1"/>
  <c r="BX36" i="1" s="1"/>
  <c r="BM36" i="1"/>
  <c r="BN36" i="1" s="1"/>
  <c r="BC36" i="1"/>
  <c r="BD36" i="1" s="1"/>
  <c r="AS36" i="1"/>
  <c r="AT36" i="1" s="1"/>
  <c r="AI36" i="1"/>
  <c r="AJ36" i="1" s="1"/>
  <c r="BT39" i="1"/>
  <c r="BU39" i="1" s="1"/>
  <c r="BW19" i="1"/>
  <c r="BX19" i="1" s="1"/>
  <c r="BM19" i="1"/>
  <c r="BN19" i="1" s="1"/>
  <c r="BC19" i="1"/>
  <c r="BD19" i="1" s="1"/>
  <c r="AS19" i="1"/>
  <c r="AT19" i="1" s="1"/>
  <c r="AI19" i="1"/>
  <c r="AJ19" i="1" s="1"/>
  <c r="AX19" i="1"/>
  <c r="AY19" i="1" s="1"/>
  <c r="AD3" i="1"/>
  <c r="AN3" i="1"/>
  <c r="AO3" i="1" s="1"/>
  <c r="AX3" i="1"/>
  <c r="AY3" i="1" s="1"/>
  <c r="BH3" i="1"/>
  <c r="BI3" i="1" s="1"/>
  <c r="BR3" i="1"/>
  <c r="BS3" i="1" s="1"/>
  <c r="AI5" i="1"/>
  <c r="AJ5" i="1" s="1"/>
  <c r="AS5" i="1"/>
  <c r="AT5" i="1" s="1"/>
  <c r="BC5" i="1"/>
  <c r="BD5" i="1" s="1"/>
  <c r="BM5" i="1"/>
  <c r="BN5" i="1" s="1"/>
  <c r="BW5" i="1"/>
  <c r="BX5" i="1" s="1"/>
  <c r="AD7" i="1"/>
  <c r="AN7" i="1"/>
  <c r="AO7" i="1" s="1"/>
  <c r="AX7" i="1"/>
  <c r="AY7" i="1" s="1"/>
  <c r="BH7" i="1"/>
  <c r="BI7" i="1" s="1"/>
  <c r="BJ9" i="1"/>
  <c r="BK9" i="1" s="1"/>
  <c r="BM10" i="1"/>
  <c r="BN10" i="1" s="1"/>
  <c r="BR11" i="1"/>
  <c r="BS11" i="1" s="1"/>
  <c r="BH12" i="1"/>
  <c r="BI12" i="1" s="1"/>
  <c r="BR13" i="1"/>
  <c r="BS13" i="1" s="1"/>
  <c r="BH13" i="1"/>
  <c r="BI13" i="1" s="1"/>
  <c r="AX13" i="1"/>
  <c r="AY13" i="1" s="1"/>
  <c r="AN13" i="1"/>
  <c r="AO13" i="1" s="1"/>
  <c r="AD13" i="1"/>
  <c r="AX14" i="1"/>
  <c r="AY14" i="1" s="1"/>
  <c r="BM14" i="1"/>
  <c r="BN14" i="1" s="1"/>
  <c r="AS16" i="1"/>
  <c r="AT16" i="1" s="1"/>
  <c r="BH16" i="1"/>
  <c r="BI16" i="1" s="1"/>
  <c r="AI17" i="1"/>
  <c r="AJ17" i="1" s="1"/>
  <c r="BW18" i="1"/>
  <c r="BX18" i="1" s="1"/>
  <c r="AD20" i="1"/>
  <c r="AS20" i="1"/>
  <c r="AT20" i="1" s="1"/>
  <c r="BJ20" i="1"/>
  <c r="BK20" i="1" s="1"/>
  <c r="AE22" i="1"/>
  <c r="BR24" i="1"/>
  <c r="BS24" i="1" s="1"/>
  <c r="BH24" i="1"/>
  <c r="BI24" i="1" s="1"/>
  <c r="AX24" i="1"/>
  <c r="AY24" i="1" s="1"/>
  <c r="AN24" i="1"/>
  <c r="AO24" i="1" s="1"/>
  <c r="AD24" i="1"/>
  <c r="AS24" i="1"/>
  <c r="AT24" i="1" s="1"/>
  <c r="BM24" i="1"/>
  <c r="BN24" i="1" s="1"/>
  <c r="AK25" i="1"/>
  <c r="AL25" i="1" s="1"/>
  <c r="BY25" i="1"/>
  <c r="BZ25" i="1" s="1"/>
  <c r="AF27" i="1"/>
  <c r="AG27" i="1" s="1"/>
  <c r="BT27" i="1"/>
  <c r="BU27" i="1" s="1"/>
  <c r="AD30" i="1"/>
  <c r="BR30" i="1"/>
  <c r="BS30" i="1" s="1"/>
  <c r="AD31" i="1"/>
  <c r="BR31" i="1"/>
  <c r="BS31" i="1" s="1"/>
  <c r="BW33" i="1"/>
  <c r="BX33" i="1" s="1"/>
  <c r="BM33" i="1"/>
  <c r="BN33" i="1" s="1"/>
  <c r="BC33" i="1"/>
  <c r="BD33" i="1" s="1"/>
  <c r="AS33" i="1"/>
  <c r="AT33" i="1" s="1"/>
  <c r="BR34" i="1"/>
  <c r="BS34" i="1" s="1"/>
  <c r="BH34" i="1"/>
  <c r="BI34" i="1" s="1"/>
  <c r="AX34" i="1"/>
  <c r="AY34" i="1" s="1"/>
  <c r="AN34" i="1"/>
  <c r="AO34" i="1" s="1"/>
  <c r="AD34" i="1"/>
  <c r="BW34" i="1"/>
  <c r="BX34" i="1" s="1"/>
  <c r="BM34" i="1"/>
  <c r="BN34" i="1" s="1"/>
  <c r="BC34" i="1"/>
  <c r="BD34" i="1" s="1"/>
  <c r="AS34" i="1"/>
  <c r="AT34" i="1" s="1"/>
  <c r="AI34" i="1"/>
  <c r="AJ34" i="1" s="1"/>
  <c r="BC10" i="1"/>
  <c r="BD10" i="1" s="1"/>
  <c r="BC13" i="1"/>
  <c r="BD13" i="1" s="1"/>
  <c r="AS18" i="1"/>
  <c r="AT18" i="1" s="1"/>
  <c r="BH18" i="1"/>
  <c r="BI18" i="1" s="1"/>
  <c r="BR19" i="1"/>
  <c r="BS19" i="1" s="1"/>
  <c r="BR21" i="1"/>
  <c r="BS21" i="1" s="1"/>
  <c r="BH21" i="1"/>
  <c r="BI21" i="1" s="1"/>
  <c r="AX21" i="1"/>
  <c r="AY21" i="1" s="1"/>
  <c r="AN21" i="1"/>
  <c r="AO21" i="1" s="1"/>
  <c r="AD21" i="1"/>
  <c r="BW21" i="1"/>
  <c r="BX21" i="1" s="1"/>
  <c r="BW22" i="1"/>
  <c r="BX22" i="1" s="1"/>
  <c r="BM22" i="1"/>
  <c r="BN22" i="1" s="1"/>
  <c r="BC22" i="1"/>
  <c r="BD22" i="1" s="1"/>
  <c r="AS22" i="1"/>
  <c r="AT22" i="1" s="1"/>
  <c r="AI22" i="1"/>
  <c r="AJ22" i="1" s="1"/>
  <c r="AS25" i="1"/>
  <c r="AT25" i="1" s="1"/>
  <c r="AQ26" i="1"/>
  <c r="AP26" i="1"/>
  <c r="AI28" i="1"/>
  <c r="AJ28" i="1" s="1"/>
  <c r="BW28" i="1"/>
  <c r="BX28" i="1" s="1"/>
  <c r="AI29" i="1"/>
  <c r="AJ29" i="1" s="1"/>
  <c r="BW29" i="1"/>
  <c r="BX29" i="1" s="1"/>
  <c r="BR38" i="1"/>
  <c r="BS38" i="1" s="1"/>
  <c r="AD38" i="1"/>
  <c r="BC38" i="1"/>
  <c r="BD38" i="1" s="1"/>
  <c r="AN38" i="1"/>
  <c r="AO38" i="1" s="1"/>
  <c r="BM38" i="1"/>
  <c r="BN38" i="1" s="1"/>
  <c r="AX38" i="1"/>
  <c r="AY38" i="1" s="1"/>
  <c r="BW38" i="1"/>
  <c r="BX38" i="1" s="1"/>
  <c r="AI38" i="1"/>
  <c r="AJ38" i="1" s="1"/>
  <c r="BH38" i="1"/>
  <c r="BI38" i="1" s="1"/>
  <c r="AS38" i="1"/>
  <c r="AT38" i="1" s="1"/>
  <c r="BW10" i="1"/>
  <c r="BX10" i="1" s="1"/>
  <c r="AI11" i="1"/>
  <c r="AJ11" i="1" s="1"/>
  <c r="BH11" i="1"/>
  <c r="BI11" i="1" s="1"/>
  <c r="AX12" i="1"/>
  <c r="AY12" i="1" s="1"/>
  <c r="AD2" i="1"/>
  <c r="AN2" i="1"/>
  <c r="AO2" i="1" s="1"/>
  <c r="AX2" i="1"/>
  <c r="AY2" i="1" s="1"/>
  <c r="BH2" i="1"/>
  <c r="BI2" i="1" s="1"/>
  <c r="BR2" i="1"/>
  <c r="BS2" i="1" s="1"/>
  <c r="AI4" i="1"/>
  <c r="AJ4" i="1" s="1"/>
  <c r="AS4" i="1"/>
  <c r="AT4" i="1" s="1"/>
  <c r="BC4" i="1"/>
  <c r="BD4" i="1" s="1"/>
  <c r="BM4" i="1"/>
  <c r="BN4" i="1" s="1"/>
  <c r="BW4" i="1"/>
  <c r="BX4" i="1" s="1"/>
  <c r="AD6" i="1"/>
  <c r="AN6" i="1"/>
  <c r="AO6" i="1" s="1"/>
  <c r="AX6" i="1"/>
  <c r="AY6" i="1" s="1"/>
  <c r="BH6" i="1"/>
  <c r="BI6" i="1" s="1"/>
  <c r="AS10" i="1"/>
  <c r="AT10" i="1" s="1"/>
  <c r="AN12" i="1"/>
  <c r="AO12" i="1" s="1"/>
  <c r="CB12" i="1" s="1"/>
  <c r="AN14" i="1"/>
  <c r="AO14" i="1" s="1"/>
  <c r="BW15" i="1"/>
  <c r="BX15" i="1" s="1"/>
  <c r="BM15" i="1"/>
  <c r="BN15" i="1" s="1"/>
  <c r="BC15" i="1"/>
  <c r="BD15" i="1" s="1"/>
  <c r="AS15" i="1"/>
  <c r="AT15" i="1" s="1"/>
  <c r="AI15" i="1"/>
  <c r="AJ15" i="1" s="1"/>
  <c r="AI16" i="1"/>
  <c r="AJ16" i="1" s="1"/>
  <c r="AX16" i="1"/>
  <c r="AY16" i="1" s="1"/>
  <c r="BC17" i="1"/>
  <c r="BD17" i="1" s="1"/>
  <c r="AD18" i="1"/>
  <c r="AN19" i="1"/>
  <c r="AO19" i="1" s="1"/>
  <c r="AX20" i="1"/>
  <c r="AY20" i="1" s="1"/>
  <c r="AS21" i="1"/>
  <c r="AT21" i="1" s="1"/>
  <c r="BW26" i="1"/>
  <c r="BX26" i="1" s="1"/>
  <c r="BM26" i="1"/>
  <c r="BN26" i="1" s="1"/>
  <c r="BC26" i="1"/>
  <c r="BD26" i="1" s="1"/>
  <c r="AS26" i="1"/>
  <c r="AT26" i="1" s="1"/>
  <c r="AI26" i="1"/>
  <c r="AJ26" i="1" s="1"/>
  <c r="BW27" i="1"/>
  <c r="BX27" i="1" s="1"/>
  <c r="BM27" i="1"/>
  <c r="BN27" i="1" s="1"/>
  <c r="BC27" i="1"/>
  <c r="BD27" i="1" s="1"/>
  <c r="AS27" i="1"/>
  <c r="AT27" i="1" s="1"/>
  <c r="AI27" i="1"/>
  <c r="AJ27" i="1" s="1"/>
  <c r="AP27" i="1"/>
  <c r="AQ27" i="1" s="1"/>
  <c r="AN30" i="1"/>
  <c r="AO30" i="1" s="1"/>
  <c r="AI32" i="1"/>
  <c r="AJ32" i="1" s="1"/>
  <c r="BW35" i="1"/>
  <c r="BX35" i="1" s="1"/>
  <c r="BM35" i="1"/>
  <c r="BN35" i="1" s="1"/>
  <c r="BC35" i="1"/>
  <c r="BD35" i="1" s="1"/>
  <c r="AS35" i="1"/>
  <c r="AT35" i="1" s="1"/>
  <c r="AI35" i="1"/>
  <c r="AJ35" i="1" s="1"/>
  <c r="BR35" i="1"/>
  <c r="BS35" i="1" s="1"/>
  <c r="BH35" i="1"/>
  <c r="BI35" i="1" s="1"/>
  <c r="AX35" i="1"/>
  <c r="AY35" i="1" s="1"/>
  <c r="AN35" i="1"/>
  <c r="AO35" i="1" s="1"/>
  <c r="AD35" i="1"/>
  <c r="AI10" i="1"/>
  <c r="AJ10" i="1" s="1"/>
  <c r="AS11" i="1"/>
  <c r="BH22" i="1"/>
  <c r="BI22" i="1" s="1"/>
  <c r="BC25" i="1"/>
  <c r="BD25" i="1" s="1"/>
  <c r="BA26" i="1"/>
  <c r="AZ26" i="1"/>
  <c r="BA27" i="1"/>
  <c r="BW31" i="1"/>
  <c r="BX31" i="1" s="1"/>
  <c r="BM31" i="1"/>
  <c r="BN31" i="1" s="1"/>
  <c r="BC31" i="1"/>
  <c r="BD31" i="1" s="1"/>
  <c r="AS31" i="1"/>
  <c r="AT31" i="1" s="1"/>
  <c r="AI31" i="1"/>
  <c r="AJ31" i="1" s="1"/>
  <c r="BU33" i="1"/>
  <c r="BT33" i="1"/>
  <c r="AU40" i="1"/>
  <c r="AV40" i="1" s="1"/>
  <c r="BY44" i="1"/>
  <c r="BZ44" i="1" s="1"/>
  <c r="BK49" i="1"/>
  <c r="BJ49" i="1"/>
  <c r="AD28" i="1"/>
  <c r="AN28" i="1"/>
  <c r="AO28" i="1" s="1"/>
  <c r="AX28" i="1"/>
  <c r="AY28" i="1" s="1"/>
  <c r="BH28" i="1"/>
  <c r="BI28" i="1" s="1"/>
  <c r="BR28" i="1"/>
  <c r="BS28" i="1" s="1"/>
  <c r="AD32" i="1"/>
  <c r="AN32" i="1"/>
  <c r="AO32" i="1" s="1"/>
  <c r="AX32" i="1"/>
  <c r="AY32" i="1" s="1"/>
  <c r="BH32" i="1"/>
  <c r="BI32" i="1" s="1"/>
  <c r="BR32" i="1"/>
  <c r="BS32" i="1" s="1"/>
  <c r="AD36" i="1"/>
  <c r="AN36" i="1"/>
  <c r="AO36" i="1" s="1"/>
  <c r="AX36" i="1"/>
  <c r="AY36" i="1" s="1"/>
  <c r="BH36" i="1"/>
  <c r="BI36" i="1" s="1"/>
  <c r="BR36" i="1"/>
  <c r="BS36" i="1" s="1"/>
  <c r="BW37" i="1"/>
  <c r="BX37" i="1" s="1"/>
  <c r="AD39" i="1"/>
  <c r="BC39" i="1"/>
  <c r="BD39" i="1" s="1"/>
  <c r="BJ41" i="1"/>
  <c r="BK41" i="1" s="1"/>
  <c r="BW42" i="1"/>
  <c r="BX42" i="1" s="1"/>
  <c r="BM42" i="1"/>
  <c r="BN42" i="1" s="1"/>
  <c r="BC42" i="1"/>
  <c r="BD42" i="1" s="1"/>
  <c r="AS42" i="1"/>
  <c r="AT42" i="1" s="1"/>
  <c r="AI42" i="1"/>
  <c r="AN42" i="1"/>
  <c r="AO42" i="1" s="1"/>
  <c r="BO43" i="1"/>
  <c r="BP43" i="1" s="1"/>
  <c r="AX45" i="1"/>
  <c r="AY45" i="1" s="1"/>
  <c r="BR47" i="1"/>
  <c r="BS47" i="1" s="1"/>
  <c r="BH47" i="1"/>
  <c r="BI47" i="1" s="1"/>
  <c r="AX47" i="1"/>
  <c r="AY47" i="1" s="1"/>
  <c r="AN47" i="1"/>
  <c r="AO47" i="1" s="1"/>
  <c r="AD47" i="1"/>
  <c r="BH13" i="2"/>
  <c r="BI13" i="2" s="1"/>
  <c r="AN13" i="2"/>
  <c r="AO13" i="2" s="1"/>
  <c r="BC40" i="1"/>
  <c r="BD40" i="1" s="1"/>
  <c r="BR40" i="1"/>
  <c r="BS40" i="1" s="1"/>
  <c r="BW41" i="1"/>
  <c r="BX41" i="1" s="1"/>
  <c r="BM41" i="1"/>
  <c r="BN41" i="1" s="1"/>
  <c r="BC41" i="1"/>
  <c r="BD41" i="1" s="1"/>
  <c r="AS41" i="1"/>
  <c r="AT41" i="1" s="1"/>
  <c r="AI41" i="1"/>
  <c r="AJ41" i="1" s="1"/>
  <c r="BR42" i="1"/>
  <c r="BS42" i="1" s="1"/>
  <c r="AV47" i="1"/>
  <c r="AU47" i="1"/>
  <c r="AD49" i="1"/>
  <c r="BR49" i="1"/>
  <c r="BS49" i="1" s="1"/>
  <c r="BO3" i="2"/>
  <c r="BP3" i="2"/>
  <c r="BZ4" i="2"/>
  <c r="BY4" i="2"/>
  <c r="AS39" i="1"/>
  <c r="AT39" i="1" s="1"/>
  <c r="BH39" i="1"/>
  <c r="BI39" i="1" s="1"/>
  <c r="BW39" i="1"/>
  <c r="BX39" i="1" s="1"/>
  <c r="AP41" i="1"/>
  <c r="AQ41" i="1" s="1"/>
  <c r="AV43" i="1"/>
  <c r="AU43" i="1"/>
  <c r="BR44" i="1"/>
  <c r="BS44" i="1" s="1"/>
  <c r="BH44" i="1"/>
  <c r="BI44" i="1" s="1"/>
  <c r="AX44" i="1"/>
  <c r="AY44" i="1" s="1"/>
  <c r="AN44" i="1"/>
  <c r="AO44" i="1" s="1"/>
  <c r="AD44" i="1"/>
  <c r="BC44" i="1"/>
  <c r="BD44" i="1" s="1"/>
  <c r="BK45" i="1"/>
  <c r="BJ45" i="1"/>
  <c r="BW46" i="1"/>
  <c r="BX46" i="1" s="1"/>
  <c r="BM46" i="1"/>
  <c r="BN46" i="1" s="1"/>
  <c r="BC46" i="1"/>
  <c r="BD46" i="1" s="1"/>
  <c r="AS46" i="1"/>
  <c r="AT46" i="1" s="1"/>
  <c r="AI46" i="1"/>
  <c r="AJ46" i="1" s="1"/>
  <c r="BR46" i="1"/>
  <c r="BS46" i="1" s="1"/>
  <c r="BH46" i="1"/>
  <c r="BI46" i="1" s="1"/>
  <c r="AX46" i="1"/>
  <c r="AY46" i="1" s="1"/>
  <c r="AN46" i="1"/>
  <c r="AO46" i="1" s="1"/>
  <c r="AD46" i="1"/>
  <c r="AZ5" i="2"/>
  <c r="BA5" i="2"/>
  <c r="BA6" i="2"/>
  <c r="AZ6" i="2"/>
  <c r="BY7" i="2"/>
  <c r="BZ7" i="2" s="1"/>
  <c r="AP40" i="1"/>
  <c r="AQ40" i="1" s="1"/>
  <c r="BW40" i="1"/>
  <c r="BX40" i="1" s="1"/>
  <c r="BU41" i="1"/>
  <c r="BT41" i="1"/>
  <c r="BY43" i="1"/>
  <c r="BZ43" i="1" s="1"/>
  <c r="AG45" i="1"/>
  <c r="AF45" i="1"/>
  <c r="BF47" i="1"/>
  <c r="BE47" i="1"/>
  <c r="AN49" i="1"/>
  <c r="AO49" i="1" s="1"/>
  <c r="AK51" i="1"/>
  <c r="AL51" i="1" s="1"/>
  <c r="BF21" i="2"/>
  <c r="BE21" i="2"/>
  <c r="AI39" i="1"/>
  <c r="AJ39" i="1" s="1"/>
  <c r="AX39" i="1"/>
  <c r="AY39" i="1" s="1"/>
  <c r="BA42" i="1"/>
  <c r="BU45" i="1"/>
  <c r="BT45" i="1"/>
  <c r="AV51" i="1"/>
  <c r="AU51" i="1"/>
  <c r="BT2" i="2"/>
  <c r="BU2" i="2"/>
  <c r="BO4" i="2"/>
  <c r="BP4" i="2" s="1"/>
  <c r="AD9" i="2"/>
  <c r="BH9" i="2"/>
  <c r="BI9" i="2" s="1"/>
  <c r="AQ17" i="2"/>
  <c r="AP17" i="2"/>
  <c r="AU19" i="2"/>
  <c r="AV19" i="2" s="1"/>
  <c r="BM39" i="1"/>
  <c r="BN39" i="1" s="1"/>
  <c r="AD40" i="1"/>
  <c r="BJ40" i="1"/>
  <c r="BK40" i="1" s="1"/>
  <c r="BA41" i="1"/>
  <c r="AZ41" i="1"/>
  <c r="AZ42" i="1"/>
  <c r="BE43" i="1"/>
  <c r="BF43" i="1" s="1"/>
  <c r="BM44" i="1"/>
  <c r="BN44" i="1" s="1"/>
  <c r="BP47" i="1"/>
  <c r="BO47" i="1"/>
  <c r="AX49" i="1"/>
  <c r="AY49" i="1" s="1"/>
  <c r="BW50" i="1"/>
  <c r="BX50" i="1" s="1"/>
  <c r="BM50" i="1"/>
  <c r="BN50" i="1" s="1"/>
  <c r="BC50" i="1"/>
  <c r="BD50" i="1" s="1"/>
  <c r="AS50" i="1"/>
  <c r="AT50" i="1" s="1"/>
  <c r="AI50" i="1"/>
  <c r="AJ50" i="1" s="1"/>
  <c r="BR50" i="1"/>
  <c r="BS50" i="1" s="1"/>
  <c r="BH50" i="1"/>
  <c r="BI50" i="1" s="1"/>
  <c r="AX50" i="1"/>
  <c r="AY50" i="1" s="1"/>
  <c r="AN50" i="1"/>
  <c r="AO50" i="1" s="1"/>
  <c r="AD50" i="1"/>
  <c r="BT51" i="1"/>
  <c r="BU51" i="1" s="1"/>
  <c r="BE51" i="1"/>
  <c r="BF51" i="1" s="1"/>
  <c r="BJ5" i="2"/>
  <c r="BK5" i="2"/>
  <c r="AD29" i="1"/>
  <c r="AN29" i="1"/>
  <c r="AO29" i="1" s="1"/>
  <c r="AX29" i="1"/>
  <c r="AY29" i="1" s="1"/>
  <c r="BH29" i="1"/>
  <c r="BI29" i="1" s="1"/>
  <c r="AD33" i="1"/>
  <c r="AN33" i="1"/>
  <c r="AO33" i="1" s="1"/>
  <c r="AX33" i="1"/>
  <c r="AY33" i="1" s="1"/>
  <c r="BH33" i="1"/>
  <c r="BI33" i="1" s="1"/>
  <c r="AD37" i="1"/>
  <c r="AN37" i="1"/>
  <c r="AO37" i="1" s="1"/>
  <c r="AX37" i="1"/>
  <c r="AY37" i="1" s="1"/>
  <c r="BH37" i="1"/>
  <c r="BI37" i="1" s="1"/>
  <c r="BR37" i="1"/>
  <c r="BS37" i="1" s="1"/>
  <c r="AN39" i="1"/>
  <c r="AO39" i="1" s="1"/>
  <c r="BM40" i="1"/>
  <c r="BN40" i="1" s="1"/>
  <c r="BH42" i="1"/>
  <c r="BI42" i="1" s="1"/>
  <c r="BR48" i="1"/>
  <c r="BS48" i="1" s="1"/>
  <c r="BH48" i="1"/>
  <c r="BI48" i="1" s="1"/>
  <c r="AX48" i="1"/>
  <c r="AY48" i="1" s="1"/>
  <c r="AN48" i="1"/>
  <c r="AO48" i="1" s="1"/>
  <c r="AD48" i="1"/>
  <c r="BW48" i="1"/>
  <c r="BX48" i="1" s="1"/>
  <c r="BM48" i="1"/>
  <c r="BN48" i="1" s="1"/>
  <c r="BC48" i="1"/>
  <c r="BD48" i="1" s="1"/>
  <c r="AS48" i="1"/>
  <c r="AT48" i="1" s="1"/>
  <c r="AI48" i="1"/>
  <c r="AJ48" i="1" s="1"/>
  <c r="BP51" i="1"/>
  <c r="BO51" i="1"/>
  <c r="BH3" i="2"/>
  <c r="BI3" i="2" s="1"/>
  <c r="AX3" i="2"/>
  <c r="AY3" i="2" s="1"/>
  <c r="AN3" i="2"/>
  <c r="AO3" i="2" s="1"/>
  <c r="AD3" i="2"/>
  <c r="BR3" i="2"/>
  <c r="BS3" i="2" s="1"/>
  <c r="BR6" i="2"/>
  <c r="BS6" i="2" s="1"/>
  <c r="AD6" i="2"/>
  <c r="AN6" i="2"/>
  <c r="AO6" i="2" s="1"/>
  <c r="BR11" i="2"/>
  <c r="BS11" i="2" s="1"/>
  <c r="BH11" i="2"/>
  <c r="BI11" i="2" s="1"/>
  <c r="AX11" i="2"/>
  <c r="AY11" i="2" s="1"/>
  <c r="AN11" i="2"/>
  <c r="AO11" i="2" s="1"/>
  <c r="AD11" i="2"/>
  <c r="BM11" i="2"/>
  <c r="BN11" i="2" s="1"/>
  <c r="AS11" i="2"/>
  <c r="AT11" i="2" s="1"/>
  <c r="BW11" i="2"/>
  <c r="BX11" i="2" s="1"/>
  <c r="BC11" i="2"/>
  <c r="BD11" i="2" s="1"/>
  <c r="AI11" i="2"/>
  <c r="AJ11" i="2" s="1"/>
  <c r="AI40" i="1"/>
  <c r="AJ40" i="1" s="1"/>
  <c r="AX40" i="1"/>
  <c r="AY40" i="1" s="1"/>
  <c r="AD41" i="1"/>
  <c r="BR43" i="1"/>
  <c r="BS43" i="1" s="1"/>
  <c r="BH43" i="1"/>
  <c r="BI43" i="1" s="1"/>
  <c r="AX43" i="1"/>
  <c r="AY43" i="1" s="1"/>
  <c r="AN43" i="1"/>
  <c r="AO43" i="1" s="1"/>
  <c r="AD43" i="1"/>
  <c r="AI43" i="1"/>
  <c r="AJ43" i="1" s="1"/>
  <c r="AS44" i="1"/>
  <c r="AT44" i="1" s="1"/>
  <c r="AI47" i="1"/>
  <c r="AJ47" i="1" s="1"/>
  <c r="BW47" i="1"/>
  <c r="BX47" i="1" s="1"/>
  <c r="BZ51" i="1"/>
  <c r="BY51" i="1"/>
  <c r="AU15" i="2"/>
  <c r="AV15" i="2" s="1"/>
  <c r="BK17" i="2"/>
  <c r="BJ17" i="2"/>
  <c r="AI4" i="2"/>
  <c r="AJ4" i="2" s="1"/>
  <c r="AD5" i="2"/>
  <c r="BR5" i="2"/>
  <c r="BS5" i="2" s="1"/>
  <c r="AI7" i="2"/>
  <c r="AJ7" i="2" s="1"/>
  <c r="BW9" i="2"/>
  <c r="BX9" i="2" s="1"/>
  <c r="BM9" i="2"/>
  <c r="BN9" i="2" s="1"/>
  <c r="BC9" i="2"/>
  <c r="BD9" i="2" s="1"/>
  <c r="AS9" i="2"/>
  <c r="AT9" i="2" s="1"/>
  <c r="AI9" i="2"/>
  <c r="AJ9" i="2" s="1"/>
  <c r="AN9" i="2"/>
  <c r="AO9" i="2" s="1"/>
  <c r="BR15" i="2"/>
  <c r="BS15" i="2" s="1"/>
  <c r="BH15" i="2"/>
  <c r="BI15" i="2" s="1"/>
  <c r="AX15" i="2"/>
  <c r="AY15" i="2" s="1"/>
  <c r="AN15" i="2"/>
  <c r="AO15" i="2" s="1"/>
  <c r="AD15" i="2"/>
  <c r="BR16" i="2"/>
  <c r="BS16" i="2" s="1"/>
  <c r="BH16" i="2"/>
  <c r="BI16" i="2" s="1"/>
  <c r="AX16" i="2"/>
  <c r="AY16" i="2" s="1"/>
  <c r="AN16" i="2"/>
  <c r="AO16" i="2" s="1"/>
  <c r="AD16" i="2"/>
  <c r="BW16" i="2"/>
  <c r="BX16" i="2" s="1"/>
  <c r="BM16" i="2"/>
  <c r="BN16" i="2" s="1"/>
  <c r="BC16" i="2"/>
  <c r="BD16" i="2" s="1"/>
  <c r="AS16" i="2"/>
  <c r="AT16" i="2" s="1"/>
  <c r="AI16" i="2"/>
  <c r="AJ16" i="2" s="1"/>
  <c r="BC22" i="2"/>
  <c r="BD22" i="2" s="1"/>
  <c r="AN22" i="2"/>
  <c r="AO22" i="2" s="1"/>
  <c r="BM22" i="2"/>
  <c r="BN22" i="2" s="1"/>
  <c r="BW22" i="2"/>
  <c r="BX22" i="2" s="1"/>
  <c r="AS22" i="2"/>
  <c r="AT22" i="2" s="1"/>
  <c r="BR22" i="2"/>
  <c r="BS22" i="2" s="1"/>
  <c r="AD22" i="2"/>
  <c r="AI2" i="2"/>
  <c r="AJ2" i="2" s="1"/>
  <c r="AS2" i="2"/>
  <c r="AT2" i="2" s="1"/>
  <c r="BC2" i="2"/>
  <c r="BD2" i="2" s="1"/>
  <c r="BM2" i="2"/>
  <c r="BN2" i="2" s="1"/>
  <c r="BW2" i="2"/>
  <c r="BX2" i="2" s="1"/>
  <c r="BA17" i="2"/>
  <c r="AZ17" i="2"/>
  <c r="AZ23" i="2"/>
  <c r="BA23" i="2"/>
  <c r="AZ26" i="2"/>
  <c r="BA26" i="2" s="1"/>
  <c r="AK29" i="2"/>
  <c r="AL29" i="2" s="1"/>
  <c r="AE30" i="2"/>
  <c r="BR7" i="2"/>
  <c r="BS7" i="2" s="1"/>
  <c r="BH7" i="2"/>
  <c r="BI7" i="2" s="1"/>
  <c r="AX7" i="2"/>
  <c r="AY7" i="2" s="1"/>
  <c r="AN7" i="2"/>
  <c r="AO7" i="2" s="1"/>
  <c r="AD7" i="2"/>
  <c r="BM7" i="2"/>
  <c r="BN7" i="2" s="1"/>
  <c r="BW13" i="2"/>
  <c r="BX13" i="2" s="1"/>
  <c r="BM13" i="2"/>
  <c r="BN13" i="2" s="1"/>
  <c r="BC13" i="2"/>
  <c r="BD13" i="2" s="1"/>
  <c r="AS13" i="2"/>
  <c r="AT13" i="2" s="1"/>
  <c r="AI13" i="2"/>
  <c r="AJ13" i="2" s="1"/>
  <c r="BP15" i="2"/>
  <c r="BO15" i="2"/>
  <c r="AF17" i="2"/>
  <c r="AG17" i="2" s="1"/>
  <c r="BR19" i="2"/>
  <c r="BS19" i="2" s="1"/>
  <c r="BH19" i="2"/>
  <c r="BI19" i="2" s="1"/>
  <c r="AX19" i="2"/>
  <c r="AY19" i="2" s="1"/>
  <c r="AN19" i="2"/>
  <c r="AO19" i="2" s="1"/>
  <c r="AD19" i="2"/>
  <c r="BW19" i="2"/>
  <c r="BX19" i="2" s="1"/>
  <c r="BU20" i="2"/>
  <c r="BT20" i="2"/>
  <c r="BR21" i="2"/>
  <c r="BS21" i="2" s="1"/>
  <c r="BH21" i="2"/>
  <c r="BI21" i="2" s="1"/>
  <c r="AX21" i="2"/>
  <c r="AY21" i="2" s="1"/>
  <c r="AN21" i="2"/>
  <c r="AO21" i="2" s="1"/>
  <c r="AD21" i="2"/>
  <c r="AS21" i="2"/>
  <c r="AT21" i="2" s="1"/>
  <c r="BW21" i="2"/>
  <c r="BX21" i="2" s="1"/>
  <c r="AI21" i="2"/>
  <c r="AJ21" i="2" s="1"/>
  <c r="BM21" i="2"/>
  <c r="BN21" i="2" s="1"/>
  <c r="AZ22" i="2"/>
  <c r="BA22" i="2" s="1"/>
  <c r="BO26" i="2"/>
  <c r="BP26" i="2" s="1"/>
  <c r="BR4" i="2"/>
  <c r="BS4" i="2" s="1"/>
  <c r="BH4" i="2"/>
  <c r="BI4" i="2" s="1"/>
  <c r="AX4" i="2"/>
  <c r="AY4" i="2" s="1"/>
  <c r="AN4" i="2"/>
  <c r="AO4" i="2" s="1"/>
  <c r="AD4" i="2"/>
  <c r="AZ24" i="2"/>
  <c r="BA24" i="2" s="1"/>
  <c r="BJ30" i="2"/>
  <c r="BK30" i="2" s="1"/>
  <c r="BC4" i="2"/>
  <c r="BD4" i="2" s="1"/>
  <c r="BH6" i="2"/>
  <c r="BI6" i="2" s="1"/>
  <c r="BC7" i="2"/>
  <c r="BD7" i="2" s="1"/>
  <c r="BR8" i="2"/>
  <c r="BS8" i="2" s="1"/>
  <c r="BH8" i="2"/>
  <c r="BI8" i="2" s="1"/>
  <c r="AX8" i="2"/>
  <c r="AY8" i="2" s="1"/>
  <c r="AN8" i="2"/>
  <c r="AO8" i="2" s="1"/>
  <c r="AD8" i="2"/>
  <c r="BW8" i="2"/>
  <c r="BX8" i="2" s="1"/>
  <c r="BM8" i="2"/>
  <c r="BN8" i="2" s="1"/>
  <c r="BC8" i="2"/>
  <c r="BD8" i="2" s="1"/>
  <c r="AS8" i="2"/>
  <c r="AT8" i="2" s="1"/>
  <c r="AI8" i="2"/>
  <c r="AJ8" i="2" s="1"/>
  <c r="BR12" i="2"/>
  <c r="BS12" i="2" s="1"/>
  <c r="BH12" i="2"/>
  <c r="BI12" i="2" s="1"/>
  <c r="AX12" i="2"/>
  <c r="AY12" i="2" s="1"/>
  <c r="AN12" i="2"/>
  <c r="AO12" i="2" s="1"/>
  <c r="AD12" i="2"/>
  <c r="BW12" i="2"/>
  <c r="BX12" i="2" s="1"/>
  <c r="BM12" i="2"/>
  <c r="BN12" i="2" s="1"/>
  <c r="BC12" i="2"/>
  <c r="BD12" i="2" s="1"/>
  <c r="AS12" i="2"/>
  <c r="AT12" i="2" s="1"/>
  <c r="AI12" i="2"/>
  <c r="AJ12" i="2" s="1"/>
  <c r="BC19" i="2"/>
  <c r="BD19" i="2" s="1"/>
  <c r="BW20" i="2"/>
  <c r="BX20" i="2" s="1"/>
  <c r="BH20" i="2"/>
  <c r="BI20" i="2" s="1"/>
  <c r="AX20" i="2"/>
  <c r="AY20" i="2" s="1"/>
  <c r="AN20" i="2"/>
  <c r="AO20" i="2" s="1"/>
  <c r="AD20" i="2"/>
  <c r="BM20" i="2"/>
  <c r="BN20" i="2" s="1"/>
  <c r="BC20" i="2"/>
  <c r="BD20" i="2" s="1"/>
  <c r="AS20" i="2"/>
  <c r="AT20" i="2" s="1"/>
  <c r="AI20" i="2"/>
  <c r="AJ20" i="2" s="1"/>
  <c r="BK22" i="2"/>
  <c r="BP25" i="2"/>
  <c r="BP29" i="2"/>
  <c r="BO29" i="2"/>
  <c r="AD2" i="2"/>
  <c r="AN2" i="2"/>
  <c r="AO2" i="2" s="1"/>
  <c r="AX2" i="2"/>
  <c r="AY2" i="2" s="1"/>
  <c r="BH2" i="2"/>
  <c r="BI2" i="2" s="1"/>
  <c r="BW5" i="2"/>
  <c r="BX5" i="2" s="1"/>
  <c r="BM5" i="2"/>
  <c r="BN5" i="2" s="1"/>
  <c r="BC5" i="2"/>
  <c r="BD5" i="2" s="1"/>
  <c r="AS5" i="2"/>
  <c r="AT5" i="2" s="1"/>
  <c r="AI5" i="2"/>
  <c r="AJ5" i="2" s="1"/>
  <c r="AX9" i="2"/>
  <c r="AY9" i="2" s="1"/>
  <c r="AD13" i="2"/>
  <c r="AX13" i="2"/>
  <c r="AY13" i="2" s="1"/>
  <c r="BR13" i="2"/>
  <c r="BS13" i="2" s="1"/>
  <c r="AI15" i="2"/>
  <c r="AJ15" i="2" s="1"/>
  <c r="BC15" i="2"/>
  <c r="BD15" i="2" s="1"/>
  <c r="BW15" i="2"/>
  <c r="BX15" i="2" s="1"/>
  <c r="BT27" i="2"/>
  <c r="BU27" i="2" s="1"/>
  <c r="AU28" i="2"/>
  <c r="AV28" i="2"/>
  <c r="AE31" i="2"/>
  <c r="BW3" i="2"/>
  <c r="BX3" i="2" s="1"/>
  <c r="AS4" i="2"/>
  <c r="AT4" i="2" s="1"/>
  <c r="AN5" i="2"/>
  <c r="AO5" i="2" s="1"/>
  <c r="AS7" i="2"/>
  <c r="AT7" i="2" s="1"/>
  <c r="BW17" i="2"/>
  <c r="BX17" i="2" s="1"/>
  <c r="BM17" i="2"/>
  <c r="BN17" i="2" s="1"/>
  <c r="BC17" i="2"/>
  <c r="BD17" i="2" s="1"/>
  <c r="AS17" i="2"/>
  <c r="AT17" i="2" s="1"/>
  <c r="AI17" i="2"/>
  <c r="AJ17" i="2" s="1"/>
  <c r="CB17" i="2" s="1"/>
  <c r="BR17" i="2"/>
  <c r="BS17" i="2" s="1"/>
  <c r="AI19" i="2"/>
  <c r="AJ19" i="2" s="1"/>
  <c r="BH23" i="2"/>
  <c r="BI23" i="2" s="1"/>
  <c r="BR23" i="2"/>
  <c r="BS23" i="2" s="1"/>
  <c r="AD23" i="2"/>
  <c r="BA27" i="2"/>
  <c r="AZ27" i="2"/>
  <c r="AI45" i="1"/>
  <c r="AJ45" i="1" s="1"/>
  <c r="CB45" i="1" s="1"/>
  <c r="AS45" i="1"/>
  <c r="AT45" i="1" s="1"/>
  <c r="BC45" i="1"/>
  <c r="BD45" i="1" s="1"/>
  <c r="BM45" i="1"/>
  <c r="BN45" i="1" s="1"/>
  <c r="BW45" i="1"/>
  <c r="BX45" i="1" s="1"/>
  <c r="AI49" i="1"/>
  <c r="AJ49" i="1" s="1"/>
  <c r="AS49" i="1"/>
  <c r="AT49" i="1" s="1"/>
  <c r="BC49" i="1"/>
  <c r="BD49" i="1" s="1"/>
  <c r="BM49" i="1"/>
  <c r="BN49" i="1" s="1"/>
  <c r="BW49" i="1"/>
  <c r="BX49" i="1" s="1"/>
  <c r="AD51" i="1"/>
  <c r="AN51" i="1"/>
  <c r="AO51" i="1" s="1"/>
  <c r="AX51" i="1"/>
  <c r="AY51" i="1" s="1"/>
  <c r="BH51" i="1"/>
  <c r="BI51" i="1" s="1"/>
  <c r="AI3" i="2"/>
  <c r="AJ3" i="2" s="1"/>
  <c r="AS3" i="2"/>
  <c r="AT3" i="2" s="1"/>
  <c r="BC3" i="2"/>
  <c r="BD3" i="2" s="1"/>
  <c r="BW6" i="2"/>
  <c r="BX6" i="2" s="1"/>
  <c r="BM6" i="2"/>
  <c r="BN6" i="2" s="1"/>
  <c r="BC6" i="2"/>
  <c r="BD6" i="2" s="1"/>
  <c r="AS6" i="2"/>
  <c r="AT6" i="2" s="1"/>
  <c r="AI6" i="2"/>
  <c r="AJ6" i="2" s="1"/>
  <c r="BR9" i="2"/>
  <c r="BS9" i="2" s="1"/>
  <c r="BM19" i="2"/>
  <c r="BN19" i="2" s="1"/>
  <c r="AL22" i="2"/>
  <c r="BR24" i="2"/>
  <c r="BS24" i="2" s="1"/>
  <c r="AD24" i="2"/>
  <c r="BC24" i="2"/>
  <c r="BD24" i="2" s="1"/>
  <c r="AS24" i="2"/>
  <c r="AT24" i="2" s="1"/>
  <c r="BT26" i="2"/>
  <c r="BU26" i="2"/>
  <c r="BF29" i="2"/>
  <c r="BE29" i="2"/>
  <c r="BM24" i="2"/>
  <c r="BN24" i="2" s="1"/>
  <c r="AS26" i="2"/>
  <c r="AT26" i="2" s="1"/>
  <c r="AD27" i="2"/>
  <c r="BO43" i="2"/>
  <c r="BP43" i="2" s="1"/>
  <c r="BZ43" i="2"/>
  <c r="BY43" i="2"/>
  <c r="AD10" i="2"/>
  <c r="AN10" i="2"/>
  <c r="AO10" i="2" s="1"/>
  <c r="AX10" i="2"/>
  <c r="AY10" i="2" s="1"/>
  <c r="BH10" i="2"/>
  <c r="BI10" i="2" s="1"/>
  <c r="BR10" i="2"/>
  <c r="BS10" i="2" s="1"/>
  <c r="AD14" i="2"/>
  <c r="AN14" i="2"/>
  <c r="AO14" i="2" s="1"/>
  <c r="AX14" i="2"/>
  <c r="AY14" i="2" s="1"/>
  <c r="BH14" i="2"/>
  <c r="BI14" i="2" s="1"/>
  <c r="BR14" i="2"/>
  <c r="BS14" i="2" s="1"/>
  <c r="AD18" i="2"/>
  <c r="AN18" i="2"/>
  <c r="AO18" i="2" s="1"/>
  <c r="AX18" i="2"/>
  <c r="AY18" i="2" s="1"/>
  <c r="BH18" i="2"/>
  <c r="BI18" i="2" s="1"/>
  <c r="BR18" i="2"/>
  <c r="BS18" i="2" s="1"/>
  <c r="AN24" i="2"/>
  <c r="AO24" i="2" s="1"/>
  <c r="BH26" i="2"/>
  <c r="BI26" i="2" s="1"/>
  <c r="BC28" i="2"/>
  <c r="BD28" i="2" s="1"/>
  <c r="BR30" i="2"/>
  <c r="BS30" i="2" s="1"/>
  <c r="AX31" i="2"/>
  <c r="AY31" i="2" s="1"/>
  <c r="BC40" i="2"/>
  <c r="BD40" i="2" s="1"/>
  <c r="AN40" i="2"/>
  <c r="AO40" i="2" s="1"/>
  <c r="AX40" i="2"/>
  <c r="AY40" i="2" s="1"/>
  <c r="BU41" i="2"/>
  <c r="AE42" i="2"/>
  <c r="BJ42" i="2"/>
  <c r="BK42" i="2" s="1"/>
  <c r="AU44" i="2"/>
  <c r="AV44" i="2" s="1"/>
  <c r="BR25" i="2"/>
  <c r="BS25" i="2" s="1"/>
  <c r="BH25" i="2"/>
  <c r="BI25" i="2" s="1"/>
  <c r="AX25" i="2"/>
  <c r="AY25" i="2" s="1"/>
  <c r="AN25" i="2"/>
  <c r="AO25" i="2" s="1"/>
  <c r="AD25" i="2"/>
  <c r="BR28" i="2"/>
  <c r="BS28" i="2" s="1"/>
  <c r="BH28" i="2"/>
  <c r="BI28" i="2" s="1"/>
  <c r="AX28" i="2"/>
  <c r="AY28" i="2" s="1"/>
  <c r="AN28" i="2"/>
  <c r="AO28" i="2" s="1"/>
  <c r="AD28" i="2"/>
  <c r="BR32" i="2"/>
  <c r="BS32" i="2" s="1"/>
  <c r="BH32" i="2"/>
  <c r="BI32" i="2" s="1"/>
  <c r="AX32" i="2"/>
  <c r="AY32" i="2" s="1"/>
  <c r="AN32" i="2"/>
  <c r="AO32" i="2" s="1"/>
  <c r="AD32" i="2"/>
  <c r="BW32" i="2"/>
  <c r="BX32" i="2" s="1"/>
  <c r="BM32" i="2"/>
  <c r="BN32" i="2" s="1"/>
  <c r="BC32" i="2"/>
  <c r="BD32" i="2" s="1"/>
  <c r="AS32" i="2"/>
  <c r="AT32" i="2" s="1"/>
  <c r="AI32" i="2"/>
  <c r="AJ32" i="2" s="1"/>
  <c r="BR33" i="2"/>
  <c r="BS33" i="2" s="1"/>
  <c r="BH33" i="2"/>
  <c r="BI33" i="2" s="1"/>
  <c r="AX33" i="2"/>
  <c r="AY33" i="2" s="1"/>
  <c r="AN33" i="2"/>
  <c r="AO33" i="2" s="1"/>
  <c r="AD33" i="2"/>
  <c r="BW33" i="2"/>
  <c r="BX33" i="2" s="1"/>
  <c r="BM33" i="2"/>
  <c r="BN33" i="2" s="1"/>
  <c r="BC33" i="2"/>
  <c r="BD33" i="2" s="1"/>
  <c r="AS33" i="2"/>
  <c r="AT33" i="2" s="1"/>
  <c r="AI33" i="2"/>
  <c r="AJ33" i="2" s="1"/>
  <c r="BU42" i="2"/>
  <c r="BT42" i="2"/>
  <c r="AL43" i="2"/>
  <c r="AK43" i="2"/>
  <c r="BE44" i="2"/>
  <c r="BF44" i="2" s="1"/>
  <c r="BA51" i="2"/>
  <c r="AZ51" i="2"/>
  <c r="BC25" i="2"/>
  <c r="BD25" i="2" s="1"/>
  <c r="BJ40" i="2"/>
  <c r="BK40" i="2" s="1"/>
  <c r="BY41" i="2"/>
  <c r="BZ41" i="2" s="1"/>
  <c r="AL42" i="2"/>
  <c r="AK42" i="2"/>
  <c r="BY42" i="2"/>
  <c r="BZ42" i="2" s="1"/>
  <c r="AP45" i="2"/>
  <c r="AQ45" i="2" s="1"/>
  <c r="BW47" i="2"/>
  <c r="BX47" i="2" s="1"/>
  <c r="AN47" i="2"/>
  <c r="AO47" i="2" s="1"/>
  <c r="BR47" i="2"/>
  <c r="BS47" i="2" s="1"/>
  <c r="BC47" i="2"/>
  <c r="BD47" i="2" s="1"/>
  <c r="AX47" i="2"/>
  <c r="AY47" i="2" s="1"/>
  <c r="AI47" i="2"/>
  <c r="AJ47" i="2" s="1"/>
  <c r="BM47" i="2"/>
  <c r="BN47" i="2" s="1"/>
  <c r="AD47" i="2"/>
  <c r="BH47" i="2"/>
  <c r="BI47" i="2" s="1"/>
  <c r="AS47" i="2"/>
  <c r="AT47" i="2" s="1"/>
  <c r="BW35" i="2"/>
  <c r="BX35" i="2" s="1"/>
  <c r="BM35" i="2"/>
  <c r="BN35" i="2" s="1"/>
  <c r="BC35" i="2"/>
  <c r="BD35" i="2" s="1"/>
  <c r="AS35" i="2"/>
  <c r="AT35" i="2" s="1"/>
  <c r="AI35" i="2"/>
  <c r="AJ35" i="2" s="1"/>
  <c r="BR35" i="2"/>
  <c r="BS35" i="2" s="1"/>
  <c r="BH35" i="2"/>
  <c r="BI35" i="2" s="1"/>
  <c r="AX35" i="2"/>
  <c r="AY35" i="2" s="1"/>
  <c r="AN35" i="2"/>
  <c r="AO35" i="2" s="1"/>
  <c r="AD35" i="2"/>
  <c r="BR36" i="2"/>
  <c r="BS36" i="2" s="1"/>
  <c r="BH36" i="2"/>
  <c r="BI36" i="2" s="1"/>
  <c r="AX36" i="2"/>
  <c r="AY36" i="2" s="1"/>
  <c r="AN36" i="2"/>
  <c r="AO36" i="2" s="1"/>
  <c r="AD36" i="2"/>
  <c r="BW36" i="2"/>
  <c r="BX36" i="2" s="1"/>
  <c r="BM36" i="2"/>
  <c r="BN36" i="2" s="1"/>
  <c r="BC36" i="2"/>
  <c r="BD36" i="2" s="1"/>
  <c r="AS36" i="2"/>
  <c r="AT36" i="2" s="1"/>
  <c r="AI36" i="2"/>
  <c r="AJ36" i="2" s="1"/>
  <c r="BR37" i="2"/>
  <c r="BS37" i="2" s="1"/>
  <c r="BH37" i="2"/>
  <c r="BI37" i="2" s="1"/>
  <c r="AX37" i="2"/>
  <c r="AY37" i="2" s="1"/>
  <c r="AN37" i="2"/>
  <c r="AO37" i="2" s="1"/>
  <c r="AD37" i="2"/>
  <c r="BW37" i="2"/>
  <c r="BX37" i="2" s="1"/>
  <c r="BM37" i="2"/>
  <c r="BN37" i="2" s="1"/>
  <c r="BC37" i="2"/>
  <c r="BD37" i="2" s="1"/>
  <c r="AS37" i="2"/>
  <c r="AT37" i="2" s="1"/>
  <c r="AI37" i="2"/>
  <c r="AJ37" i="2" s="1"/>
  <c r="BW38" i="2"/>
  <c r="BX38" i="2" s="1"/>
  <c r="BM38" i="2"/>
  <c r="BN38" i="2" s="1"/>
  <c r="BC38" i="2"/>
  <c r="BD38" i="2" s="1"/>
  <c r="AS38" i="2"/>
  <c r="AT38" i="2" s="1"/>
  <c r="AI38" i="2"/>
  <c r="AJ38" i="2" s="1"/>
  <c r="BR38" i="2"/>
  <c r="BS38" i="2" s="1"/>
  <c r="BH38" i="2"/>
  <c r="BI38" i="2" s="1"/>
  <c r="AX38" i="2"/>
  <c r="AY38" i="2" s="1"/>
  <c r="AN38" i="2"/>
  <c r="AO38" i="2" s="1"/>
  <c r="AD38" i="2"/>
  <c r="BZ39" i="2"/>
  <c r="AE40" i="2"/>
  <c r="BO40" i="2"/>
  <c r="BP40" i="2"/>
  <c r="AZ41" i="2"/>
  <c r="BA41" i="2" s="1"/>
  <c r="AV43" i="2"/>
  <c r="BP44" i="2"/>
  <c r="BO44" i="2"/>
  <c r="BU45" i="2"/>
  <c r="BT45" i="2"/>
  <c r="AV49" i="2"/>
  <c r="AU49" i="2"/>
  <c r="AI10" i="2"/>
  <c r="AJ10" i="2" s="1"/>
  <c r="AS10" i="2"/>
  <c r="AT10" i="2" s="1"/>
  <c r="BC10" i="2"/>
  <c r="BD10" i="2" s="1"/>
  <c r="BM10" i="2"/>
  <c r="BN10" i="2" s="1"/>
  <c r="BW10" i="2"/>
  <c r="BX10" i="2" s="1"/>
  <c r="AI14" i="2"/>
  <c r="AJ14" i="2" s="1"/>
  <c r="AS14" i="2"/>
  <c r="AT14" i="2" s="1"/>
  <c r="BC14" i="2"/>
  <c r="BD14" i="2" s="1"/>
  <c r="BM14" i="2"/>
  <c r="BN14" i="2" s="1"/>
  <c r="BW14" i="2"/>
  <c r="BX14" i="2" s="1"/>
  <c r="AI18" i="2"/>
  <c r="AJ18" i="2" s="1"/>
  <c r="AS18" i="2"/>
  <c r="AT18" i="2" s="1"/>
  <c r="BC18" i="2"/>
  <c r="BD18" i="2" s="1"/>
  <c r="BM18" i="2"/>
  <c r="BN18" i="2" s="1"/>
  <c r="BW18" i="2"/>
  <c r="BX18" i="2" s="1"/>
  <c r="BH24" i="2"/>
  <c r="BI24" i="2" s="1"/>
  <c r="AS25" i="2"/>
  <c r="AT25" i="2" s="1"/>
  <c r="AN26" i="2"/>
  <c r="AO26" i="2" s="1"/>
  <c r="AN27" i="2"/>
  <c r="AO27" i="2" s="1"/>
  <c r="BZ28" i="2"/>
  <c r="AN31" i="2"/>
  <c r="AO31" i="2" s="1"/>
  <c r="BR39" i="2"/>
  <c r="BS39" i="2" s="1"/>
  <c r="BM39" i="2"/>
  <c r="BN39" i="2" s="1"/>
  <c r="BC39" i="2"/>
  <c r="BD39" i="2" s="1"/>
  <c r="AS39" i="2"/>
  <c r="AT39" i="2" s="1"/>
  <c r="AI39" i="2"/>
  <c r="AJ39" i="2" s="1"/>
  <c r="BH39" i="2"/>
  <c r="BI39" i="2" s="1"/>
  <c r="AX39" i="2"/>
  <c r="AY39" i="2" s="1"/>
  <c r="AN39" i="2"/>
  <c r="AO39" i="2" s="1"/>
  <c r="AD39" i="2"/>
  <c r="BY39" i="2"/>
  <c r="AI40" i="2"/>
  <c r="AJ40" i="2" s="1"/>
  <c r="BR40" i="2"/>
  <c r="BS40" i="2" s="1"/>
  <c r="BF41" i="2"/>
  <c r="AV42" i="2"/>
  <c r="AU42" i="2"/>
  <c r="AU43" i="2"/>
  <c r="BY44" i="2"/>
  <c r="BZ44" i="2" s="1"/>
  <c r="AI24" i="2"/>
  <c r="AJ24" i="2" s="1"/>
  <c r="BW24" i="2"/>
  <c r="BX24" i="2" s="1"/>
  <c r="BC26" i="2"/>
  <c r="BD26" i="2" s="1"/>
  <c r="BW27" i="2"/>
  <c r="BX27" i="2" s="1"/>
  <c r="BM27" i="2"/>
  <c r="BN27" i="2" s="1"/>
  <c r="BC27" i="2"/>
  <c r="BD27" i="2" s="1"/>
  <c r="AS27" i="2"/>
  <c r="AT27" i="2" s="1"/>
  <c r="AI27" i="2"/>
  <c r="AJ27" i="2" s="1"/>
  <c r="BM28" i="2"/>
  <c r="BN28" i="2" s="1"/>
  <c r="BR29" i="2"/>
  <c r="BS29" i="2" s="1"/>
  <c r="BH29" i="2"/>
  <c r="BI29" i="2" s="1"/>
  <c r="AX29" i="2"/>
  <c r="AY29" i="2" s="1"/>
  <c r="AN29" i="2"/>
  <c r="AO29" i="2" s="1"/>
  <c r="AD29" i="2"/>
  <c r="BW29" i="2"/>
  <c r="BX29" i="2" s="1"/>
  <c r="BW30" i="2"/>
  <c r="BX30" i="2" s="1"/>
  <c r="BM30" i="2"/>
  <c r="BN30" i="2" s="1"/>
  <c r="BC30" i="2"/>
  <c r="BD30" i="2" s="1"/>
  <c r="AS30" i="2"/>
  <c r="AT30" i="2" s="1"/>
  <c r="AI30" i="2"/>
  <c r="AJ30" i="2" s="1"/>
  <c r="BW31" i="2"/>
  <c r="BX31" i="2" s="1"/>
  <c r="BM31" i="2"/>
  <c r="BN31" i="2" s="1"/>
  <c r="BC31" i="2"/>
  <c r="BD31" i="2" s="1"/>
  <c r="AS31" i="2"/>
  <c r="AT31" i="2" s="1"/>
  <c r="AI31" i="2"/>
  <c r="AJ31" i="2" s="1"/>
  <c r="BR31" i="2"/>
  <c r="BS31" i="2" s="1"/>
  <c r="BH31" i="2"/>
  <c r="BI31" i="2" s="1"/>
  <c r="BW40" i="2"/>
  <c r="BX40" i="2" s="1"/>
  <c r="AE41" i="2"/>
  <c r="AZ42" i="2"/>
  <c r="BA42" i="2"/>
  <c r="BF43" i="2"/>
  <c r="BE43" i="2"/>
  <c r="BW23" i="2"/>
  <c r="BX23" i="2" s="1"/>
  <c r="BM23" i="2"/>
  <c r="BN23" i="2" s="1"/>
  <c r="BC23" i="2"/>
  <c r="BD23" i="2" s="1"/>
  <c r="AS23" i="2"/>
  <c r="AT23" i="2" s="1"/>
  <c r="AI23" i="2"/>
  <c r="AJ23" i="2" s="1"/>
  <c r="AN23" i="2"/>
  <c r="AO23" i="2" s="1"/>
  <c r="AI25" i="2"/>
  <c r="AJ25" i="2" s="1"/>
  <c r="BW25" i="2"/>
  <c r="BX25" i="2" s="1"/>
  <c r="AD26" i="2"/>
  <c r="BH27" i="2"/>
  <c r="BI27" i="2" s="1"/>
  <c r="AI28" i="2"/>
  <c r="AJ28" i="2" s="1"/>
  <c r="AS29" i="2"/>
  <c r="AT29" i="2" s="1"/>
  <c r="AX30" i="2"/>
  <c r="AY30" i="2" s="1"/>
  <c r="BW34" i="2"/>
  <c r="BX34" i="2" s="1"/>
  <c r="BM34" i="2"/>
  <c r="BN34" i="2" s="1"/>
  <c r="BC34" i="2"/>
  <c r="BD34" i="2" s="1"/>
  <c r="AS34" i="2"/>
  <c r="AT34" i="2" s="1"/>
  <c r="AI34" i="2"/>
  <c r="AJ34" i="2" s="1"/>
  <c r="BR34" i="2"/>
  <c r="BS34" i="2" s="1"/>
  <c r="BH34" i="2"/>
  <c r="BI34" i="2" s="1"/>
  <c r="AX34" i="2"/>
  <c r="AY34" i="2" s="1"/>
  <c r="AN34" i="2"/>
  <c r="AO34" i="2" s="1"/>
  <c r="AD34" i="2"/>
  <c r="AS40" i="2"/>
  <c r="AT40" i="2" s="1"/>
  <c r="BK41" i="2"/>
  <c r="BF42" i="2"/>
  <c r="BE42" i="2"/>
  <c r="AK44" i="2"/>
  <c r="AL44" i="2" s="1"/>
  <c r="BF46" i="2"/>
  <c r="BE46" i="2"/>
  <c r="BE51" i="2"/>
  <c r="BF51" i="2" s="1"/>
  <c r="AN43" i="2"/>
  <c r="AO43" i="2" s="1"/>
  <c r="AI52" i="2"/>
  <c r="AJ52" i="2" s="1"/>
  <c r="AS52" i="2"/>
  <c r="AT52" i="2" s="1"/>
  <c r="BM52" i="2"/>
  <c r="BN52" i="2" s="1"/>
  <c r="BW52" i="2"/>
  <c r="BX52" i="2" s="1"/>
  <c r="BW53" i="2"/>
  <c r="BX53" i="2" s="1"/>
  <c r="BH53" i="2"/>
  <c r="BI53" i="2" s="1"/>
  <c r="AI53" i="2"/>
  <c r="AJ53" i="2" s="1"/>
  <c r="BR53" i="2"/>
  <c r="BS53" i="2" s="1"/>
  <c r="AS53" i="2"/>
  <c r="AT53" i="2" s="1"/>
  <c r="BC53" i="2"/>
  <c r="BD53" i="2" s="1"/>
  <c r="AD53" i="2"/>
  <c r="AN53" i="2"/>
  <c r="AO53" i="2" s="1"/>
  <c r="AE64" i="2"/>
  <c r="AQ44" i="2"/>
  <c r="AX46" i="2"/>
  <c r="AY46" i="2" s="1"/>
  <c r="BM46" i="2"/>
  <c r="BN46" i="2" s="1"/>
  <c r="BE52" i="2"/>
  <c r="BF52" i="2" s="1"/>
  <c r="AZ53" i="2"/>
  <c r="BA53" i="2" s="1"/>
  <c r="AL59" i="2"/>
  <c r="AK59" i="2"/>
  <c r="AK62" i="2"/>
  <c r="AL62" i="2"/>
  <c r="AD43" i="2"/>
  <c r="BR43" i="2"/>
  <c r="BS43" i="2" s="1"/>
  <c r="AP44" i="2"/>
  <c r="BC45" i="2"/>
  <c r="BD45" i="2" s="1"/>
  <c r="AI46" i="2"/>
  <c r="AJ46" i="2" s="1"/>
  <c r="AV48" i="2"/>
  <c r="BP48" i="2"/>
  <c r="BM53" i="2"/>
  <c r="BN53" i="2" s="1"/>
  <c r="CB44" i="2"/>
  <c r="BR46" i="2"/>
  <c r="BS46" i="2" s="1"/>
  <c r="AE48" i="2"/>
  <c r="AL49" i="2"/>
  <c r="AK49" i="2"/>
  <c r="AQ51" i="2"/>
  <c r="BK54" i="2"/>
  <c r="BJ54" i="2"/>
  <c r="AI41" i="2"/>
  <c r="AJ41" i="2" s="1"/>
  <c r="BH43" i="2"/>
  <c r="BI43" i="2" s="1"/>
  <c r="AF44" i="2"/>
  <c r="BT44" i="2"/>
  <c r="BU44" i="2" s="1"/>
  <c r="AE45" i="2"/>
  <c r="AS45" i="2"/>
  <c r="AT45" i="2" s="1"/>
  <c r="BH45" i="2"/>
  <c r="BI45" i="2" s="1"/>
  <c r="BW45" i="2"/>
  <c r="BX45" i="2" s="1"/>
  <c r="AN46" i="2"/>
  <c r="AO46" i="2" s="1"/>
  <c r="AZ48" i="2"/>
  <c r="BA48" i="2" s="1"/>
  <c r="BT48" i="2"/>
  <c r="BU48" i="2" s="1"/>
  <c r="AP49" i="2"/>
  <c r="AQ49" i="2" s="1"/>
  <c r="AQ50" i="2"/>
  <c r="BU50" i="2"/>
  <c r="AU51" i="2"/>
  <c r="AV51" i="2" s="1"/>
  <c r="BR54" i="2"/>
  <c r="BS54" i="2" s="1"/>
  <c r="AD54" i="2"/>
  <c r="AN54" i="2"/>
  <c r="AO54" i="2" s="1"/>
  <c r="AX54" i="2"/>
  <c r="AY54" i="2" s="1"/>
  <c r="BK44" i="2"/>
  <c r="BC55" i="2"/>
  <c r="BD55" i="2" s="1"/>
  <c r="AI55" i="2"/>
  <c r="AJ55" i="2" s="1"/>
  <c r="BM55" i="2"/>
  <c r="BN55" i="2" s="1"/>
  <c r="AS55" i="2"/>
  <c r="AT55" i="2" s="1"/>
  <c r="AD55" i="2"/>
  <c r="BM41" i="2"/>
  <c r="BN41" i="2" s="1"/>
  <c r="AX43" i="2"/>
  <c r="AY43" i="2" s="1"/>
  <c r="BJ44" i="2"/>
  <c r="AI45" i="2"/>
  <c r="AJ45" i="2" s="1"/>
  <c r="BH46" i="2"/>
  <c r="BI46" i="2" s="1"/>
  <c r="BW46" i="2"/>
  <c r="BX46" i="2" s="1"/>
  <c r="AL48" i="2"/>
  <c r="BF48" i="2"/>
  <c r="BZ48" i="2"/>
  <c r="BZ49" i="2"/>
  <c r="BO59" i="2"/>
  <c r="BP59" i="2" s="1"/>
  <c r="AN41" i="2"/>
  <c r="AO41" i="2" s="1"/>
  <c r="AN42" i="2"/>
  <c r="AO42" i="2" s="1"/>
  <c r="BM42" i="2"/>
  <c r="BN42" i="2" s="1"/>
  <c r="AX44" i="2"/>
  <c r="AY44" i="2" s="1"/>
  <c r="AX45" i="2"/>
  <c r="AY45" i="2" s="1"/>
  <c r="BM45" i="2"/>
  <c r="BN45" i="2" s="1"/>
  <c r="AD46" i="2"/>
  <c r="AS46" i="2"/>
  <c r="AT46" i="2" s="1"/>
  <c r="AN48" i="2"/>
  <c r="AO48" i="2" s="1"/>
  <c r="BH48" i="2"/>
  <c r="BI48" i="2" s="1"/>
  <c r="BW57" i="2"/>
  <c r="BX57" i="2" s="1"/>
  <c r="BM57" i="2"/>
  <c r="BN57" i="2" s="1"/>
  <c r="BC57" i="2"/>
  <c r="BD57" i="2" s="1"/>
  <c r="AS57" i="2"/>
  <c r="AT57" i="2" s="1"/>
  <c r="AI57" i="2"/>
  <c r="AJ57" i="2" s="1"/>
  <c r="BZ59" i="2"/>
  <c r="BY59" i="2"/>
  <c r="BW61" i="2"/>
  <c r="BX61" i="2" s="1"/>
  <c r="BM61" i="2"/>
  <c r="BN61" i="2" s="1"/>
  <c r="BC61" i="2"/>
  <c r="BD61" i="2" s="1"/>
  <c r="AS61" i="2"/>
  <c r="AT61" i="2" s="1"/>
  <c r="BH61" i="2"/>
  <c r="BI61" i="2" s="1"/>
  <c r="AI61" i="2"/>
  <c r="AJ61" i="2" s="1"/>
  <c r="AX61" i="2"/>
  <c r="AY61" i="2" s="1"/>
  <c r="BY66" i="2"/>
  <c r="BZ66" i="2"/>
  <c r="BE72" i="2"/>
  <c r="BF72" i="2" s="1"/>
  <c r="AD49" i="2"/>
  <c r="BM49" i="2"/>
  <c r="BN49" i="2" s="1"/>
  <c r="AD50" i="2"/>
  <c r="AD51" i="2"/>
  <c r="BW51" i="2"/>
  <c r="BX51" i="2" s="1"/>
  <c r="BR60" i="2"/>
  <c r="BS60" i="2" s="1"/>
  <c r="BH60" i="2"/>
  <c r="BI60" i="2" s="1"/>
  <c r="AX60" i="2"/>
  <c r="AY60" i="2" s="1"/>
  <c r="AN60" i="2"/>
  <c r="AO60" i="2" s="1"/>
  <c r="AD60" i="2"/>
  <c r="BW60" i="2"/>
  <c r="BX60" i="2" s="1"/>
  <c r="BM60" i="2"/>
  <c r="BN60" i="2" s="1"/>
  <c r="BC60" i="2"/>
  <c r="BD60" i="2" s="1"/>
  <c r="AS60" i="2"/>
  <c r="AT60" i="2" s="1"/>
  <c r="AI60" i="2"/>
  <c r="AJ60" i="2" s="1"/>
  <c r="BF79" i="2"/>
  <c r="BE79" i="2"/>
  <c r="BO79" i="2"/>
  <c r="BP79" i="2" s="1"/>
  <c r="BR88" i="2"/>
  <c r="BS88" i="2" s="1"/>
  <c r="BH88" i="2"/>
  <c r="BI88" i="2" s="1"/>
  <c r="AX88" i="2"/>
  <c r="AY88" i="2" s="1"/>
  <c r="AN88" i="2"/>
  <c r="AO88" i="2" s="1"/>
  <c r="AD88" i="2"/>
  <c r="AS88" i="2"/>
  <c r="AT88" i="2" s="1"/>
  <c r="BW88" i="2"/>
  <c r="BX88" i="2" s="1"/>
  <c r="AI88" i="2"/>
  <c r="AJ88" i="2" s="1"/>
  <c r="BM88" i="2"/>
  <c r="BN88" i="2" s="1"/>
  <c r="BC88" i="2"/>
  <c r="BD88" i="2" s="1"/>
  <c r="BC49" i="2"/>
  <c r="BD49" i="2" s="1"/>
  <c r="BM51" i="2"/>
  <c r="BN51" i="2" s="1"/>
  <c r="BR56" i="2"/>
  <c r="BS56" i="2" s="1"/>
  <c r="BH56" i="2"/>
  <c r="BI56" i="2" s="1"/>
  <c r="AX56" i="2"/>
  <c r="AY56" i="2" s="1"/>
  <c r="AN56" i="2"/>
  <c r="AO56" i="2" s="1"/>
  <c r="AD56" i="2"/>
  <c r="BW56" i="2"/>
  <c r="BX56" i="2" s="1"/>
  <c r="BM56" i="2"/>
  <c r="BN56" i="2" s="1"/>
  <c r="BC56" i="2"/>
  <c r="BD56" i="2" s="1"/>
  <c r="AS56" i="2"/>
  <c r="AT56" i="2" s="1"/>
  <c r="AI56" i="2"/>
  <c r="AJ56" i="2" s="1"/>
  <c r="BC59" i="2"/>
  <c r="BD59" i="2" s="1"/>
  <c r="BM64" i="2"/>
  <c r="BN64" i="2" s="1"/>
  <c r="AD57" i="2"/>
  <c r="AX57" i="2"/>
  <c r="AY57" i="2" s="1"/>
  <c r="BR57" i="2"/>
  <c r="BS57" i="2" s="1"/>
  <c r="BR58" i="2"/>
  <c r="BS58" i="2" s="1"/>
  <c r="BH58" i="2"/>
  <c r="BI58" i="2" s="1"/>
  <c r="AX58" i="2"/>
  <c r="AY58" i="2" s="1"/>
  <c r="AN58" i="2"/>
  <c r="AO58" i="2" s="1"/>
  <c r="AD58" i="2"/>
  <c r="AD61" i="2"/>
  <c r="BW62" i="2"/>
  <c r="BX62" i="2" s="1"/>
  <c r="AD62" i="2"/>
  <c r="BR62" i="2"/>
  <c r="BS62" i="2" s="1"/>
  <c r="BT64" i="2"/>
  <c r="BU64" i="2" s="1"/>
  <c r="BW65" i="2"/>
  <c r="BX65" i="2" s="1"/>
  <c r="BM65" i="2"/>
  <c r="BN65" i="2" s="1"/>
  <c r="BC65" i="2"/>
  <c r="BD65" i="2" s="1"/>
  <c r="AS65" i="2"/>
  <c r="AT65" i="2" s="1"/>
  <c r="AI65" i="2"/>
  <c r="AJ65" i="2" s="1"/>
  <c r="BR65" i="2"/>
  <c r="BS65" i="2" s="1"/>
  <c r="BH65" i="2"/>
  <c r="BI65" i="2" s="1"/>
  <c r="AX65" i="2"/>
  <c r="AY65" i="2" s="1"/>
  <c r="AN65" i="2"/>
  <c r="AO65" i="2" s="1"/>
  <c r="AD65" i="2"/>
  <c r="AN62" i="2"/>
  <c r="AO62" i="2" s="1"/>
  <c r="BY64" i="2"/>
  <c r="BZ64" i="2" s="1"/>
  <c r="AK66" i="2"/>
  <c r="AL66" i="2"/>
  <c r="BR49" i="2"/>
  <c r="BS49" i="2" s="1"/>
  <c r="AI51" i="2"/>
  <c r="AJ51" i="2" s="1"/>
  <c r="BR51" i="2"/>
  <c r="BS51" i="2" s="1"/>
  <c r="BR55" i="2"/>
  <c r="BS55" i="2" s="1"/>
  <c r="BH55" i="2"/>
  <c r="BI55" i="2" s="1"/>
  <c r="AX55" i="2"/>
  <c r="AY55" i="2" s="1"/>
  <c r="AN55" i="2"/>
  <c r="AO55" i="2" s="1"/>
  <c r="BR61" i="2"/>
  <c r="BS61" i="2" s="1"/>
  <c r="AP66" i="2"/>
  <c r="AQ66" i="2"/>
  <c r="BM70" i="2"/>
  <c r="BN70" i="2" s="1"/>
  <c r="AX70" i="2"/>
  <c r="AY70" i="2" s="1"/>
  <c r="AS70" i="2"/>
  <c r="AT70" i="2" s="1"/>
  <c r="AD70" i="2"/>
  <c r="BH70" i="2"/>
  <c r="BI70" i="2" s="1"/>
  <c r="BW70" i="2"/>
  <c r="BX70" i="2" s="1"/>
  <c r="BC70" i="2"/>
  <c r="BD70" i="2" s="1"/>
  <c r="AN70" i="2"/>
  <c r="AO70" i="2" s="1"/>
  <c r="AI70" i="2"/>
  <c r="AJ70" i="2" s="1"/>
  <c r="BH49" i="2"/>
  <c r="BI49" i="2" s="1"/>
  <c r="BW50" i="2"/>
  <c r="BX50" i="2" s="1"/>
  <c r="BM50" i="2"/>
  <c r="BN50" i="2" s="1"/>
  <c r="BC50" i="2"/>
  <c r="BD50" i="2" s="1"/>
  <c r="AS50" i="2"/>
  <c r="AT50" i="2" s="1"/>
  <c r="AI50" i="2"/>
  <c r="AJ50" i="2" s="1"/>
  <c r="BH50" i="2"/>
  <c r="BI50" i="2" s="1"/>
  <c r="BH51" i="2"/>
  <c r="BI51" i="2" s="1"/>
  <c r="BR59" i="2"/>
  <c r="BS59" i="2" s="1"/>
  <c r="BH59" i="2"/>
  <c r="BI59" i="2" s="1"/>
  <c r="AX59" i="2"/>
  <c r="AY59" i="2" s="1"/>
  <c r="AN59" i="2"/>
  <c r="AO59" i="2" s="1"/>
  <c r="AD59" i="2"/>
  <c r="AN61" i="2"/>
  <c r="AO61" i="2" s="1"/>
  <c r="AX62" i="2"/>
  <c r="AY62" i="2" s="1"/>
  <c r="AN64" i="2"/>
  <c r="AO64" i="2" s="1"/>
  <c r="AX64" i="2"/>
  <c r="AY64" i="2" s="1"/>
  <c r="BH64" i="2"/>
  <c r="BI64" i="2" s="1"/>
  <c r="AS64" i="2"/>
  <c r="AT64" i="2" s="1"/>
  <c r="BC64" i="2"/>
  <c r="BD64" i="2" s="1"/>
  <c r="AI64" i="2"/>
  <c r="AJ64" i="2" s="1"/>
  <c r="AP68" i="2"/>
  <c r="AQ68" i="2"/>
  <c r="BT70" i="2"/>
  <c r="BU70" i="2" s="1"/>
  <c r="BE76" i="2"/>
  <c r="BF76" i="2" s="1"/>
  <c r="AX49" i="2"/>
  <c r="AY49" i="2" s="1"/>
  <c r="AX50" i="2"/>
  <c r="AY50" i="2" s="1"/>
  <c r="BR52" i="2"/>
  <c r="BS52" i="2" s="1"/>
  <c r="BH52" i="2"/>
  <c r="BI52" i="2" s="1"/>
  <c r="AX52" i="2"/>
  <c r="AY52" i="2" s="1"/>
  <c r="AN52" i="2"/>
  <c r="AO52" i="2" s="1"/>
  <c r="AD52" i="2"/>
  <c r="BW55" i="2"/>
  <c r="BX55" i="2" s="1"/>
  <c r="AN57" i="2"/>
  <c r="AO57" i="2" s="1"/>
  <c r="BH57" i="2"/>
  <c r="BI57" i="2" s="1"/>
  <c r="AS59" i="2"/>
  <c r="AT59" i="2" s="1"/>
  <c r="BC62" i="2"/>
  <c r="BD62" i="2" s="1"/>
  <c r="AL63" i="2"/>
  <c r="BJ68" i="2"/>
  <c r="BK68" i="2"/>
  <c r="BA68" i="2"/>
  <c r="AS62" i="2"/>
  <c r="AT62" i="2" s="1"/>
  <c r="BH66" i="2"/>
  <c r="BI66" i="2" s="1"/>
  <c r="BM68" i="2"/>
  <c r="BN68" i="2" s="1"/>
  <c r="BR72" i="2"/>
  <c r="BS72" i="2" s="1"/>
  <c r="BH72" i="2"/>
  <c r="BI72" i="2" s="1"/>
  <c r="AX72" i="2"/>
  <c r="AY72" i="2" s="1"/>
  <c r="AN72" i="2"/>
  <c r="AO72" i="2" s="1"/>
  <c r="BH62" i="2"/>
  <c r="BI62" i="2" s="1"/>
  <c r="AX66" i="2"/>
  <c r="AY66" i="2" s="1"/>
  <c r="BC68" i="2"/>
  <c r="BD68" i="2" s="1"/>
  <c r="BO78" i="2"/>
  <c r="BP78" i="2" s="1"/>
  <c r="BF80" i="2"/>
  <c r="BE80" i="2"/>
  <c r="AD82" i="2"/>
  <c r="BH82" i="2"/>
  <c r="BI82" i="2" s="1"/>
  <c r="AN82" i="2"/>
  <c r="AO82" i="2" s="1"/>
  <c r="BR82" i="2"/>
  <c r="BS82" i="2" s="1"/>
  <c r="BR63" i="2"/>
  <c r="BS63" i="2" s="1"/>
  <c r="BH63" i="2"/>
  <c r="BI63" i="2" s="1"/>
  <c r="AX63" i="2"/>
  <c r="AY63" i="2" s="1"/>
  <c r="AN63" i="2"/>
  <c r="AO63" i="2" s="1"/>
  <c r="AD63" i="2"/>
  <c r="BW63" i="2"/>
  <c r="BX63" i="2" s="1"/>
  <c r="BM63" i="2"/>
  <c r="BN63" i="2" s="1"/>
  <c r="BC63" i="2"/>
  <c r="BD63" i="2" s="1"/>
  <c r="AS63" i="2"/>
  <c r="AT63" i="2" s="1"/>
  <c r="BM66" i="2"/>
  <c r="BN66" i="2" s="1"/>
  <c r="AD68" i="2"/>
  <c r="BR68" i="2"/>
  <c r="BS68" i="2" s="1"/>
  <c r="BW69" i="2"/>
  <c r="BX69" i="2" s="1"/>
  <c r="BM69" i="2"/>
  <c r="BN69" i="2" s="1"/>
  <c r="BC69" i="2"/>
  <c r="BD69" i="2" s="1"/>
  <c r="AS69" i="2"/>
  <c r="AT69" i="2" s="1"/>
  <c r="AI69" i="2"/>
  <c r="AJ69" i="2" s="1"/>
  <c r="BR69" i="2"/>
  <c r="BS69" i="2" s="1"/>
  <c r="BH69" i="2"/>
  <c r="BI69" i="2" s="1"/>
  <c r="AX69" i="2"/>
  <c r="AY69" i="2" s="1"/>
  <c r="AN69" i="2"/>
  <c r="AO69" i="2" s="1"/>
  <c r="AD69" i="2"/>
  <c r="AE72" i="2"/>
  <c r="BP72" i="2"/>
  <c r="BO72" i="2"/>
  <c r="BY79" i="2"/>
  <c r="BZ79" i="2" s="1"/>
  <c r="BW81" i="2"/>
  <c r="BX81" i="2" s="1"/>
  <c r="BM81" i="2"/>
  <c r="BN81" i="2" s="1"/>
  <c r="BC81" i="2"/>
  <c r="BD81" i="2" s="1"/>
  <c r="AS81" i="2"/>
  <c r="AT81" i="2" s="1"/>
  <c r="AI81" i="2"/>
  <c r="AJ81" i="2" s="1"/>
  <c r="AN81" i="2"/>
  <c r="AO81" i="2" s="1"/>
  <c r="BR81" i="2"/>
  <c r="BS81" i="2" s="1"/>
  <c r="AX81" i="2"/>
  <c r="AY81" i="2" s="1"/>
  <c r="AD81" i="2"/>
  <c r="BH81" i="2"/>
  <c r="BI81" i="2" s="1"/>
  <c r="BR83" i="2"/>
  <c r="BS83" i="2" s="1"/>
  <c r="BH83" i="2"/>
  <c r="BI83" i="2" s="1"/>
  <c r="AX83" i="2"/>
  <c r="AY83" i="2" s="1"/>
  <c r="AN83" i="2"/>
  <c r="AO83" i="2" s="1"/>
  <c r="AD83" i="2"/>
  <c r="BW83" i="2"/>
  <c r="BX83" i="2" s="1"/>
  <c r="BC83" i="2"/>
  <c r="BD83" i="2" s="1"/>
  <c r="AI83" i="2"/>
  <c r="AJ83" i="2" s="1"/>
  <c r="BM83" i="2"/>
  <c r="BN83" i="2" s="1"/>
  <c r="AS83" i="2"/>
  <c r="AT83" i="2" s="1"/>
  <c r="AS68" i="2"/>
  <c r="AT68" i="2" s="1"/>
  <c r="BR71" i="2"/>
  <c r="BS71" i="2" s="1"/>
  <c r="BH71" i="2"/>
  <c r="BI71" i="2" s="1"/>
  <c r="AX71" i="2"/>
  <c r="AY71" i="2" s="1"/>
  <c r="AN71" i="2"/>
  <c r="AO71" i="2" s="1"/>
  <c r="AD71" i="2"/>
  <c r="BW71" i="2"/>
  <c r="BX71" i="2" s="1"/>
  <c r="BM71" i="2"/>
  <c r="BN71" i="2" s="1"/>
  <c r="BC71" i="2"/>
  <c r="BD71" i="2" s="1"/>
  <c r="AS71" i="2"/>
  <c r="AT71" i="2" s="1"/>
  <c r="AI71" i="2"/>
  <c r="AJ71" i="2" s="1"/>
  <c r="BW73" i="2"/>
  <c r="BX73" i="2" s="1"/>
  <c r="BM73" i="2"/>
  <c r="BN73" i="2" s="1"/>
  <c r="BC73" i="2"/>
  <c r="BD73" i="2" s="1"/>
  <c r="AS73" i="2"/>
  <c r="AT73" i="2" s="1"/>
  <c r="AI73" i="2"/>
  <c r="AJ73" i="2" s="1"/>
  <c r="BR73" i="2"/>
  <c r="BS73" i="2" s="1"/>
  <c r="BH73" i="2"/>
  <c r="BI73" i="2" s="1"/>
  <c r="AX73" i="2"/>
  <c r="AY73" i="2" s="1"/>
  <c r="AN73" i="2"/>
  <c r="AO73" i="2" s="1"/>
  <c r="AD73" i="2"/>
  <c r="AN74" i="2"/>
  <c r="AO74" i="2" s="1"/>
  <c r="AX74" i="2"/>
  <c r="AY74" i="2" s="1"/>
  <c r="BH74" i="2"/>
  <c r="BI74" i="2" s="1"/>
  <c r="BR74" i="2"/>
  <c r="BS74" i="2" s="1"/>
  <c r="AI74" i="2"/>
  <c r="AJ74" i="2" s="1"/>
  <c r="AS74" i="2"/>
  <c r="AT74" i="2" s="1"/>
  <c r="BC74" i="2"/>
  <c r="BD74" i="2" s="1"/>
  <c r="BW74" i="2"/>
  <c r="BX74" i="2" s="1"/>
  <c r="BM74" i="2"/>
  <c r="BN74" i="2" s="1"/>
  <c r="BP76" i="2"/>
  <c r="BE77" i="2"/>
  <c r="BF77" i="2" s="1"/>
  <c r="AV78" i="2"/>
  <c r="AU78" i="2"/>
  <c r="AK79" i="2"/>
  <c r="AL79" i="2" s="1"/>
  <c r="BT85" i="2"/>
  <c r="BU85" i="2"/>
  <c r="BC66" i="2"/>
  <c r="BD66" i="2" s="1"/>
  <c r="AL72" i="2"/>
  <c r="AK72" i="2"/>
  <c r="BZ72" i="2"/>
  <c r="BY72" i="2"/>
  <c r="BF75" i="2"/>
  <c r="BE75" i="2"/>
  <c r="BZ77" i="2"/>
  <c r="BY77" i="2"/>
  <c r="BR86" i="2"/>
  <c r="BS86" i="2" s="1"/>
  <c r="AI54" i="2"/>
  <c r="AJ54" i="2" s="1"/>
  <c r="AS54" i="2"/>
  <c r="AT54" i="2" s="1"/>
  <c r="BC54" i="2"/>
  <c r="BD54" i="2" s="1"/>
  <c r="BM54" i="2"/>
  <c r="BN54" i="2" s="1"/>
  <c r="BW54" i="2"/>
  <c r="BX54" i="2" s="1"/>
  <c r="AI58" i="2"/>
  <c r="AJ58" i="2" s="1"/>
  <c r="AS58" i="2"/>
  <c r="AT58" i="2" s="1"/>
  <c r="BC58" i="2"/>
  <c r="BD58" i="2" s="1"/>
  <c r="BM58" i="2"/>
  <c r="BN58" i="2" s="1"/>
  <c r="BW58" i="2"/>
  <c r="BX58" i="2" s="1"/>
  <c r="BM62" i="2"/>
  <c r="BN62" i="2" s="1"/>
  <c r="AD66" i="2"/>
  <c r="BR66" i="2"/>
  <c r="BS66" i="2" s="1"/>
  <c r="BR67" i="2"/>
  <c r="BS67" i="2" s="1"/>
  <c r="BH67" i="2"/>
  <c r="BI67" i="2" s="1"/>
  <c r="AX67" i="2"/>
  <c r="AY67" i="2" s="1"/>
  <c r="AN67" i="2"/>
  <c r="AO67" i="2" s="1"/>
  <c r="AD67" i="2"/>
  <c r="BW67" i="2"/>
  <c r="BX67" i="2" s="1"/>
  <c r="BM67" i="2"/>
  <c r="BN67" i="2" s="1"/>
  <c r="BC67" i="2"/>
  <c r="BD67" i="2" s="1"/>
  <c r="AS67" i="2"/>
  <c r="AT67" i="2" s="1"/>
  <c r="AI67" i="2"/>
  <c r="AJ67" i="2" s="1"/>
  <c r="AI68" i="2"/>
  <c r="AJ68" i="2" s="1"/>
  <c r="BW68" i="2"/>
  <c r="BX68" i="2" s="1"/>
  <c r="AD74" i="2"/>
  <c r="BM75" i="2"/>
  <c r="BN75" i="2" s="1"/>
  <c r="AD75" i="2"/>
  <c r="AS66" i="2"/>
  <c r="AT66" i="2" s="1"/>
  <c r="AS72" i="2"/>
  <c r="AT72" i="2" s="1"/>
  <c r="AV76" i="2"/>
  <c r="AU76" i="2"/>
  <c r="AV79" i="2"/>
  <c r="BM77" i="2"/>
  <c r="BN77" i="2" s="1"/>
  <c r="BC78" i="2"/>
  <c r="BD78" i="2" s="1"/>
  <c r="BR80" i="2"/>
  <c r="BS80" i="2" s="1"/>
  <c r="BH80" i="2"/>
  <c r="BI80" i="2" s="1"/>
  <c r="AX80" i="2"/>
  <c r="AY80" i="2" s="1"/>
  <c r="AN80" i="2"/>
  <c r="AO80" i="2" s="1"/>
  <c r="AD80" i="2"/>
  <c r="BR84" i="2"/>
  <c r="BS84" i="2" s="1"/>
  <c r="BH84" i="2"/>
  <c r="BI84" i="2" s="1"/>
  <c r="AX84" i="2"/>
  <c r="AY84" i="2" s="1"/>
  <c r="AN84" i="2"/>
  <c r="AO84" i="2" s="1"/>
  <c r="AD84" i="2"/>
  <c r="AD85" i="2"/>
  <c r="AX85" i="2"/>
  <c r="AY85" i="2" s="1"/>
  <c r="AS89" i="2"/>
  <c r="AT89" i="2" s="1"/>
  <c r="AI89" i="2"/>
  <c r="AJ89" i="2" s="1"/>
  <c r="AN89" i="2"/>
  <c r="AO89" i="2" s="1"/>
  <c r="AD89" i="2"/>
  <c r="AX89" i="2"/>
  <c r="AY89" i="2" s="1"/>
  <c r="BW85" i="2"/>
  <c r="BX85" i="2" s="1"/>
  <c r="BM85" i="2"/>
  <c r="BN85" i="2" s="1"/>
  <c r="BC85" i="2"/>
  <c r="BD85" i="2" s="1"/>
  <c r="AS85" i="2"/>
  <c r="AT85" i="2" s="1"/>
  <c r="AI85" i="2"/>
  <c r="AJ85" i="2" s="1"/>
  <c r="BT87" i="2"/>
  <c r="BU87" i="2" s="1"/>
  <c r="BT93" i="2"/>
  <c r="BU93" i="2" s="1"/>
  <c r="AS75" i="2"/>
  <c r="AT75" i="2" s="1"/>
  <c r="AI76" i="2"/>
  <c r="AJ76" i="2" s="1"/>
  <c r="AS77" i="2"/>
  <c r="AT77" i="2" s="1"/>
  <c r="AI78" i="2"/>
  <c r="AJ78" i="2" s="1"/>
  <c r="BR78" i="2"/>
  <c r="BS78" i="2" s="1"/>
  <c r="AU79" i="2"/>
  <c r="BT79" i="2"/>
  <c r="BU79" i="2" s="1"/>
  <c r="BW86" i="2"/>
  <c r="BX86" i="2" s="1"/>
  <c r="BM86" i="2"/>
  <c r="BN86" i="2" s="1"/>
  <c r="BC86" i="2"/>
  <c r="BD86" i="2" s="1"/>
  <c r="AS86" i="2"/>
  <c r="AT86" i="2" s="1"/>
  <c r="AI86" i="2"/>
  <c r="AJ86" i="2" s="1"/>
  <c r="AX86" i="2"/>
  <c r="AY86" i="2" s="1"/>
  <c r="AI75" i="2"/>
  <c r="AJ75" i="2" s="1"/>
  <c r="BR76" i="2"/>
  <c r="BS76" i="2" s="1"/>
  <c r="AI77" i="2"/>
  <c r="AJ77" i="2" s="1"/>
  <c r="BR77" i="2"/>
  <c r="BS77" i="2" s="1"/>
  <c r="BH78" i="2"/>
  <c r="BI78" i="2" s="1"/>
  <c r="BH79" i="2"/>
  <c r="BI79" i="2" s="1"/>
  <c r="AS80" i="2"/>
  <c r="AT80" i="2" s="1"/>
  <c r="BW80" i="2"/>
  <c r="BX80" i="2" s="1"/>
  <c r="BW82" i="2"/>
  <c r="BX82" i="2" s="1"/>
  <c r="BM82" i="2"/>
  <c r="BN82" i="2" s="1"/>
  <c r="BC82" i="2"/>
  <c r="BD82" i="2" s="1"/>
  <c r="AS82" i="2"/>
  <c r="AT82" i="2" s="1"/>
  <c r="AI82" i="2"/>
  <c r="AJ82" i="2" s="1"/>
  <c r="AI84" i="2"/>
  <c r="AJ84" i="2" s="1"/>
  <c r="BC84" i="2"/>
  <c r="BD84" i="2" s="1"/>
  <c r="BW84" i="2"/>
  <c r="BX84" i="2" s="1"/>
  <c r="BR90" i="2"/>
  <c r="BS90" i="2" s="1"/>
  <c r="BH90" i="2"/>
  <c r="BI90" i="2" s="1"/>
  <c r="AX90" i="2"/>
  <c r="AY90" i="2" s="1"/>
  <c r="AN90" i="2"/>
  <c r="AO90" i="2" s="1"/>
  <c r="AD90" i="2"/>
  <c r="BC90" i="2"/>
  <c r="BD90" i="2" s="1"/>
  <c r="BW90" i="2"/>
  <c r="BX90" i="2" s="1"/>
  <c r="AI90" i="2"/>
  <c r="AJ90" i="2" s="1"/>
  <c r="AS90" i="2"/>
  <c r="AT90" i="2" s="1"/>
  <c r="BM90" i="2"/>
  <c r="BN90" i="2" s="1"/>
  <c r="BR75" i="2"/>
  <c r="BS75" i="2" s="1"/>
  <c r="BH76" i="2"/>
  <c r="BI76" i="2" s="1"/>
  <c r="BH77" i="2"/>
  <c r="BI77" i="2" s="1"/>
  <c r="AX78" i="2"/>
  <c r="AY78" i="2" s="1"/>
  <c r="AN85" i="2"/>
  <c r="AO85" i="2" s="1"/>
  <c r="BH85" i="2"/>
  <c r="BI85" i="2" s="1"/>
  <c r="AD86" i="2"/>
  <c r="BR89" i="2"/>
  <c r="BS89" i="2" s="1"/>
  <c r="BH75" i="2"/>
  <c r="BI75" i="2" s="1"/>
  <c r="AX76" i="2"/>
  <c r="AY76" i="2" s="1"/>
  <c r="AX77" i="2"/>
  <c r="AY77" i="2" s="1"/>
  <c r="AN78" i="2"/>
  <c r="AO78" i="2" s="1"/>
  <c r="AZ79" i="2"/>
  <c r="BA79" i="2" s="1"/>
  <c r="AI80" i="2"/>
  <c r="AJ80" i="2" s="1"/>
  <c r="BH86" i="2"/>
  <c r="BI86" i="2" s="1"/>
  <c r="AK91" i="2"/>
  <c r="AL91" i="2" s="1"/>
  <c r="AX75" i="2"/>
  <c r="AY75" i="2" s="1"/>
  <c r="AN76" i="2"/>
  <c r="AO76" i="2" s="1"/>
  <c r="BW76" i="2"/>
  <c r="BX76" i="2" s="1"/>
  <c r="AN77" i="2"/>
  <c r="AO77" i="2" s="1"/>
  <c r="AD78" i="2"/>
  <c r="BW78" i="2"/>
  <c r="BX78" i="2" s="1"/>
  <c r="CB79" i="2"/>
  <c r="AP79" i="2"/>
  <c r="AQ79" i="2" s="1"/>
  <c r="BM80" i="2"/>
  <c r="BN80" i="2" s="1"/>
  <c r="BW87" i="2"/>
  <c r="BX87" i="2" s="1"/>
  <c r="BM87" i="2"/>
  <c r="BN87" i="2" s="1"/>
  <c r="BC87" i="2"/>
  <c r="BD87" i="2" s="1"/>
  <c r="AS87" i="2"/>
  <c r="AT87" i="2" s="1"/>
  <c r="AI87" i="2"/>
  <c r="AJ87" i="2" s="1"/>
  <c r="AN75" i="2"/>
  <c r="AO75" i="2" s="1"/>
  <c r="BW75" i="2"/>
  <c r="BX75" i="2" s="1"/>
  <c r="AD76" i="2"/>
  <c r="AD77" i="2"/>
  <c r="AF79" i="2"/>
  <c r="CA79" i="2"/>
  <c r="AX82" i="2"/>
  <c r="AY82" i="2" s="1"/>
  <c r="AS84" i="2"/>
  <c r="AT84" i="2" s="1"/>
  <c r="BM84" i="2"/>
  <c r="BN84" i="2" s="1"/>
  <c r="AN86" i="2"/>
  <c r="AO86" i="2" s="1"/>
  <c r="BR91" i="2"/>
  <c r="BS91" i="2" s="1"/>
  <c r="BH91" i="2"/>
  <c r="BI91" i="2" s="1"/>
  <c r="AX91" i="2"/>
  <c r="AY91" i="2" s="1"/>
  <c r="AN91" i="2"/>
  <c r="AO91" i="2" s="1"/>
  <c r="AD91" i="2"/>
  <c r="BT104" i="2"/>
  <c r="BU104" i="2" s="1"/>
  <c r="BW91" i="2"/>
  <c r="BX91" i="2" s="1"/>
  <c r="BW93" i="2"/>
  <c r="BX93" i="2" s="1"/>
  <c r="BM93" i="2"/>
  <c r="BN93" i="2" s="1"/>
  <c r="BC93" i="2"/>
  <c r="BD93" i="2" s="1"/>
  <c r="AS93" i="2"/>
  <c r="AT93" i="2" s="1"/>
  <c r="AI93" i="2"/>
  <c r="AJ93" i="2" s="1"/>
  <c r="AN93" i="2"/>
  <c r="AO93" i="2" s="1"/>
  <c r="BP98" i="2"/>
  <c r="AZ100" i="2"/>
  <c r="BA100" i="2"/>
  <c r="AS91" i="2"/>
  <c r="AT91" i="2" s="1"/>
  <c r="AD98" i="2"/>
  <c r="AI98" i="2"/>
  <c r="AJ98" i="2" s="1"/>
  <c r="BH93" i="2"/>
  <c r="BI93" i="2" s="1"/>
  <c r="BW96" i="2"/>
  <c r="BX96" i="2" s="1"/>
  <c r="BM96" i="2"/>
  <c r="BN96" i="2" s="1"/>
  <c r="BC96" i="2"/>
  <c r="BD96" i="2" s="1"/>
  <c r="AS96" i="2"/>
  <c r="AT96" i="2" s="1"/>
  <c r="AI96" i="2"/>
  <c r="AJ96" i="2" s="1"/>
  <c r="BR96" i="2"/>
  <c r="BS96" i="2" s="1"/>
  <c r="BH96" i="2"/>
  <c r="BI96" i="2" s="1"/>
  <c r="AX96" i="2"/>
  <c r="AY96" i="2" s="1"/>
  <c r="AN96" i="2"/>
  <c r="AO96" i="2" s="1"/>
  <c r="AD96" i="2"/>
  <c r="AN98" i="2"/>
  <c r="AO98" i="2" s="1"/>
  <c r="BF102" i="2"/>
  <c r="BM91" i="2"/>
  <c r="BN91" i="2" s="1"/>
  <c r="AD93" i="2"/>
  <c r="BR95" i="2"/>
  <c r="BS95" i="2" s="1"/>
  <c r="BH95" i="2"/>
  <c r="BI95" i="2" s="1"/>
  <c r="AX95" i="2"/>
  <c r="AY95" i="2" s="1"/>
  <c r="AN95" i="2"/>
  <c r="AO95" i="2" s="1"/>
  <c r="AD95" i="2"/>
  <c r="BW95" i="2"/>
  <c r="BX95" i="2" s="1"/>
  <c r="BM95" i="2"/>
  <c r="BN95" i="2" s="1"/>
  <c r="BC95" i="2"/>
  <c r="BD95" i="2" s="1"/>
  <c r="AS95" i="2"/>
  <c r="AT95" i="2" s="1"/>
  <c r="AI95" i="2"/>
  <c r="AJ95" i="2" s="1"/>
  <c r="BR101" i="2"/>
  <c r="BS101" i="2" s="1"/>
  <c r="BH101" i="2"/>
  <c r="BI101" i="2" s="1"/>
  <c r="AX101" i="2"/>
  <c r="AY101" i="2" s="1"/>
  <c r="AN101" i="2"/>
  <c r="AO101" i="2" s="1"/>
  <c r="AD101" i="2"/>
  <c r="BW101" i="2"/>
  <c r="BX101" i="2" s="1"/>
  <c r="BM101" i="2"/>
  <c r="BN101" i="2" s="1"/>
  <c r="BC101" i="2"/>
  <c r="BD101" i="2" s="1"/>
  <c r="AS101" i="2"/>
  <c r="AT101" i="2" s="1"/>
  <c r="AI101" i="2"/>
  <c r="AJ101" i="2" s="1"/>
  <c r="BJ104" i="2"/>
  <c r="BK104" i="2"/>
  <c r="BW92" i="2"/>
  <c r="BX92" i="2" s="1"/>
  <c r="BM92" i="2"/>
  <c r="BN92" i="2" s="1"/>
  <c r="BC92" i="2"/>
  <c r="BD92" i="2" s="1"/>
  <c r="AS92" i="2"/>
  <c r="AT92" i="2" s="1"/>
  <c r="AI92" i="2"/>
  <c r="AJ92" i="2" s="1"/>
  <c r="BR92" i="2"/>
  <c r="BS92" i="2" s="1"/>
  <c r="BH92" i="2"/>
  <c r="BI92" i="2" s="1"/>
  <c r="AX92" i="2"/>
  <c r="AY92" i="2" s="1"/>
  <c r="AN92" i="2"/>
  <c r="AO92" i="2" s="1"/>
  <c r="AD92" i="2"/>
  <c r="BR94" i="2"/>
  <c r="BS94" i="2" s="1"/>
  <c r="BH94" i="2"/>
  <c r="BI94" i="2" s="1"/>
  <c r="AX94" i="2"/>
  <c r="AY94" i="2" s="1"/>
  <c r="AN94" i="2"/>
  <c r="AO94" i="2" s="1"/>
  <c r="AD94" i="2"/>
  <c r="BW94" i="2"/>
  <c r="BX94" i="2" s="1"/>
  <c r="BM94" i="2"/>
  <c r="BN94" i="2" s="1"/>
  <c r="BC94" i="2"/>
  <c r="BD94" i="2" s="1"/>
  <c r="AS94" i="2"/>
  <c r="AT94" i="2" s="1"/>
  <c r="AI94" i="2"/>
  <c r="AJ94" i="2" s="1"/>
  <c r="AE100" i="2"/>
  <c r="AN106" i="2"/>
  <c r="AO106" i="2" s="1"/>
  <c r="BH106" i="2"/>
  <c r="BI106" i="2" s="1"/>
  <c r="AX106" i="2"/>
  <c r="AY106" i="2" s="1"/>
  <c r="AS106" i="2"/>
  <c r="AT106" i="2" s="1"/>
  <c r="BR106" i="2"/>
  <c r="BS106" i="2" s="1"/>
  <c r="AD106" i="2"/>
  <c r="AD87" i="2"/>
  <c r="AN87" i="2"/>
  <c r="AO87" i="2" s="1"/>
  <c r="AX87" i="2"/>
  <c r="AY87" i="2" s="1"/>
  <c r="BH87" i="2"/>
  <c r="BI87" i="2" s="1"/>
  <c r="AX93" i="2"/>
  <c r="AY93" i="2" s="1"/>
  <c r="BA98" i="2"/>
  <c r="BR100" i="2"/>
  <c r="BS100" i="2" s="1"/>
  <c r="BH100" i="2"/>
  <c r="BI100" i="2" s="1"/>
  <c r="BZ102" i="2"/>
  <c r="BW89" i="2"/>
  <c r="BX89" i="2" s="1"/>
  <c r="BM89" i="2"/>
  <c r="BN89" i="2" s="1"/>
  <c r="BC89" i="2"/>
  <c r="BD89" i="2" s="1"/>
  <c r="BH89" i="2"/>
  <c r="BI89" i="2" s="1"/>
  <c r="BC91" i="2"/>
  <c r="BD91" i="2" s="1"/>
  <c r="AK102" i="2"/>
  <c r="AL102" i="2"/>
  <c r="BW113" i="2"/>
  <c r="BX113" i="2" s="1"/>
  <c r="BM113" i="2"/>
  <c r="BN113" i="2" s="1"/>
  <c r="BC113" i="2"/>
  <c r="BD113" i="2" s="1"/>
  <c r="AS113" i="2"/>
  <c r="AT113" i="2" s="1"/>
  <c r="AI113" i="2"/>
  <c r="AJ113" i="2" s="1"/>
  <c r="BR113" i="2"/>
  <c r="BS113" i="2" s="1"/>
  <c r="BH113" i="2"/>
  <c r="BI113" i="2" s="1"/>
  <c r="AX113" i="2"/>
  <c r="AY113" i="2" s="1"/>
  <c r="AN113" i="2"/>
  <c r="AO113" i="2" s="1"/>
  <c r="AD113" i="2"/>
  <c r="BO116" i="2"/>
  <c r="BP116" i="2" s="1"/>
  <c r="AD97" i="2"/>
  <c r="AN97" i="2"/>
  <c r="AO97" i="2" s="1"/>
  <c r="BR102" i="2"/>
  <c r="BS102" i="2" s="1"/>
  <c r="BH102" i="2"/>
  <c r="BI102" i="2" s="1"/>
  <c r="AX102" i="2"/>
  <c r="AY102" i="2" s="1"/>
  <c r="AN102" i="2"/>
  <c r="AO102" i="2" s="1"/>
  <c r="AD102" i="2"/>
  <c r="BW104" i="2"/>
  <c r="BX104" i="2" s="1"/>
  <c r="BM104" i="2"/>
  <c r="BN104" i="2" s="1"/>
  <c r="BC104" i="2"/>
  <c r="BD104" i="2" s="1"/>
  <c r="AS104" i="2"/>
  <c r="AT104" i="2" s="1"/>
  <c r="AI104" i="2"/>
  <c r="AJ104" i="2" s="1"/>
  <c r="AN104" i="2"/>
  <c r="AO104" i="2" s="1"/>
  <c r="AK108" i="2"/>
  <c r="AL108" i="2" s="1"/>
  <c r="AE115" i="2"/>
  <c r="CA115" i="2"/>
  <c r="BU115" i="2"/>
  <c r="BT115" i="2"/>
  <c r="AZ119" i="2"/>
  <c r="BA119" i="2" s="1"/>
  <c r="BR98" i="2"/>
  <c r="BS98" i="2" s="1"/>
  <c r="BH98" i="2"/>
  <c r="BI98" i="2" s="1"/>
  <c r="BW99" i="2"/>
  <c r="BX99" i="2" s="1"/>
  <c r="BM99" i="2"/>
  <c r="BN99" i="2" s="1"/>
  <c r="BC99" i="2"/>
  <c r="BD99" i="2" s="1"/>
  <c r="AS99" i="2"/>
  <c r="AT99" i="2" s="1"/>
  <c r="AI99" i="2"/>
  <c r="AJ99" i="2" s="1"/>
  <c r="BR99" i="2"/>
  <c r="BS99" i="2" s="1"/>
  <c r="BH99" i="2"/>
  <c r="BI99" i="2" s="1"/>
  <c r="AX99" i="2"/>
  <c r="AY99" i="2" s="1"/>
  <c r="AN99" i="2"/>
  <c r="AO99" i="2" s="1"/>
  <c r="AD99" i="2"/>
  <c r="AS102" i="2"/>
  <c r="AT102" i="2" s="1"/>
  <c r="BR107" i="2"/>
  <c r="BS107" i="2" s="1"/>
  <c r="BH107" i="2"/>
  <c r="BI107" i="2" s="1"/>
  <c r="AX107" i="2"/>
  <c r="AY107" i="2" s="1"/>
  <c r="AN107" i="2"/>
  <c r="AO107" i="2" s="1"/>
  <c r="AD107" i="2"/>
  <c r="BW107" i="2"/>
  <c r="BX107" i="2" s="1"/>
  <c r="BM107" i="2"/>
  <c r="BN107" i="2" s="1"/>
  <c r="BC107" i="2"/>
  <c r="BD107" i="2" s="1"/>
  <c r="AS107" i="2"/>
  <c r="AT107" i="2" s="1"/>
  <c r="AI107" i="2"/>
  <c r="AJ107" i="2" s="1"/>
  <c r="BT105" i="2"/>
  <c r="BU105" i="2" s="1"/>
  <c r="AZ108" i="2"/>
  <c r="BA108" i="2" s="1"/>
  <c r="AK114" i="2"/>
  <c r="AL114" i="2" s="1"/>
  <c r="BY114" i="2"/>
  <c r="BZ114" i="2" s="1"/>
  <c r="BE118" i="2"/>
  <c r="BF118" i="2" s="1"/>
  <c r="AI97" i="2"/>
  <c r="AJ97" i="2" s="1"/>
  <c r="BC98" i="2"/>
  <c r="BD98" i="2" s="1"/>
  <c r="BM102" i="2"/>
  <c r="BN102" i="2" s="1"/>
  <c r="AD104" i="2"/>
  <c r="BW105" i="2"/>
  <c r="BX105" i="2" s="1"/>
  <c r="BM105" i="2"/>
  <c r="BN105" i="2" s="1"/>
  <c r="BC105" i="2"/>
  <c r="BD105" i="2" s="1"/>
  <c r="AS105" i="2"/>
  <c r="AT105" i="2" s="1"/>
  <c r="AN105" i="2"/>
  <c r="AO105" i="2" s="1"/>
  <c r="AD105" i="2"/>
  <c r="AX105" i="2"/>
  <c r="AY105" i="2" s="1"/>
  <c r="BH105" i="2"/>
  <c r="BI105" i="2" s="1"/>
  <c r="AI105" i="2"/>
  <c r="AJ105" i="2" s="1"/>
  <c r="BC106" i="2"/>
  <c r="BD106" i="2" s="1"/>
  <c r="BE108" i="2"/>
  <c r="BF108" i="2" s="1"/>
  <c r="BR97" i="2"/>
  <c r="BS97" i="2" s="1"/>
  <c r="BH97" i="2"/>
  <c r="BI97" i="2" s="1"/>
  <c r="AX97" i="2"/>
  <c r="AY97" i="2" s="1"/>
  <c r="BW97" i="2"/>
  <c r="BX97" i="2" s="1"/>
  <c r="BM97" i="2"/>
  <c r="BN97" i="2" s="1"/>
  <c r="BC97" i="2"/>
  <c r="BD97" i="2" s="1"/>
  <c r="AS97" i="2"/>
  <c r="AT97" i="2" s="1"/>
  <c r="BW103" i="2"/>
  <c r="BX103" i="2" s="1"/>
  <c r="BM103" i="2"/>
  <c r="BN103" i="2" s="1"/>
  <c r="BC103" i="2"/>
  <c r="BD103" i="2" s="1"/>
  <c r="AS103" i="2"/>
  <c r="AT103" i="2" s="1"/>
  <c r="AI103" i="2"/>
  <c r="AJ103" i="2" s="1"/>
  <c r="BR103" i="2"/>
  <c r="BS103" i="2" s="1"/>
  <c r="BH103" i="2"/>
  <c r="BI103" i="2" s="1"/>
  <c r="AX103" i="2"/>
  <c r="AY103" i="2" s="1"/>
  <c r="AN103" i="2"/>
  <c r="AO103" i="2" s="1"/>
  <c r="AD103" i="2"/>
  <c r="BK117" i="2"/>
  <c r="BJ117" i="2"/>
  <c r="AS98" i="2"/>
  <c r="AT98" i="2" s="1"/>
  <c r="BW98" i="2"/>
  <c r="BX98" i="2" s="1"/>
  <c r="BW100" i="2"/>
  <c r="BX100" i="2" s="1"/>
  <c r="BM100" i="2"/>
  <c r="BN100" i="2" s="1"/>
  <c r="BC100" i="2"/>
  <c r="BD100" i="2" s="1"/>
  <c r="AS100" i="2"/>
  <c r="AT100" i="2" s="1"/>
  <c r="AI100" i="2"/>
  <c r="AJ100" i="2" s="1"/>
  <c r="AN100" i="2"/>
  <c r="AO100" i="2" s="1"/>
  <c r="AX104" i="2"/>
  <c r="AY104" i="2" s="1"/>
  <c r="BW108" i="2"/>
  <c r="BX108" i="2" s="1"/>
  <c r="AG114" i="2"/>
  <c r="CB114" i="2"/>
  <c r="AF114" i="2"/>
  <c r="BU114" i="2"/>
  <c r="BT114" i="2"/>
  <c r="BO115" i="2"/>
  <c r="BP115" i="2" s="1"/>
  <c r="BJ116" i="2"/>
  <c r="BK116" i="2" s="1"/>
  <c r="BF117" i="2"/>
  <c r="BE117" i="2"/>
  <c r="AZ118" i="2"/>
  <c r="BA118" i="2" s="1"/>
  <c r="AU119" i="2"/>
  <c r="AV119" i="2" s="1"/>
  <c r="AP120" i="2"/>
  <c r="AQ120" i="2" s="1"/>
  <c r="BP121" i="2"/>
  <c r="BO121" i="2"/>
  <c r="AZ121" i="2"/>
  <c r="BA121" i="2" s="1"/>
  <c r="BO122" i="2"/>
  <c r="BP122" i="2" s="1"/>
  <c r="BA124" i="2"/>
  <c r="AZ124" i="2"/>
  <c r="BZ120" i="2"/>
  <c r="BY120" i="2"/>
  <c r="AU120" i="2"/>
  <c r="AV120" i="2" s="1"/>
  <c r="BF121" i="2"/>
  <c r="BE121" i="2"/>
  <c r="BU122" i="2"/>
  <c r="BT122" i="2"/>
  <c r="AF123" i="2"/>
  <c r="AG123" i="2" s="1"/>
  <c r="BK124" i="2"/>
  <c r="BJ124" i="2"/>
  <c r="BP124" i="2"/>
  <c r="BO124" i="2"/>
  <c r="AQ125" i="2"/>
  <c r="AP125" i="2"/>
  <c r="BM108" i="2"/>
  <c r="BN108" i="2" s="1"/>
  <c r="BW112" i="2"/>
  <c r="BX112" i="2" s="1"/>
  <c r="BM112" i="2"/>
  <c r="BN112" i="2" s="1"/>
  <c r="BC112" i="2"/>
  <c r="BD112" i="2" s="1"/>
  <c r="AS112" i="2"/>
  <c r="AT112" i="2" s="1"/>
  <c r="AI112" i="2"/>
  <c r="AJ112" i="2" s="1"/>
  <c r="BR112" i="2"/>
  <c r="BS112" i="2" s="1"/>
  <c r="BH112" i="2"/>
  <c r="BI112" i="2" s="1"/>
  <c r="AX112" i="2"/>
  <c r="AY112" i="2" s="1"/>
  <c r="AN112" i="2"/>
  <c r="AO112" i="2" s="1"/>
  <c r="AD112" i="2"/>
  <c r="AQ114" i="2"/>
  <c r="AP114" i="2"/>
  <c r="CA114" i="2"/>
  <c r="AK115" i="2"/>
  <c r="AL115" i="2" s="1"/>
  <c r="BY115" i="2"/>
  <c r="BZ115" i="2" s="1"/>
  <c r="CB116" i="2"/>
  <c r="AG116" i="2"/>
  <c r="AF116" i="2"/>
  <c r="BU116" i="2"/>
  <c r="BT116" i="2"/>
  <c r="BP117" i="2"/>
  <c r="BO117" i="2"/>
  <c r="BJ118" i="2"/>
  <c r="BK118" i="2" s="1"/>
  <c r="BF119" i="2"/>
  <c r="BE119" i="2"/>
  <c r="AZ120" i="2"/>
  <c r="BA120" i="2" s="1"/>
  <c r="BJ121" i="2"/>
  <c r="BK121" i="2" s="1"/>
  <c r="AK123" i="2"/>
  <c r="AL123" i="2" s="1"/>
  <c r="BU124" i="2"/>
  <c r="BT124" i="2"/>
  <c r="AZ125" i="2"/>
  <c r="BA125" i="2" s="1"/>
  <c r="AI106" i="2"/>
  <c r="AJ106" i="2" s="1"/>
  <c r="BW106" i="2"/>
  <c r="BX106" i="2" s="1"/>
  <c r="AN108" i="2"/>
  <c r="AO108" i="2" s="1"/>
  <c r="BR111" i="2"/>
  <c r="BS111" i="2" s="1"/>
  <c r="BH111" i="2"/>
  <c r="BI111" i="2" s="1"/>
  <c r="AX111" i="2"/>
  <c r="AY111" i="2" s="1"/>
  <c r="AN111" i="2"/>
  <c r="AO111" i="2" s="1"/>
  <c r="AD111" i="2"/>
  <c r="BW111" i="2"/>
  <c r="BX111" i="2" s="1"/>
  <c r="BM111" i="2"/>
  <c r="BN111" i="2" s="1"/>
  <c r="BC111" i="2"/>
  <c r="BD111" i="2" s="1"/>
  <c r="AS111" i="2"/>
  <c r="AT111" i="2" s="1"/>
  <c r="AI111" i="2"/>
  <c r="AJ111" i="2" s="1"/>
  <c r="AV114" i="2"/>
  <c r="AU114" i="2"/>
  <c r="AQ115" i="2"/>
  <c r="AP115" i="2"/>
  <c r="AL116" i="2"/>
  <c r="AK116" i="2"/>
  <c r="BZ116" i="2"/>
  <c r="BY116" i="2"/>
  <c r="CB117" i="2"/>
  <c r="AF117" i="2"/>
  <c r="BT117" i="2"/>
  <c r="BU117" i="2" s="1"/>
  <c r="BP118" i="2"/>
  <c r="BO118" i="2"/>
  <c r="BJ119" i="2"/>
  <c r="BK119" i="2" s="1"/>
  <c r="BK120" i="2"/>
  <c r="BJ120" i="2"/>
  <c r="BU121" i="2"/>
  <c r="BT121" i="2"/>
  <c r="AF122" i="2"/>
  <c r="AG122" i="2" s="1"/>
  <c r="AP123" i="2"/>
  <c r="AQ123" i="2" s="1"/>
  <c r="BR110" i="2"/>
  <c r="BS110" i="2" s="1"/>
  <c r="BH110" i="2"/>
  <c r="BI110" i="2" s="1"/>
  <c r="AX110" i="2"/>
  <c r="AY110" i="2" s="1"/>
  <c r="AN110" i="2"/>
  <c r="AO110" i="2" s="1"/>
  <c r="AD110" i="2"/>
  <c r="BW110" i="2"/>
  <c r="BX110" i="2" s="1"/>
  <c r="BM110" i="2"/>
  <c r="BN110" i="2" s="1"/>
  <c r="BC110" i="2"/>
  <c r="BD110" i="2" s="1"/>
  <c r="AS110" i="2"/>
  <c r="AT110" i="2" s="1"/>
  <c r="AI110" i="2"/>
  <c r="AJ110" i="2" s="1"/>
  <c r="BA114" i="2"/>
  <c r="AZ114" i="2"/>
  <c r="AU115" i="2"/>
  <c r="AV115" i="2" s="1"/>
  <c r="AQ116" i="2"/>
  <c r="AP116" i="2"/>
  <c r="CA116" i="2"/>
  <c r="AL117" i="2"/>
  <c r="AK117" i="2"/>
  <c r="BY117" i="2"/>
  <c r="BZ117" i="2" s="1"/>
  <c r="CB118" i="2"/>
  <c r="AF118" i="2"/>
  <c r="BU118" i="2"/>
  <c r="BT118" i="2"/>
  <c r="BP119" i="2"/>
  <c r="BO119" i="2"/>
  <c r="BO120" i="2"/>
  <c r="BP120" i="2" s="1"/>
  <c r="BY121" i="2"/>
  <c r="BZ121" i="2" s="1"/>
  <c r="AQ122" i="2"/>
  <c r="AP122" i="2"/>
  <c r="BT123" i="2"/>
  <c r="BU123" i="2" s="1"/>
  <c r="AZ123" i="2"/>
  <c r="BA123" i="2" s="1"/>
  <c r="BU125" i="2"/>
  <c r="BT125" i="2"/>
  <c r="BM106" i="2"/>
  <c r="BN106" i="2" s="1"/>
  <c r="AD108" i="2"/>
  <c r="BR108" i="2"/>
  <c r="BS108" i="2" s="1"/>
  <c r="BW109" i="2"/>
  <c r="BX109" i="2" s="1"/>
  <c r="BM109" i="2"/>
  <c r="BN109" i="2" s="1"/>
  <c r="BC109" i="2"/>
  <c r="BD109" i="2" s="1"/>
  <c r="AS109" i="2"/>
  <c r="AT109" i="2" s="1"/>
  <c r="AI109" i="2"/>
  <c r="AJ109" i="2" s="1"/>
  <c r="BR109" i="2"/>
  <c r="BS109" i="2" s="1"/>
  <c r="BH109" i="2"/>
  <c r="BI109" i="2" s="1"/>
  <c r="AX109" i="2"/>
  <c r="AY109" i="2" s="1"/>
  <c r="AN109" i="2"/>
  <c r="AO109" i="2" s="1"/>
  <c r="AD109" i="2"/>
  <c r="BF114" i="2"/>
  <c r="BE114" i="2"/>
  <c r="AZ115" i="2"/>
  <c r="BA115" i="2" s="1"/>
  <c r="AU116" i="2"/>
  <c r="AV116" i="2" s="1"/>
  <c r="AP117" i="2"/>
  <c r="AQ117" i="2" s="1"/>
  <c r="CA117" i="2"/>
  <c r="AL118" i="2"/>
  <c r="AK118" i="2"/>
  <c r="BY118" i="2"/>
  <c r="BZ118" i="2" s="1"/>
  <c r="CB119" i="2"/>
  <c r="AF119" i="2"/>
  <c r="CC119" i="2" s="1"/>
  <c r="CF119" i="2" s="1"/>
  <c r="BU119" i="2"/>
  <c r="BT119" i="2"/>
  <c r="BT120" i="2"/>
  <c r="BU120" i="2" s="1"/>
  <c r="CB121" i="2"/>
  <c r="AF121" i="2"/>
  <c r="CA121" i="2"/>
  <c r="AV122" i="2"/>
  <c r="AU122" i="2"/>
  <c r="BE123" i="2"/>
  <c r="BF123" i="2" s="1"/>
  <c r="AS108" i="2"/>
  <c r="AT108" i="2" s="1"/>
  <c r="BK114" i="2"/>
  <c r="BJ114" i="2"/>
  <c r="BF115" i="2"/>
  <c r="BE115" i="2"/>
  <c r="AZ116" i="2"/>
  <c r="BA116" i="2" s="1"/>
  <c r="AU117" i="2"/>
  <c r="AV117" i="2" s="1"/>
  <c r="AQ118" i="2"/>
  <c r="AP118" i="2"/>
  <c r="CA118" i="2"/>
  <c r="AK119" i="2"/>
  <c r="AL119" i="2" s="1"/>
  <c r="BY119" i="2"/>
  <c r="BZ119" i="2" s="1"/>
  <c r="CB120" i="2"/>
  <c r="AG120" i="2"/>
  <c r="AF120" i="2"/>
  <c r="AK121" i="2"/>
  <c r="AL121" i="2" s="1"/>
  <c r="BY122" i="2"/>
  <c r="BZ122" i="2" s="1"/>
  <c r="AZ122" i="2"/>
  <c r="BA122" i="2" s="1"/>
  <c r="BK123" i="2"/>
  <c r="BJ123" i="2"/>
  <c r="AE124" i="2"/>
  <c r="BH108" i="2"/>
  <c r="BI108" i="2" s="1"/>
  <c r="BO114" i="2"/>
  <c r="BP114" i="2" s="1"/>
  <c r="BK115" i="2"/>
  <c r="BJ115" i="2"/>
  <c r="BE116" i="2"/>
  <c r="BF116" i="2" s="1"/>
  <c r="AZ117" i="2"/>
  <c r="BA117" i="2" s="1"/>
  <c r="AU118" i="2"/>
  <c r="AV118" i="2" s="1"/>
  <c r="AQ119" i="2"/>
  <c r="AP119" i="2"/>
  <c r="CA119" i="2"/>
  <c r="AK120" i="2"/>
  <c r="AL120" i="2" s="1"/>
  <c r="AP121" i="2"/>
  <c r="AQ121" i="2" s="1"/>
  <c r="BK122" i="2"/>
  <c r="BJ122" i="2"/>
  <c r="BZ123" i="2"/>
  <c r="BY123" i="2"/>
  <c r="AU124" i="2"/>
  <c r="AV124" i="2" s="1"/>
  <c r="AI125" i="2"/>
  <c r="AJ125" i="2" s="1"/>
  <c r="BW125" i="2"/>
  <c r="BX125" i="2" s="1"/>
  <c r="AS125" i="2"/>
  <c r="AT125" i="2" s="1"/>
  <c r="BC125" i="2"/>
  <c r="BD125" i="2" s="1"/>
  <c r="BC120" i="2"/>
  <c r="BD120" i="2" s="1"/>
  <c r="AS121" i="2"/>
  <c r="AT121" i="2" s="1"/>
  <c r="AI122" i="2"/>
  <c r="BC122" i="2"/>
  <c r="BD122" i="2" s="1"/>
  <c r="AS123" i="2"/>
  <c r="AT123" i="2" s="1"/>
  <c r="BM123" i="2"/>
  <c r="BN123" i="2" s="1"/>
  <c r="AI124" i="2"/>
  <c r="AJ124" i="2" s="1"/>
  <c r="BC124" i="2"/>
  <c r="BD124" i="2" s="1"/>
  <c r="BW124" i="2"/>
  <c r="BX124" i="2" s="1"/>
  <c r="BH125" i="2"/>
  <c r="BI125" i="2" s="1"/>
  <c r="BM125" i="2"/>
  <c r="BN125" i="2" s="1"/>
  <c r="AN124" i="2"/>
  <c r="AO124" i="2" s="1"/>
  <c r="AD125" i="2"/>
  <c r="AD126" i="2"/>
  <c r="AN126" i="2"/>
  <c r="AO126" i="2" s="1"/>
  <c r="AX126" i="2"/>
  <c r="AY126" i="2" s="1"/>
  <c r="BH126" i="2"/>
  <c r="BI126" i="2" s="1"/>
  <c r="BR126" i="2"/>
  <c r="BS126" i="2" s="1"/>
  <c r="AI126" i="2"/>
  <c r="AJ126" i="2" s="1"/>
  <c r="AS126" i="2"/>
  <c r="AT126" i="2" s="1"/>
  <c r="BC126" i="2"/>
  <c r="BD126" i="2" s="1"/>
  <c r="BM126" i="2"/>
  <c r="BN126" i="2" s="1"/>
  <c r="BW126" i="2"/>
  <c r="BX126" i="2" s="1"/>
  <c r="H26" i="3" l="1"/>
  <c r="H39" i="3"/>
  <c r="H35" i="3"/>
  <c r="J34" i="3"/>
  <c r="J26" i="3"/>
  <c r="J33" i="3"/>
  <c r="J25" i="3"/>
  <c r="J32" i="3"/>
  <c r="J35" i="3"/>
  <c r="J31" i="3"/>
  <c r="J28" i="3"/>
  <c r="J30" i="3"/>
  <c r="J27" i="3"/>
  <c r="J29" i="3"/>
  <c r="CE12" i="1"/>
  <c r="CE45" i="1"/>
  <c r="CE17" i="2"/>
  <c r="AL126" i="2"/>
  <c r="AK126" i="2"/>
  <c r="BT126" i="2"/>
  <c r="BU126" i="2" s="1"/>
  <c r="BE122" i="2"/>
  <c r="BF122" i="2" s="1"/>
  <c r="CE121" i="2"/>
  <c r="AG119" i="2"/>
  <c r="AJ122" i="2"/>
  <c r="CA122" i="2"/>
  <c r="BY126" i="2"/>
  <c r="BZ126" i="2" s="1"/>
  <c r="BZ124" i="2"/>
  <c r="BY124" i="2"/>
  <c r="BJ109" i="2"/>
  <c r="BK109" i="2"/>
  <c r="BP126" i="2"/>
  <c r="BO126" i="2"/>
  <c r="AE126" i="2"/>
  <c r="CA126" i="2"/>
  <c r="BF124" i="2"/>
  <c r="BE124" i="2"/>
  <c r="CB124" i="2"/>
  <c r="AG124" i="2"/>
  <c r="AF124" i="2"/>
  <c r="BT109" i="2"/>
  <c r="BU109" i="2"/>
  <c r="AE108" i="2"/>
  <c r="CA108" i="2"/>
  <c r="CA110" i="2"/>
  <c r="AE110" i="2"/>
  <c r="AP111" i="2"/>
  <c r="AQ111" i="2" s="1"/>
  <c r="BT112" i="2"/>
  <c r="BU112" i="2"/>
  <c r="AP100" i="2"/>
  <c r="AQ100" i="2" s="1"/>
  <c r="AU98" i="2"/>
  <c r="AV98" i="2"/>
  <c r="BJ103" i="2"/>
  <c r="BK103" i="2" s="1"/>
  <c r="AU97" i="2"/>
  <c r="AV97" i="2" s="1"/>
  <c r="BP107" i="2"/>
  <c r="BO107" i="2"/>
  <c r="AU102" i="2"/>
  <c r="AV102" i="2" s="1"/>
  <c r="BE99" i="2"/>
  <c r="BF99" i="2" s="1"/>
  <c r="AU104" i="2"/>
  <c r="AV104" i="2"/>
  <c r="AZ102" i="2"/>
  <c r="BA102" i="2" s="1"/>
  <c r="CA113" i="2"/>
  <c r="AE113" i="2"/>
  <c r="BO113" i="2"/>
  <c r="BP113" i="2" s="1"/>
  <c r="BT100" i="2"/>
  <c r="BU100" i="2"/>
  <c r="AE87" i="2"/>
  <c r="CA87" i="2"/>
  <c r="CA100" i="2"/>
  <c r="AP94" i="2"/>
  <c r="AQ94" i="2"/>
  <c r="BT92" i="2"/>
  <c r="BU92" i="2" s="1"/>
  <c r="CA101" i="2"/>
  <c r="AE101" i="2"/>
  <c r="BO95" i="2"/>
  <c r="BP95" i="2" s="1"/>
  <c r="CA93" i="2"/>
  <c r="AE93" i="2"/>
  <c r="BJ96" i="2"/>
  <c r="BK96" i="2" s="1"/>
  <c r="BJ93" i="2"/>
  <c r="BK93" i="2"/>
  <c r="BY91" i="2"/>
  <c r="BZ91" i="2" s="1"/>
  <c r="AP86" i="2"/>
  <c r="AQ86" i="2" s="1"/>
  <c r="CA77" i="2"/>
  <c r="AE77" i="2"/>
  <c r="BO87" i="2"/>
  <c r="BP87" i="2"/>
  <c r="AP77" i="2"/>
  <c r="AQ77" i="2" s="1"/>
  <c r="BJ77" i="2"/>
  <c r="BK77" i="2" s="1"/>
  <c r="AK90" i="2"/>
  <c r="AL90" i="2" s="1"/>
  <c r="BY84" i="2"/>
  <c r="BZ84" i="2" s="1"/>
  <c r="BU76" i="2"/>
  <c r="BT76" i="2"/>
  <c r="AZ89" i="2"/>
  <c r="BA89" i="2" s="1"/>
  <c r="CA84" i="2"/>
  <c r="AE84" i="2"/>
  <c r="AZ80" i="2"/>
  <c r="BA80" i="2" s="1"/>
  <c r="AL67" i="2"/>
  <c r="AK67" i="2"/>
  <c r="AZ67" i="2"/>
  <c r="BA67" i="2" s="1"/>
  <c r="BO58" i="2"/>
  <c r="BP58" i="2" s="1"/>
  <c r="AU54" i="2"/>
  <c r="AV54" i="2" s="1"/>
  <c r="BF73" i="2"/>
  <c r="BE73" i="2"/>
  <c r="BO71" i="2"/>
  <c r="BP71" i="2" s="1"/>
  <c r="AU68" i="2"/>
  <c r="AV68" i="2" s="1"/>
  <c r="AZ81" i="2"/>
  <c r="BA81" i="2"/>
  <c r="BA69" i="2"/>
  <c r="AZ69" i="2"/>
  <c r="BJ82" i="2"/>
  <c r="BK82" i="2" s="1"/>
  <c r="BE68" i="2"/>
  <c r="BF68" i="2" s="1"/>
  <c r="BT72" i="2"/>
  <c r="BU72" i="2"/>
  <c r="CA52" i="2"/>
  <c r="AE52" i="2"/>
  <c r="BJ64" i="2"/>
  <c r="BK64" i="2"/>
  <c r="BJ59" i="2"/>
  <c r="BK59" i="2" s="1"/>
  <c r="BO50" i="2"/>
  <c r="BP50" i="2" s="1"/>
  <c r="BJ70" i="2"/>
  <c r="BK70" i="2" s="1"/>
  <c r="AP55" i="2"/>
  <c r="AQ55" i="2"/>
  <c r="AP65" i="2"/>
  <c r="AQ65" i="2" s="1"/>
  <c r="BY65" i="2"/>
  <c r="BZ65" i="2"/>
  <c r="CA58" i="2"/>
  <c r="AE58" i="2"/>
  <c r="BO56" i="2"/>
  <c r="BP56" i="2" s="1"/>
  <c r="BO51" i="2"/>
  <c r="BP51" i="2" s="1"/>
  <c r="BY51" i="2"/>
  <c r="BZ51" i="2"/>
  <c r="AZ44" i="2"/>
  <c r="BA44" i="2" s="1"/>
  <c r="BO41" i="2"/>
  <c r="BP41" i="2"/>
  <c r="BK45" i="2"/>
  <c r="BJ45" i="2"/>
  <c r="AK41" i="2"/>
  <c r="AL41" i="2" s="1"/>
  <c r="AG48" i="2"/>
  <c r="CB48" i="2"/>
  <c r="AF48" i="2"/>
  <c r="BA46" i="2"/>
  <c r="AZ46" i="2"/>
  <c r="AU53" i="2"/>
  <c r="AV53" i="2" s="1"/>
  <c r="AK52" i="2"/>
  <c r="AL52" i="2" s="1"/>
  <c r="BE34" i="2"/>
  <c r="BF34" i="2" s="1"/>
  <c r="BZ25" i="2"/>
  <c r="BY25" i="2"/>
  <c r="BJ31" i="2"/>
  <c r="BK31" i="2"/>
  <c r="AL30" i="2"/>
  <c r="AK30" i="2"/>
  <c r="BA29" i="2"/>
  <c r="AZ29" i="2"/>
  <c r="BZ27" i="2"/>
  <c r="BY27" i="2"/>
  <c r="AP39" i="2"/>
  <c r="AQ39" i="2"/>
  <c r="BU39" i="2"/>
  <c r="BT39" i="2"/>
  <c r="AU25" i="2"/>
  <c r="AV25" i="2" s="1"/>
  <c r="AU18" i="2"/>
  <c r="AV18" i="2" s="1"/>
  <c r="BT38" i="2"/>
  <c r="BU38" i="2"/>
  <c r="AK37" i="2"/>
  <c r="AL37" i="2" s="1"/>
  <c r="BA37" i="2"/>
  <c r="AZ37" i="2"/>
  <c r="AZ35" i="2"/>
  <c r="BA35" i="2" s="1"/>
  <c r="BE47" i="2"/>
  <c r="BF47" i="2" s="1"/>
  <c r="BF25" i="2"/>
  <c r="BE25" i="2"/>
  <c r="CA33" i="2"/>
  <c r="AE33" i="2"/>
  <c r="BO32" i="2"/>
  <c r="BP32" i="2" s="1"/>
  <c r="AZ25" i="2"/>
  <c r="BA25" i="2" s="1"/>
  <c r="BJ26" i="2"/>
  <c r="BK26" i="2" s="1"/>
  <c r="BK14" i="2"/>
  <c r="BJ14" i="2"/>
  <c r="CA10" i="2"/>
  <c r="AE10" i="2"/>
  <c r="AU26" i="2"/>
  <c r="AV26" i="2" s="1"/>
  <c r="AE24" i="2"/>
  <c r="CA24" i="2"/>
  <c r="BE6" i="2"/>
  <c r="BF6" i="2" s="1"/>
  <c r="BK51" i="1"/>
  <c r="BJ51" i="1"/>
  <c r="AK49" i="1"/>
  <c r="AL49" i="1"/>
  <c r="CA23" i="2"/>
  <c r="AE23" i="2"/>
  <c r="AU17" i="2"/>
  <c r="AV17" i="2" s="1"/>
  <c r="AZ20" i="2"/>
  <c r="BA20" i="2" s="1"/>
  <c r="AU12" i="2"/>
  <c r="AV12" i="2" s="1"/>
  <c r="BJ12" i="2"/>
  <c r="BK12" i="2" s="1"/>
  <c r="CA8" i="2"/>
  <c r="AE8" i="2"/>
  <c r="BF4" i="2"/>
  <c r="BE4" i="2"/>
  <c r="CA4" i="2"/>
  <c r="AE4" i="2"/>
  <c r="BZ19" i="2"/>
  <c r="BY19" i="2"/>
  <c r="AV2" i="2"/>
  <c r="AU2" i="2"/>
  <c r="BF22" i="2"/>
  <c r="BE22" i="2"/>
  <c r="AZ15" i="2"/>
  <c r="BA15" i="2"/>
  <c r="BY9" i="2"/>
  <c r="BZ9" i="2" s="1"/>
  <c r="AL47" i="1"/>
  <c r="AK47" i="1"/>
  <c r="AE41" i="1"/>
  <c r="CA41" i="1"/>
  <c r="AE6" i="2"/>
  <c r="CA6" i="2"/>
  <c r="AE48" i="1"/>
  <c r="CA48" i="1"/>
  <c r="AQ39" i="1"/>
  <c r="AP39" i="1"/>
  <c r="BK33" i="1"/>
  <c r="BJ33" i="1"/>
  <c r="AZ50" i="1"/>
  <c r="BA50" i="1" s="1"/>
  <c r="BA49" i="1"/>
  <c r="AZ49" i="1"/>
  <c r="BJ9" i="2"/>
  <c r="BK9" i="2" s="1"/>
  <c r="BK46" i="1"/>
  <c r="BJ46" i="1"/>
  <c r="BT44" i="1"/>
  <c r="BU44" i="1"/>
  <c r="AV39" i="1"/>
  <c r="AU39" i="1"/>
  <c r="BU40" i="1"/>
  <c r="BT40" i="1"/>
  <c r="BJ47" i="1"/>
  <c r="BK47" i="1" s="1"/>
  <c r="AU42" i="1"/>
  <c r="AV42" i="1"/>
  <c r="CA39" i="1"/>
  <c r="AE39" i="1"/>
  <c r="BK32" i="1"/>
  <c r="BJ32" i="1"/>
  <c r="AE28" i="1"/>
  <c r="CA28" i="1"/>
  <c r="BE35" i="1"/>
  <c r="BF35" i="1" s="1"/>
  <c r="BF27" i="1"/>
  <c r="BE27" i="1"/>
  <c r="AL16" i="1"/>
  <c r="AK16" i="1"/>
  <c r="AQ14" i="1"/>
  <c r="AP14" i="1"/>
  <c r="BY4" i="1"/>
  <c r="BZ4" i="1" s="1"/>
  <c r="AP2" i="1"/>
  <c r="AQ2" i="1" s="1"/>
  <c r="AL38" i="1"/>
  <c r="AK38" i="1"/>
  <c r="BZ29" i="1"/>
  <c r="BY29" i="1"/>
  <c r="BY21" i="1"/>
  <c r="BZ21" i="1"/>
  <c r="AV18" i="1"/>
  <c r="AU18" i="1"/>
  <c r="BP34" i="1"/>
  <c r="BO34" i="1"/>
  <c r="BU34" i="1"/>
  <c r="BT34" i="1"/>
  <c r="AE30" i="1"/>
  <c r="CA30" i="1"/>
  <c r="AE24" i="1"/>
  <c r="CA24" i="1"/>
  <c r="AE20" i="1"/>
  <c r="CA20" i="1"/>
  <c r="AE13" i="1"/>
  <c r="CA13" i="1"/>
  <c r="BE5" i="1"/>
  <c r="BF5" i="1" s="1"/>
  <c r="BA19" i="1"/>
  <c r="AZ19" i="1"/>
  <c r="AV30" i="1"/>
  <c r="AU30" i="1"/>
  <c r="BK14" i="1"/>
  <c r="BJ14" i="1"/>
  <c r="AK6" i="1"/>
  <c r="AL6" i="1" s="1"/>
  <c r="BP2" i="1"/>
  <c r="BO2" i="1"/>
  <c r="BT10" i="1"/>
  <c r="BU10" i="1" s="1"/>
  <c r="AV32" i="1"/>
  <c r="AU32" i="1"/>
  <c r="AZ25" i="1"/>
  <c r="BA25" i="1" s="1"/>
  <c r="BK19" i="1"/>
  <c r="BJ19" i="1"/>
  <c r="BU17" i="1"/>
  <c r="BT17" i="1"/>
  <c r="BF7" i="1"/>
  <c r="BE7" i="1"/>
  <c r="BY3" i="1"/>
  <c r="BZ3" i="1" s="1"/>
  <c r="CA22" i="1"/>
  <c r="CC9" i="1"/>
  <c r="CF9" i="1" s="1"/>
  <c r="BF23" i="1"/>
  <c r="BE23" i="1"/>
  <c r="BE109" i="2"/>
  <c r="BF109" i="2" s="1"/>
  <c r="BY125" i="2"/>
  <c r="BZ125" i="2" s="1"/>
  <c r="BE126" i="2"/>
  <c r="BF126" i="2" s="1"/>
  <c r="AE125" i="2"/>
  <c r="CA125" i="2"/>
  <c r="AL124" i="2"/>
  <c r="AK124" i="2"/>
  <c r="BE120" i="2"/>
  <c r="BF120" i="2" s="1"/>
  <c r="CA120" i="2"/>
  <c r="AK109" i="2"/>
  <c r="AL109" i="2" s="1"/>
  <c r="BO106" i="2"/>
  <c r="BP106" i="2"/>
  <c r="AP110" i="2"/>
  <c r="AQ110" i="2" s="1"/>
  <c r="AK111" i="2"/>
  <c r="AL111" i="2"/>
  <c r="AZ111" i="2"/>
  <c r="BA111" i="2" s="1"/>
  <c r="AK112" i="2"/>
  <c r="AL112" i="2"/>
  <c r="AK100" i="2"/>
  <c r="AL100" i="2" s="1"/>
  <c r="BT103" i="2"/>
  <c r="BU103" i="2"/>
  <c r="BF97" i="2"/>
  <c r="BE97" i="2"/>
  <c r="AU105" i="2"/>
  <c r="AV105" i="2" s="1"/>
  <c r="BE98" i="2"/>
  <c r="BF98" i="2" s="1"/>
  <c r="BY107" i="2"/>
  <c r="BZ107" i="2"/>
  <c r="CA99" i="2"/>
  <c r="AE99" i="2"/>
  <c r="BO99" i="2"/>
  <c r="BP99" i="2" s="1"/>
  <c r="BE104" i="2"/>
  <c r="BF104" i="2" s="1"/>
  <c r="BJ102" i="2"/>
  <c r="BK102" i="2"/>
  <c r="AP113" i="2"/>
  <c r="AQ113" i="2" s="1"/>
  <c r="BY113" i="2"/>
  <c r="BZ113" i="2"/>
  <c r="BK89" i="2"/>
  <c r="BJ89" i="2"/>
  <c r="CA106" i="2"/>
  <c r="AE106" i="2"/>
  <c r="AK94" i="2"/>
  <c r="AL94" i="2" s="1"/>
  <c r="AZ94" i="2"/>
  <c r="BA94" i="2" s="1"/>
  <c r="AL92" i="2"/>
  <c r="AK92" i="2"/>
  <c r="AP101" i="2"/>
  <c r="AQ101" i="2" s="1"/>
  <c r="BY95" i="2"/>
  <c r="BZ95" i="2" s="1"/>
  <c r="BO91" i="2"/>
  <c r="BP91" i="2" s="1"/>
  <c r="BT96" i="2"/>
  <c r="BU96" i="2" s="1"/>
  <c r="AP93" i="2"/>
  <c r="AQ93" i="2"/>
  <c r="CA76" i="2"/>
  <c r="AE76" i="2"/>
  <c r="BY87" i="2"/>
  <c r="BZ87" i="2" s="1"/>
  <c r="BK86" i="2"/>
  <c r="BJ86" i="2"/>
  <c r="AZ76" i="2"/>
  <c r="BA76" i="2" s="1"/>
  <c r="BY90" i="2"/>
  <c r="BZ90" i="2" s="1"/>
  <c r="BF84" i="2"/>
  <c r="BE84" i="2"/>
  <c r="BZ80" i="2"/>
  <c r="BY80" i="2"/>
  <c r="AK75" i="2"/>
  <c r="AL75" i="2" s="1"/>
  <c r="CA89" i="2"/>
  <c r="AE89" i="2"/>
  <c r="AQ84" i="2"/>
  <c r="AP84" i="2"/>
  <c r="BK80" i="2"/>
  <c r="BJ80" i="2"/>
  <c r="AU72" i="2"/>
  <c r="AV72" i="2" s="1"/>
  <c r="AV67" i="2"/>
  <c r="AU67" i="2"/>
  <c r="BK67" i="2"/>
  <c r="BJ67" i="2"/>
  <c r="BE58" i="2"/>
  <c r="BF58" i="2" s="1"/>
  <c r="AK54" i="2"/>
  <c r="AL54" i="2" s="1"/>
  <c r="BF74" i="2"/>
  <c r="BE74" i="2"/>
  <c r="AE73" i="2"/>
  <c r="CA73" i="2"/>
  <c r="BP73" i="2"/>
  <c r="BO73" i="2"/>
  <c r="BY71" i="2"/>
  <c r="BZ71" i="2" s="1"/>
  <c r="AE83" i="2"/>
  <c r="CA83" i="2"/>
  <c r="BT81" i="2"/>
  <c r="BU81" i="2" s="1"/>
  <c r="BK69" i="2"/>
  <c r="BJ69" i="2"/>
  <c r="BT68" i="2"/>
  <c r="BU68" i="2"/>
  <c r="CA63" i="2"/>
  <c r="AE63" i="2"/>
  <c r="CA82" i="2"/>
  <c r="AE82" i="2"/>
  <c r="AZ66" i="2"/>
  <c r="BA66" i="2" s="1"/>
  <c r="BO68" i="2"/>
  <c r="BP68" i="2"/>
  <c r="AP52" i="2"/>
  <c r="AQ52" i="2" s="1"/>
  <c r="AZ64" i="2"/>
  <c r="BA64" i="2" s="1"/>
  <c r="BT59" i="2"/>
  <c r="BU59" i="2" s="1"/>
  <c r="BY50" i="2"/>
  <c r="BZ50" i="2"/>
  <c r="AE70" i="2"/>
  <c r="CA70" i="2"/>
  <c r="BA55" i="2"/>
  <c r="AZ55" i="2"/>
  <c r="BA65" i="2"/>
  <c r="AZ65" i="2"/>
  <c r="AP58" i="2"/>
  <c r="AQ58" i="2"/>
  <c r="BO64" i="2"/>
  <c r="BP64" i="2" s="1"/>
  <c r="BY56" i="2"/>
  <c r="BZ56" i="2" s="1"/>
  <c r="BF49" i="2"/>
  <c r="BE49" i="2"/>
  <c r="CA88" i="2"/>
  <c r="AE88" i="2"/>
  <c r="AE60" i="2"/>
  <c r="CA60" i="2"/>
  <c r="AE51" i="2"/>
  <c r="CA51" i="2"/>
  <c r="BA61" i="2"/>
  <c r="AZ61" i="2"/>
  <c r="BO42" i="2"/>
  <c r="BP42" i="2" s="1"/>
  <c r="BA54" i="2"/>
  <c r="AZ54" i="2"/>
  <c r="AV45" i="2"/>
  <c r="AU45" i="2"/>
  <c r="CA48" i="2"/>
  <c r="CA44" i="2"/>
  <c r="BT53" i="2"/>
  <c r="BU53" i="2" s="1"/>
  <c r="CA34" i="2"/>
  <c r="AE34" i="2"/>
  <c r="BO34" i="2"/>
  <c r="BP34" i="2" s="1"/>
  <c r="AL25" i="2"/>
  <c r="AK25" i="2"/>
  <c r="BT31" i="2"/>
  <c r="BU31" i="2"/>
  <c r="AV30" i="2"/>
  <c r="AU30" i="2"/>
  <c r="BK29" i="2"/>
  <c r="BJ29" i="2"/>
  <c r="AZ39" i="2"/>
  <c r="BA39" i="2" s="1"/>
  <c r="AK18" i="2"/>
  <c r="AL18" i="2"/>
  <c r="BY10" i="2"/>
  <c r="BZ10" i="2" s="1"/>
  <c r="CA40" i="2"/>
  <c r="AK38" i="2"/>
  <c r="AL38" i="2" s="1"/>
  <c r="AU37" i="2"/>
  <c r="AV37" i="2"/>
  <c r="BJ37" i="2"/>
  <c r="BK37" i="2" s="1"/>
  <c r="AE36" i="2"/>
  <c r="CA36" i="2"/>
  <c r="BJ35" i="2"/>
  <c r="BK35" i="2" s="1"/>
  <c r="AU47" i="2"/>
  <c r="AV47" i="2" s="1"/>
  <c r="BT47" i="2"/>
  <c r="BU47" i="2" s="1"/>
  <c r="AP33" i="2"/>
  <c r="AQ33" i="2" s="1"/>
  <c r="BY32" i="2"/>
  <c r="BZ32" i="2" s="1"/>
  <c r="AE28" i="2"/>
  <c r="CA28" i="2"/>
  <c r="BJ25" i="2"/>
  <c r="BK25" i="2" s="1"/>
  <c r="AZ40" i="2"/>
  <c r="BA40" i="2" s="1"/>
  <c r="AQ24" i="2"/>
  <c r="AP24" i="2"/>
  <c r="AZ14" i="2"/>
  <c r="BA14" i="2" s="1"/>
  <c r="BO24" i="2"/>
  <c r="BP24" i="2"/>
  <c r="BT24" i="2"/>
  <c r="BU24" i="2" s="1"/>
  <c r="BO6" i="2"/>
  <c r="BP6" i="2" s="1"/>
  <c r="AZ51" i="1"/>
  <c r="BA51" i="1" s="1"/>
  <c r="BY45" i="1"/>
  <c r="BZ45" i="1"/>
  <c r="BT23" i="2"/>
  <c r="BU23" i="2"/>
  <c r="BE17" i="2"/>
  <c r="BF17" i="2" s="1"/>
  <c r="AU4" i="2"/>
  <c r="AV4" i="2" s="1"/>
  <c r="AZ9" i="2"/>
  <c r="BA9" i="2"/>
  <c r="BJ20" i="2"/>
  <c r="BK20" i="2"/>
  <c r="BF12" i="2"/>
  <c r="BE12" i="2"/>
  <c r="BT12" i="2"/>
  <c r="BU12" i="2"/>
  <c r="AP8" i="2"/>
  <c r="AQ8" i="2"/>
  <c r="AP4" i="2"/>
  <c r="AQ4" i="2"/>
  <c r="CA21" i="2"/>
  <c r="AE21" i="2"/>
  <c r="CA19" i="2"/>
  <c r="AE19" i="2"/>
  <c r="BO7" i="2"/>
  <c r="BP7" i="2"/>
  <c r="AF30" i="2"/>
  <c r="AG30" i="2" s="1"/>
  <c r="CB30" i="2"/>
  <c r="AL2" i="2"/>
  <c r="AK2" i="2"/>
  <c r="AE16" i="2"/>
  <c r="CA16" i="2"/>
  <c r="BJ15" i="2"/>
  <c r="BK15" i="2" s="1"/>
  <c r="AV44" i="1"/>
  <c r="AU44" i="1"/>
  <c r="BA40" i="1"/>
  <c r="AZ40" i="1"/>
  <c r="BT6" i="2"/>
  <c r="BU6" i="2" s="1"/>
  <c r="AP48" i="1"/>
  <c r="AQ48" i="1" s="1"/>
  <c r="BA33" i="1"/>
  <c r="AZ33" i="1"/>
  <c r="BK50" i="1"/>
  <c r="BJ50" i="1"/>
  <c r="CA9" i="2"/>
  <c r="AE9" i="2"/>
  <c r="BT46" i="1"/>
  <c r="BU46" i="1" s="1"/>
  <c r="BF40" i="1"/>
  <c r="BE40" i="1"/>
  <c r="BT47" i="1"/>
  <c r="BU47" i="1"/>
  <c r="BE42" i="1"/>
  <c r="BF42" i="1"/>
  <c r="BY37" i="1"/>
  <c r="BZ37" i="1" s="1"/>
  <c r="BA32" i="1"/>
  <c r="AZ32" i="1"/>
  <c r="AK31" i="1"/>
  <c r="AL31" i="1" s="1"/>
  <c r="BE25" i="1"/>
  <c r="BF25" i="1" s="1"/>
  <c r="AE35" i="1"/>
  <c r="CA35" i="1"/>
  <c r="BP35" i="1"/>
  <c r="BO35" i="1"/>
  <c r="BO27" i="1"/>
  <c r="BP27" i="1" s="1"/>
  <c r="AU21" i="1"/>
  <c r="AV21" i="1" s="1"/>
  <c r="AK15" i="1"/>
  <c r="AL15" i="1" s="1"/>
  <c r="AQ12" i="1"/>
  <c r="AP12" i="1"/>
  <c r="CC12" i="1" s="1"/>
  <c r="BO4" i="1"/>
  <c r="BP4" i="1"/>
  <c r="AE2" i="1"/>
  <c r="CA2" i="1"/>
  <c r="BY38" i="1"/>
  <c r="BZ38" i="1" s="1"/>
  <c r="AL29" i="1"/>
  <c r="AK29" i="1"/>
  <c r="AE21" i="1"/>
  <c r="CA21" i="1"/>
  <c r="BY34" i="1"/>
  <c r="BZ34" i="1" s="1"/>
  <c r="AU33" i="1"/>
  <c r="AV33" i="1" s="1"/>
  <c r="AQ24" i="1"/>
  <c r="AP24" i="1"/>
  <c r="BY18" i="1"/>
  <c r="BZ18" i="1" s="1"/>
  <c r="AP13" i="1"/>
  <c r="AQ13" i="1" s="1"/>
  <c r="BJ7" i="1"/>
  <c r="BK7" i="1" s="1"/>
  <c r="AV5" i="1"/>
  <c r="AU5" i="1"/>
  <c r="AK19" i="1"/>
  <c r="AL19" i="1" s="1"/>
  <c r="BE30" i="1"/>
  <c r="BF30" i="1" s="1"/>
  <c r="BT18" i="1"/>
  <c r="BU18" i="1" s="1"/>
  <c r="AL14" i="1"/>
  <c r="AK14" i="1"/>
  <c r="BT4" i="1"/>
  <c r="BU4" i="1" s="1"/>
  <c r="BE2" i="1"/>
  <c r="BF2" i="1" s="1"/>
  <c r="BE32" i="1"/>
  <c r="BF32" i="1" s="1"/>
  <c r="BK25" i="1"/>
  <c r="BJ25" i="1"/>
  <c r="AZ18" i="1"/>
  <c r="BA18" i="1" s="1"/>
  <c r="BO16" i="1"/>
  <c r="BP16" i="1" s="1"/>
  <c r="AU7" i="1"/>
  <c r="AV7" i="1" s="1"/>
  <c r="BP3" i="1"/>
  <c r="BO3" i="1"/>
  <c r="CA15" i="1"/>
  <c r="CA23" i="1"/>
  <c r="AE23" i="1"/>
  <c r="BP23" i="1"/>
  <c r="BO23" i="1"/>
  <c r="AV126" i="2"/>
  <c r="AU126" i="2"/>
  <c r="AQ124" i="2"/>
  <c r="AP124" i="2"/>
  <c r="BO123" i="2"/>
  <c r="BP123" i="2" s="1"/>
  <c r="BF125" i="2"/>
  <c r="BE125" i="2"/>
  <c r="CC120" i="2"/>
  <c r="CF120" i="2" s="1"/>
  <c r="AU109" i="2"/>
  <c r="AV109" i="2" s="1"/>
  <c r="AK110" i="2"/>
  <c r="AL110" i="2"/>
  <c r="AZ110" i="2"/>
  <c r="BA110" i="2"/>
  <c r="AU111" i="2"/>
  <c r="AV111" i="2"/>
  <c r="BJ111" i="2"/>
  <c r="BK111" i="2" s="1"/>
  <c r="CC116" i="2"/>
  <c r="CF116" i="2" s="1"/>
  <c r="AU112" i="2"/>
  <c r="AV112" i="2"/>
  <c r="CC114" i="2"/>
  <c r="CF114" i="2" s="1"/>
  <c r="AU100" i="2"/>
  <c r="AV100" i="2"/>
  <c r="AL103" i="2"/>
  <c r="AK103" i="2"/>
  <c r="BO97" i="2"/>
  <c r="BP97" i="2" s="1"/>
  <c r="BE106" i="2"/>
  <c r="BF106" i="2"/>
  <c r="BE105" i="2"/>
  <c r="BF105" i="2"/>
  <c r="AK97" i="2"/>
  <c r="AL97" i="2" s="1"/>
  <c r="AP99" i="2"/>
  <c r="AQ99" i="2"/>
  <c r="BY99" i="2"/>
  <c r="BZ99" i="2" s="1"/>
  <c r="BO104" i="2"/>
  <c r="BP104" i="2"/>
  <c r="BT102" i="2"/>
  <c r="BU102" i="2" s="1"/>
  <c r="AZ113" i="2"/>
  <c r="BA113" i="2"/>
  <c r="BE89" i="2"/>
  <c r="BF89" i="2"/>
  <c r="BT106" i="2"/>
  <c r="BU106" i="2"/>
  <c r="AU94" i="2"/>
  <c r="AV94" i="2" s="1"/>
  <c r="BJ94" i="2"/>
  <c r="BK94" i="2"/>
  <c r="AU92" i="2"/>
  <c r="AV92" i="2" s="1"/>
  <c r="AK101" i="2"/>
  <c r="AL101" i="2"/>
  <c r="BA101" i="2"/>
  <c r="AZ101" i="2"/>
  <c r="AK96" i="2"/>
  <c r="AL96" i="2"/>
  <c r="AK98" i="2"/>
  <c r="AL98" i="2"/>
  <c r="AK93" i="2"/>
  <c r="AL93" i="2"/>
  <c r="BP84" i="2"/>
  <c r="BO84" i="2"/>
  <c r="BY75" i="2"/>
  <c r="BZ75" i="2" s="1"/>
  <c r="BO80" i="2"/>
  <c r="BP80" i="2" s="1"/>
  <c r="BY76" i="2"/>
  <c r="BZ76" i="2"/>
  <c r="BK75" i="2"/>
  <c r="BJ75" i="2"/>
  <c r="BJ76" i="2"/>
  <c r="BK76" i="2" s="1"/>
  <c r="BE90" i="2"/>
  <c r="BF90" i="2"/>
  <c r="AK84" i="2"/>
  <c r="AL84" i="2" s="1"/>
  <c r="AV80" i="2"/>
  <c r="AU80" i="2"/>
  <c r="AZ86" i="2"/>
  <c r="BA86" i="2" s="1"/>
  <c r="AP89" i="2"/>
  <c r="AQ89" i="2"/>
  <c r="AZ84" i="2"/>
  <c r="BA84" i="2" s="1"/>
  <c r="BU80" i="2"/>
  <c r="BT80" i="2"/>
  <c r="AU66" i="2"/>
  <c r="AV66" i="2"/>
  <c r="BE67" i="2"/>
  <c r="BF67" i="2" s="1"/>
  <c r="BT67" i="2"/>
  <c r="BU67" i="2" s="1"/>
  <c r="AU58" i="2"/>
  <c r="AV58" i="2" s="1"/>
  <c r="BT86" i="2"/>
  <c r="BU86" i="2" s="1"/>
  <c r="AU74" i="2"/>
  <c r="AV74" i="2" s="1"/>
  <c r="AP73" i="2"/>
  <c r="AQ73" i="2" s="1"/>
  <c r="BZ73" i="2"/>
  <c r="BY73" i="2"/>
  <c r="AU83" i="2"/>
  <c r="AV83" i="2"/>
  <c r="AP83" i="2"/>
  <c r="AQ83" i="2"/>
  <c r="AP81" i="2"/>
  <c r="AQ81" i="2"/>
  <c r="BU69" i="2"/>
  <c r="BT69" i="2"/>
  <c r="AE68" i="2"/>
  <c r="CA68" i="2"/>
  <c r="AP63" i="2"/>
  <c r="AQ63" i="2" s="1"/>
  <c r="BJ62" i="2"/>
  <c r="BK62" i="2" s="1"/>
  <c r="BE62" i="2"/>
  <c r="BF62" i="2" s="1"/>
  <c r="AZ52" i="2"/>
  <c r="BA52" i="2" s="1"/>
  <c r="AP64" i="2"/>
  <c r="AQ64" i="2"/>
  <c r="AU70" i="2"/>
  <c r="AV70" i="2"/>
  <c r="BK55" i="2"/>
  <c r="BJ55" i="2"/>
  <c r="BJ65" i="2"/>
  <c r="BK65" i="2"/>
  <c r="AZ58" i="2"/>
  <c r="BA58" i="2" s="1"/>
  <c r="BE88" i="2"/>
  <c r="BF88" i="2" s="1"/>
  <c r="AQ88" i="2"/>
  <c r="AP88" i="2"/>
  <c r="AP60" i="2"/>
  <c r="AQ60" i="2"/>
  <c r="AE50" i="2"/>
  <c r="CA50" i="2"/>
  <c r="AK61" i="2"/>
  <c r="AL61" i="2"/>
  <c r="BJ48" i="2"/>
  <c r="BK48" i="2" s="1"/>
  <c r="AP42" i="2"/>
  <c r="AQ42" i="2" s="1"/>
  <c r="CA55" i="2"/>
  <c r="AE55" i="2"/>
  <c r="AP54" i="2"/>
  <c r="AQ54" i="2" s="1"/>
  <c r="AG45" i="2"/>
  <c r="CB45" i="2"/>
  <c r="AF45" i="2"/>
  <c r="AK46" i="2"/>
  <c r="AL46" i="2" s="1"/>
  <c r="AK53" i="2"/>
  <c r="AL53" i="2" s="1"/>
  <c r="AP34" i="2"/>
  <c r="AQ34" i="2" s="1"/>
  <c r="BY34" i="2"/>
  <c r="BZ34" i="2" s="1"/>
  <c r="AP23" i="2"/>
  <c r="AQ23" i="2" s="1"/>
  <c r="AL31" i="2"/>
  <c r="AK31" i="2"/>
  <c r="BF30" i="2"/>
  <c r="BE30" i="2"/>
  <c r="BU29" i="2"/>
  <c r="BT29" i="2"/>
  <c r="BE26" i="2"/>
  <c r="BF26" i="2"/>
  <c r="BJ39" i="2"/>
  <c r="BK39" i="2" s="1"/>
  <c r="BK24" i="2"/>
  <c r="BJ24" i="2"/>
  <c r="BO10" i="2"/>
  <c r="BP10" i="2" s="1"/>
  <c r="CB40" i="2"/>
  <c r="AF40" i="2"/>
  <c r="AU38" i="2"/>
  <c r="AV38" i="2"/>
  <c r="BE37" i="2"/>
  <c r="BF37" i="2"/>
  <c r="BT37" i="2"/>
  <c r="BU37" i="2" s="1"/>
  <c r="AP36" i="2"/>
  <c r="AQ36" i="2"/>
  <c r="BT35" i="2"/>
  <c r="BU35" i="2"/>
  <c r="BJ47" i="2"/>
  <c r="BK47" i="2" s="1"/>
  <c r="AK33" i="2"/>
  <c r="AL33" i="2"/>
  <c r="AZ33" i="2"/>
  <c r="BA33" i="2" s="1"/>
  <c r="AP28" i="2"/>
  <c r="AQ28" i="2" s="1"/>
  <c r="BT25" i="2"/>
  <c r="BU25" i="2" s="1"/>
  <c r="BT18" i="2"/>
  <c r="BU18" i="2" s="1"/>
  <c r="AP14" i="2"/>
  <c r="AQ14" i="2" s="1"/>
  <c r="BY6" i="2"/>
  <c r="BZ6" i="2"/>
  <c r="AP51" i="1"/>
  <c r="AQ51" i="1" s="1"/>
  <c r="BO45" i="1"/>
  <c r="BP45" i="1"/>
  <c r="BJ23" i="2"/>
  <c r="BK23" i="2" s="1"/>
  <c r="BO17" i="2"/>
  <c r="BP17" i="2"/>
  <c r="BY3" i="2"/>
  <c r="BZ3" i="2"/>
  <c r="BY15" i="2"/>
  <c r="BZ15" i="2" s="1"/>
  <c r="BJ2" i="2"/>
  <c r="BK2" i="2"/>
  <c r="AK20" i="2"/>
  <c r="AL20" i="2" s="1"/>
  <c r="BO12" i="2"/>
  <c r="BP12" i="2" s="1"/>
  <c r="AK8" i="2"/>
  <c r="AL8" i="2" s="1"/>
  <c r="AZ8" i="2"/>
  <c r="BA8" i="2"/>
  <c r="AZ4" i="2"/>
  <c r="BA4" i="2"/>
  <c r="AP21" i="2"/>
  <c r="AQ21" i="2" s="1"/>
  <c r="AP19" i="2"/>
  <c r="AQ19" i="2"/>
  <c r="CA7" i="2"/>
  <c r="AE7" i="2"/>
  <c r="CA30" i="2"/>
  <c r="CA22" i="2"/>
  <c r="AE22" i="2"/>
  <c r="AP16" i="2"/>
  <c r="AQ16" i="2" s="1"/>
  <c r="BT15" i="2"/>
  <c r="BU15" i="2"/>
  <c r="AK7" i="2"/>
  <c r="AL7" i="2" s="1"/>
  <c r="AL43" i="1"/>
  <c r="AK43" i="1"/>
  <c r="AL40" i="1"/>
  <c r="AK40" i="1"/>
  <c r="CA11" i="2"/>
  <c r="AE11" i="2"/>
  <c r="BU3" i="2"/>
  <c r="BT3" i="2"/>
  <c r="AL48" i="1"/>
  <c r="AK48" i="1"/>
  <c r="AZ48" i="1"/>
  <c r="BA48" i="1" s="1"/>
  <c r="AP33" i="1"/>
  <c r="AQ33" i="1" s="1"/>
  <c r="BU50" i="1"/>
  <c r="BT50" i="1"/>
  <c r="AE40" i="1"/>
  <c r="CA40" i="1"/>
  <c r="BZ40" i="1"/>
  <c r="BY40" i="1"/>
  <c r="AK46" i="1"/>
  <c r="AL46" i="1"/>
  <c r="BU42" i="1"/>
  <c r="BT42" i="1"/>
  <c r="AQ13" i="2"/>
  <c r="AP13" i="2"/>
  <c r="BA45" i="1"/>
  <c r="AZ45" i="1"/>
  <c r="BO42" i="1"/>
  <c r="BP42" i="1"/>
  <c r="BU36" i="1"/>
  <c r="BT36" i="1"/>
  <c r="AQ32" i="1"/>
  <c r="AP32" i="1"/>
  <c r="AV31" i="1"/>
  <c r="AU31" i="1"/>
  <c r="BJ22" i="1"/>
  <c r="BK22" i="1" s="1"/>
  <c r="AQ35" i="1"/>
  <c r="AP35" i="1"/>
  <c r="BZ35" i="1"/>
  <c r="BY35" i="1"/>
  <c r="BZ27" i="1"/>
  <c r="BY27" i="1"/>
  <c r="AZ20" i="1"/>
  <c r="BA20" i="1"/>
  <c r="AV15" i="1"/>
  <c r="AU15" i="1"/>
  <c r="AV10" i="1"/>
  <c r="AU10" i="1"/>
  <c r="BF4" i="1"/>
  <c r="BE4" i="1"/>
  <c r="AZ12" i="1"/>
  <c r="BA12" i="1"/>
  <c r="BA38" i="1"/>
  <c r="AZ38" i="1"/>
  <c r="BZ28" i="1"/>
  <c r="BY28" i="1"/>
  <c r="AV25" i="1"/>
  <c r="AU25" i="1"/>
  <c r="AP21" i="1"/>
  <c r="AQ21" i="1" s="1"/>
  <c r="BE13" i="1"/>
  <c r="BF13" i="1" s="1"/>
  <c r="BF33" i="1"/>
  <c r="BE33" i="1"/>
  <c r="AZ24" i="1"/>
  <c r="BA24" i="1" s="1"/>
  <c r="AK17" i="1"/>
  <c r="AL17" i="1" s="1"/>
  <c r="AZ13" i="1"/>
  <c r="BA13" i="1" s="1"/>
  <c r="AZ7" i="1"/>
  <c r="BA7" i="1" s="1"/>
  <c r="AK5" i="1"/>
  <c r="AL5" i="1" s="1"/>
  <c r="AU19" i="1"/>
  <c r="AV19" i="1" s="1"/>
  <c r="BO29" i="1"/>
  <c r="BP29" i="1" s="1"/>
  <c r="BO30" i="1"/>
  <c r="BP30" i="1" s="1"/>
  <c r="BE18" i="1"/>
  <c r="BF18" i="1" s="1"/>
  <c r="AF8" i="1"/>
  <c r="CC8" i="1" s="1"/>
  <c r="CF8" i="1" s="1"/>
  <c r="CB8" i="1"/>
  <c r="BK4" i="1"/>
  <c r="BJ4" i="1"/>
  <c r="AV2" i="1"/>
  <c r="AU2" i="1"/>
  <c r="BO32" i="1"/>
  <c r="BP32" i="1" s="1"/>
  <c r="BT25" i="1"/>
  <c r="BU25" i="1" s="1"/>
  <c r="AK18" i="1"/>
  <c r="AL18" i="1" s="1"/>
  <c r="AP16" i="1"/>
  <c r="AQ16" i="1" s="1"/>
  <c r="AK7" i="1"/>
  <c r="AL7" i="1" s="1"/>
  <c r="BE3" i="1"/>
  <c r="BF3" i="1" s="1"/>
  <c r="AZ23" i="1"/>
  <c r="BA23" i="1" s="1"/>
  <c r="BY23" i="1"/>
  <c r="BZ23" i="1" s="1"/>
  <c r="BE111" i="2"/>
  <c r="BF111" i="2"/>
  <c r="BT111" i="2"/>
  <c r="BU111" i="2"/>
  <c r="BE112" i="2"/>
  <c r="BF112" i="2"/>
  <c r="CD114" i="2"/>
  <c r="CE114" i="2"/>
  <c r="BE100" i="2"/>
  <c r="BF100" i="2"/>
  <c r="AU103" i="2"/>
  <c r="AV103" i="2" s="1"/>
  <c r="BY97" i="2"/>
  <c r="BZ97" i="2" s="1"/>
  <c r="AK105" i="2"/>
  <c r="AL105" i="2" s="1"/>
  <c r="BO105" i="2"/>
  <c r="BP105" i="2" s="1"/>
  <c r="CA107" i="2"/>
  <c r="AE107" i="2"/>
  <c r="AZ99" i="2"/>
  <c r="BA99" i="2"/>
  <c r="CB115" i="2"/>
  <c r="AF115" i="2"/>
  <c r="CC115" i="2" s="1"/>
  <c r="CF115" i="2" s="1"/>
  <c r="BY104" i="2"/>
  <c r="BZ104" i="2" s="1"/>
  <c r="AP97" i="2"/>
  <c r="AQ97" i="2" s="1"/>
  <c r="BJ113" i="2"/>
  <c r="BK113" i="2" s="1"/>
  <c r="BO89" i="2"/>
  <c r="BP89" i="2"/>
  <c r="AZ93" i="2"/>
  <c r="BA93" i="2" s="1"/>
  <c r="AU106" i="2"/>
  <c r="AV106" i="2" s="1"/>
  <c r="BE94" i="2"/>
  <c r="BF94" i="2" s="1"/>
  <c r="BT94" i="2"/>
  <c r="BU94" i="2"/>
  <c r="BF92" i="2"/>
  <c r="BE92" i="2"/>
  <c r="AU101" i="2"/>
  <c r="AV101" i="2" s="1"/>
  <c r="BJ101" i="2"/>
  <c r="BK101" i="2" s="1"/>
  <c r="CA95" i="2"/>
  <c r="AE95" i="2"/>
  <c r="AP98" i="2"/>
  <c r="AQ98" i="2" s="1"/>
  <c r="AU96" i="2"/>
  <c r="AV96" i="2" s="1"/>
  <c r="CA98" i="2"/>
  <c r="AE98" i="2"/>
  <c r="AU93" i="2"/>
  <c r="AV93" i="2"/>
  <c r="CA91" i="2"/>
  <c r="AE91" i="2"/>
  <c r="AV84" i="2"/>
  <c r="AU84" i="2"/>
  <c r="AP75" i="2"/>
  <c r="AQ75" i="2" s="1"/>
  <c r="AP76" i="2"/>
  <c r="AQ76" i="2" s="1"/>
  <c r="AK80" i="2"/>
  <c r="AL80" i="2" s="1"/>
  <c r="BT89" i="2"/>
  <c r="BU89" i="2" s="1"/>
  <c r="BU75" i="2"/>
  <c r="BT75" i="2"/>
  <c r="CA90" i="2"/>
  <c r="AE90" i="2"/>
  <c r="AL82" i="2"/>
  <c r="AK82" i="2"/>
  <c r="AL86" i="2"/>
  <c r="AK86" i="2"/>
  <c r="BU78" i="2"/>
  <c r="BT78" i="2"/>
  <c r="AK85" i="2"/>
  <c r="AL85" i="2" s="1"/>
  <c r="AL89" i="2"/>
  <c r="AK89" i="2"/>
  <c r="BK84" i="2"/>
  <c r="BJ84" i="2"/>
  <c r="BF78" i="2"/>
  <c r="BE78" i="2"/>
  <c r="AE75" i="2"/>
  <c r="CA75" i="2"/>
  <c r="BO67" i="2"/>
  <c r="BP67" i="2" s="1"/>
  <c r="BT66" i="2"/>
  <c r="BU66" i="2" s="1"/>
  <c r="AK58" i="2"/>
  <c r="AL58" i="2" s="1"/>
  <c r="AK74" i="2"/>
  <c r="AL74" i="2" s="1"/>
  <c r="BA73" i="2"/>
  <c r="AZ73" i="2"/>
  <c r="CA71" i="2"/>
  <c r="AE71" i="2"/>
  <c r="BO83" i="2"/>
  <c r="BP83" i="2" s="1"/>
  <c r="AZ83" i="2"/>
  <c r="BA83" i="2" s="1"/>
  <c r="AL81" i="2"/>
  <c r="AK81" i="2"/>
  <c r="AL69" i="2"/>
  <c r="AK69" i="2"/>
  <c r="BO66" i="2"/>
  <c r="BP66" i="2" s="1"/>
  <c r="AZ63" i="2"/>
  <c r="BA63" i="2" s="1"/>
  <c r="BJ66" i="2"/>
  <c r="BK66" i="2" s="1"/>
  <c r="AV59" i="2"/>
  <c r="AU59" i="2"/>
  <c r="BK52" i="2"/>
  <c r="BJ52" i="2"/>
  <c r="AZ62" i="2"/>
  <c r="BA62" i="2" s="1"/>
  <c r="BK51" i="2"/>
  <c r="BJ51" i="2"/>
  <c r="BJ49" i="2"/>
  <c r="BK49" i="2" s="1"/>
  <c r="AZ70" i="2"/>
  <c r="BA70" i="2" s="1"/>
  <c r="BT55" i="2"/>
  <c r="BU55" i="2"/>
  <c r="BU65" i="2"/>
  <c r="BT65" i="2"/>
  <c r="BJ58" i="2"/>
  <c r="BK58" i="2" s="1"/>
  <c r="BF59" i="2"/>
  <c r="BE59" i="2"/>
  <c r="AE56" i="2"/>
  <c r="CA56" i="2"/>
  <c r="BP88" i="2"/>
  <c r="BO88" i="2"/>
  <c r="BA88" i="2"/>
  <c r="AZ88" i="2"/>
  <c r="AL60" i="2"/>
  <c r="AK60" i="2"/>
  <c r="AZ60" i="2"/>
  <c r="BA60" i="2"/>
  <c r="BP49" i="2"/>
  <c r="BO49" i="2"/>
  <c r="BK61" i="2"/>
  <c r="BJ61" i="2"/>
  <c r="AK57" i="2"/>
  <c r="AL57" i="2" s="1"/>
  <c r="AP48" i="2"/>
  <c r="AQ48" i="2" s="1"/>
  <c r="BZ46" i="2"/>
  <c r="BY46" i="2"/>
  <c r="AV55" i="2"/>
  <c r="AU55" i="2"/>
  <c r="AE54" i="2"/>
  <c r="CA54" i="2"/>
  <c r="BT46" i="2"/>
  <c r="BU46" i="2" s="1"/>
  <c r="BF45" i="2"/>
  <c r="BE45" i="2"/>
  <c r="AF64" i="2"/>
  <c r="AG64" i="2" s="1"/>
  <c r="CB64" i="2"/>
  <c r="BJ53" i="2"/>
  <c r="BK53" i="2" s="1"/>
  <c r="AP43" i="2"/>
  <c r="AQ43" i="2" s="1"/>
  <c r="AZ34" i="2"/>
  <c r="BA34" i="2"/>
  <c r="AZ30" i="2"/>
  <c r="BA30" i="2"/>
  <c r="AK23" i="2"/>
  <c r="AL23" i="2" s="1"/>
  <c r="AU31" i="2"/>
  <c r="AV31" i="2" s="1"/>
  <c r="BO30" i="2"/>
  <c r="BP30" i="2"/>
  <c r="BO28" i="2"/>
  <c r="BP28" i="2"/>
  <c r="AP31" i="2"/>
  <c r="AQ31" i="2"/>
  <c r="BY14" i="2"/>
  <c r="BZ14" i="2"/>
  <c r="BE10" i="2"/>
  <c r="BF10" i="2"/>
  <c r="BE38" i="2"/>
  <c r="BF38" i="2"/>
  <c r="BO37" i="2"/>
  <c r="BP37" i="2"/>
  <c r="AK36" i="2"/>
  <c r="AL36" i="2"/>
  <c r="AZ36" i="2"/>
  <c r="BA36" i="2"/>
  <c r="AK35" i="2"/>
  <c r="AL35" i="2" s="1"/>
  <c r="AE47" i="2"/>
  <c r="CA47" i="2"/>
  <c r="AP47" i="2"/>
  <c r="AQ47" i="2" s="1"/>
  <c r="CA45" i="2"/>
  <c r="AU33" i="2"/>
  <c r="AV33" i="2" s="1"/>
  <c r="BK33" i="2"/>
  <c r="BJ33" i="2"/>
  <c r="AE32" i="2"/>
  <c r="CA32" i="2"/>
  <c r="AZ28" i="2"/>
  <c r="BA28" i="2" s="1"/>
  <c r="AQ40" i="2"/>
  <c r="AP40" i="2"/>
  <c r="BK18" i="2"/>
  <c r="BJ18" i="2"/>
  <c r="CA14" i="2"/>
  <c r="AE14" i="2"/>
  <c r="BP19" i="2"/>
  <c r="BO19" i="2"/>
  <c r="CA51" i="1"/>
  <c r="AE51" i="1"/>
  <c r="BE45" i="1"/>
  <c r="BF45" i="1" s="1"/>
  <c r="BY17" i="2"/>
  <c r="BZ17" i="2"/>
  <c r="CB31" i="2"/>
  <c r="AF31" i="2"/>
  <c r="BE15" i="2"/>
  <c r="BF15" i="2" s="1"/>
  <c r="AK5" i="2"/>
  <c r="AL5" i="2" s="1"/>
  <c r="AZ2" i="2"/>
  <c r="BA2" i="2"/>
  <c r="AU20" i="2"/>
  <c r="AV20" i="2" s="1"/>
  <c r="BY12" i="2"/>
  <c r="BZ12" i="2" s="1"/>
  <c r="AU8" i="2"/>
  <c r="AV8" i="2"/>
  <c r="BJ8" i="2"/>
  <c r="BK8" i="2"/>
  <c r="BJ4" i="2"/>
  <c r="BK4" i="2"/>
  <c r="BO21" i="2"/>
  <c r="BP21" i="2" s="1"/>
  <c r="AZ21" i="2"/>
  <c r="BA21" i="2" s="1"/>
  <c r="AZ19" i="2"/>
  <c r="BA19" i="2"/>
  <c r="AK13" i="2"/>
  <c r="AL13" i="2"/>
  <c r="AP7" i="2"/>
  <c r="AQ7" i="2" s="1"/>
  <c r="BT22" i="2"/>
  <c r="BU22" i="2"/>
  <c r="AK16" i="2"/>
  <c r="AL16" i="2" s="1"/>
  <c r="AZ16" i="2"/>
  <c r="BA16" i="2"/>
  <c r="AP9" i="2"/>
  <c r="AQ9" i="2"/>
  <c r="BT5" i="2"/>
  <c r="BU5" i="2"/>
  <c r="CA43" i="1"/>
  <c r="AE43" i="1"/>
  <c r="AK11" i="2"/>
  <c r="AL11" i="2" s="1"/>
  <c r="AP11" i="2"/>
  <c r="AQ11" i="2"/>
  <c r="CA3" i="2"/>
  <c r="AE3" i="2"/>
  <c r="AU48" i="1"/>
  <c r="AV48" i="1" s="1"/>
  <c r="BJ48" i="1"/>
  <c r="BK48" i="1"/>
  <c r="BT37" i="1"/>
  <c r="BU37" i="1" s="1"/>
  <c r="AE33" i="1"/>
  <c r="CA33" i="1"/>
  <c r="AK50" i="1"/>
  <c r="AL50" i="1"/>
  <c r="BO44" i="1"/>
  <c r="BP44" i="1" s="1"/>
  <c r="BO39" i="1"/>
  <c r="BP39" i="1" s="1"/>
  <c r="AU46" i="1"/>
  <c r="AV46" i="1"/>
  <c r="BE44" i="1"/>
  <c r="BF44" i="1" s="1"/>
  <c r="AK41" i="1"/>
  <c r="AL41" i="1" s="1"/>
  <c r="BJ13" i="2"/>
  <c r="BK13" i="2" s="1"/>
  <c r="BY42" i="1"/>
  <c r="BZ42" i="1"/>
  <c r="BJ36" i="1"/>
  <c r="BK36" i="1" s="1"/>
  <c r="AE32" i="1"/>
  <c r="CA32" i="1"/>
  <c r="BE31" i="1"/>
  <c r="BF31" i="1" s="1"/>
  <c r="AZ35" i="1"/>
  <c r="BA35" i="1" s="1"/>
  <c r="AK32" i="1"/>
  <c r="AL32" i="1" s="1"/>
  <c r="AK26" i="1"/>
  <c r="AL26" i="1" s="1"/>
  <c r="AP19" i="1"/>
  <c r="AQ19" i="1" s="1"/>
  <c r="BE15" i="1"/>
  <c r="BF15" i="1" s="1"/>
  <c r="BJ6" i="1"/>
  <c r="BK6" i="1" s="1"/>
  <c r="AU4" i="1"/>
  <c r="AV4" i="1" s="1"/>
  <c r="BJ11" i="1"/>
  <c r="BK11" i="1"/>
  <c r="BO38" i="1"/>
  <c r="BP38" i="1" s="1"/>
  <c r="AK28" i="1"/>
  <c r="AL28" i="1" s="1"/>
  <c r="AK22" i="1"/>
  <c r="AL22" i="1" s="1"/>
  <c r="AZ21" i="1"/>
  <c r="BA21" i="1" s="1"/>
  <c r="BE10" i="1"/>
  <c r="BF10" i="1"/>
  <c r="BO33" i="1"/>
  <c r="BP33" i="1" s="1"/>
  <c r="BJ24" i="1"/>
  <c r="BK24" i="1" s="1"/>
  <c r="BJ13" i="1"/>
  <c r="BK13" i="1" s="1"/>
  <c r="AP7" i="1"/>
  <c r="AQ7" i="1" s="1"/>
  <c r="BT3" i="1"/>
  <c r="BU3" i="1" s="1"/>
  <c r="BE19" i="1"/>
  <c r="BF19" i="1" s="1"/>
  <c r="AK36" i="1"/>
  <c r="AL36" i="1" s="1"/>
  <c r="BT29" i="1"/>
  <c r="BU29" i="1" s="1"/>
  <c r="CB26" i="1"/>
  <c r="BZ30" i="1"/>
  <c r="BY30" i="1"/>
  <c r="BU16" i="1"/>
  <c r="BT16" i="1"/>
  <c r="AV12" i="1"/>
  <c r="AU12" i="1"/>
  <c r="AZ4" i="1"/>
  <c r="BA4" i="1" s="1"/>
  <c r="AL2" i="1"/>
  <c r="AK2" i="1"/>
  <c r="AG42" i="1"/>
  <c r="BY32" i="1"/>
  <c r="BZ32" i="1" s="1"/>
  <c r="BE24" i="1"/>
  <c r="BF24" i="1" s="1"/>
  <c r="BY17" i="1"/>
  <c r="BZ17" i="1" s="1"/>
  <c r="BJ5" i="1"/>
  <c r="BK5" i="1" s="1"/>
  <c r="AU3" i="1"/>
  <c r="AV3" i="1" s="1"/>
  <c r="BT23" i="1"/>
  <c r="BU23" i="1" s="1"/>
  <c r="CA14" i="1"/>
  <c r="AE14" i="1"/>
  <c r="BO125" i="2"/>
  <c r="BP125" i="2" s="1"/>
  <c r="CD120" i="2"/>
  <c r="CE120" i="2"/>
  <c r="CD119" i="2"/>
  <c r="CE119" i="2"/>
  <c r="CA109" i="2"/>
  <c r="AE109" i="2"/>
  <c r="BO109" i="2"/>
  <c r="BP109" i="2" s="1"/>
  <c r="CC118" i="2"/>
  <c r="CF118" i="2" s="1"/>
  <c r="BE110" i="2"/>
  <c r="BF110" i="2"/>
  <c r="BT110" i="2"/>
  <c r="BU110" i="2"/>
  <c r="BO111" i="2"/>
  <c r="BP111" i="2"/>
  <c r="AP108" i="2"/>
  <c r="AQ108" i="2"/>
  <c r="CD116" i="2"/>
  <c r="CE116" i="2"/>
  <c r="CA112" i="2"/>
  <c r="AE112" i="2"/>
  <c r="BO112" i="2"/>
  <c r="BP112" i="2"/>
  <c r="CA123" i="2"/>
  <c r="BO100" i="2"/>
  <c r="BP100" i="2" s="1"/>
  <c r="BE103" i="2"/>
  <c r="BF103" i="2" s="1"/>
  <c r="BJ105" i="2"/>
  <c r="BK105" i="2" s="1"/>
  <c r="BZ105" i="2"/>
  <c r="BY105" i="2"/>
  <c r="AQ107" i="2"/>
  <c r="AP107" i="2"/>
  <c r="BJ99" i="2"/>
  <c r="BK99" i="2"/>
  <c r="BJ98" i="2"/>
  <c r="BK98" i="2" s="1"/>
  <c r="CA97" i="2"/>
  <c r="AE97" i="2"/>
  <c r="BT113" i="2"/>
  <c r="BU113" i="2" s="1"/>
  <c r="BY89" i="2"/>
  <c r="BZ89" i="2"/>
  <c r="AZ106" i="2"/>
  <c r="BA106" i="2" s="1"/>
  <c r="BO94" i="2"/>
  <c r="BP94" i="2" s="1"/>
  <c r="CA92" i="2"/>
  <c r="AE92" i="2"/>
  <c r="BO92" i="2"/>
  <c r="BP92" i="2" s="1"/>
  <c r="BE101" i="2"/>
  <c r="BF101" i="2" s="1"/>
  <c r="BU101" i="2"/>
  <c r="BT101" i="2"/>
  <c r="AP95" i="2"/>
  <c r="AQ95" i="2" s="1"/>
  <c r="BE96" i="2"/>
  <c r="BF96" i="2"/>
  <c r="AU91" i="2"/>
  <c r="AV91" i="2" s="1"/>
  <c r="BE93" i="2"/>
  <c r="BF93" i="2" s="1"/>
  <c r="AP91" i="2"/>
  <c r="AQ91" i="2" s="1"/>
  <c r="AZ82" i="2"/>
  <c r="BA82" i="2" s="1"/>
  <c r="CE79" i="2"/>
  <c r="AE86" i="2"/>
  <c r="CA86" i="2"/>
  <c r="BO90" i="2"/>
  <c r="BP90" i="2" s="1"/>
  <c r="AP90" i="2"/>
  <c r="AQ90" i="2"/>
  <c r="AV82" i="2"/>
  <c r="AU82" i="2"/>
  <c r="BK79" i="2"/>
  <c r="BJ79" i="2"/>
  <c r="AV86" i="2"/>
  <c r="AU86" i="2"/>
  <c r="AK78" i="2"/>
  <c r="AL78" i="2" s="1"/>
  <c r="AV85" i="2"/>
  <c r="AU85" i="2"/>
  <c r="AU89" i="2"/>
  <c r="AV89" i="2" s="1"/>
  <c r="BU84" i="2"/>
  <c r="BT84" i="2"/>
  <c r="BO77" i="2"/>
  <c r="BP77" i="2" s="1"/>
  <c r="BP75" i="2"/>
  <c r="BO75" i="2"/>
  <c r="BZ67" i="2"/>
  <c r="BY67" i="2"/>
  <c r="AE66" i="2"/>
  <c r="CA66" i="2"/>
  <c r="BE66" i="2"/>
  <c r="BF66" i="2"/>
  <c r="BU74" i="2"/>
  <c r="BT74" i="2"/>
  <c r="BK73" i="2"/>
  <c r="BJ73" i="2"/>
  <c r="AQ71" i="2"/>
  <c r="AP71" i="2"/>
  <c r="BJ83" i="2"/>
  <c r="BK83" i="2" s="1"/>
  <c r="AV81" i="2"/>
  <c r="AU81" i="2"/>
  <c r="CA72" i="2"/>
  <c r="AU69" i="2"/>
  <c r="AV69" i="2"/>
  <c r="AU63" i="2"/>
  <c r="AV63" i="2" s="1"/>
  <c r="BJ63" i="2"/>
  <c r="BK63" i="2" s="1"/>
  <c r="AU62" i="2"/>
  <c r="AV62" i="2"/>
  <c r="BT52" i="2"/>
  <c r="BU52" i="2"/>
  <c r="AP61" i="2"/>
  <c r="AQ61" i="2" s="1"/>
  <c r="BJ50" i="2"/>
  <c r="BK50" i="2" s="1"/>
  <c r="AK70" i="2"/>
  <c r="AL70" i="2"/>
  <c r="BO70" i="2"/>
  <c r="BP70" i="2"/>
  <c r="BT51" i="2"/>
  <c r="BU51" i="2"/>
  <c r="AP62" i="2"/>
  <c r="AQ62" i="2" s="1"/>
  <c r="AK65" i="2"/>
  <c r="AL65" i="2"/>
  <c r="BT62" i="2"/>
  <c r="BU62" i="2"/>
  <c r="BT58" i="2"/>
  <c r="BU58" i="2" s="1"/>
  <c r="AP56" i="2"/>
  <c r="AQ56" i="2"/>
  <c r="AK88" i="2"/>
  <c r="AL88" i="2" s="1"/>
  <c r="BJ88" i="2"/>
  <c r="BK88" i="2" s="1"/>
  <c r="AU60" i="2"/>
  <c r="AV60" i="2" s="1"/>
  <c r="BJ60" i="2"/>
  <c r="BK60" i="2"/>
  <c r="AE49" i="2"/>
  <c r="CA49" i="2"/>
  <c r="AU61" i="2"/>
  <c r="AV61" i="2" s="1"/>
  <c r="AU57" i="2"/>
  <c r="AV57" i="2"/>
  <c r="AU46" i="2"/>
  <c r="AV46" i="2" s="1"/>
  <c r="AP41" i="2"/>
  <c r="AQ41" i="2" s="1"/>
  <c r="BJ46" i="2"/>
  <c r="BK46" i="2"/>
  <c r="BO55" i="2"/>
  <c r="BP55" i="2" s="1"/>
  <c r="BT54" i="2"/>
  <c r="BU54" i="2" s="1"/>
  <c r="CA64" i="2"/>
  <c r="BZ53" i="2"/>
  <c r="BY53" i="2"/>
  <c r="BJ34" i="2"/>
  <c r="BK34" i="2" s="1"/>
  <c r="AU29" i="2"/>
  <c r="AV29" i="2" s="1"/>
  <c r="AV23" i="2"/>
  <c r="AU23" i="2"/>
  <c r="BF31" i="2"/>
  <c r="BE31" i="2"/>
  <c r="BZ30" i="2"/>
  <c r="BY30" i="2"/>
  <c r="AK27" i="2"/>
  <c r="AL27" i="2" s="1"/>
  <c r="BY24" i="2"/>
  <c r="BZ24" i="2" s="1"/>
  <c r="BU40" i="2"/>
  <c r="BT40" i="2"/>
  <c r="AL39" i="2"/>
  <c r="AK39" i="2"/>
  <c r="BO14" i="2"/>
  <c r="BP14" i="2"/>
  <c r="AU10" i="2"/>
  <c r="AV10" i="2" s="1"/>
  <c r="CA38" i="2"/>
  <c r="AE38" i="2"/>
  <c r="BO38" i="2"/>
  <c r="BP38" i="2" s="1"/>
  <c r="BY37" i="2"/>
  <c r="BZ37" i="2"/>
  <c r="AU36" i="2"/>
  <c r="AV36" i="2" s="1"/>
  <c r="BJ36" i="2"/>
  <c r="BK36" i="2" s="1"/>
  <c r="AV35" i="2"/>
  <c r="AU35" i="2"/>
  <c r="BO47" i="2"/>
  <c r="BP47" i="2" s="1"/>
  <c r="BZ47" i="2"/>
  <c r="BY47" i="2"/>
  <c r="BE33" i="2"/>
  <c r="BF33" i="2" s="1"/>
  <c r="BU33" i="2"/>
  <c r="BT33" i="2"/>
  <c r="AP32" i="2"/>
  <c r="AQ32" i="2"/>
  <c r="BK28" i="2"/>
  <c r="BJ28" i="2"/>
  <c r="BF40" i="2"/>
  <c r="BE40" i="2"/>
  <c r="BA18" i="2"/>
  <c r="AZ18" i="2"/>
  <c r="BT10" i="2"/>
  <c r="BU10" i="2" s="1"/>
  <c r="BY49" i="1"/>
  <c r="BZ49" i="1" s="1"/>
  <c r="AU45" i="1"/>
  <c r="AV45" i="1" s="1"/>
  <c r="AL19" i="2"/>
  <c r="AK19" i="2"/>
  <c r="CA31" i="2"/>
  <c r="AK15" i="2"/>
  <c r="AL15" i="2" s="1"/>
  <c r="AU5" i="2"/>
  <c r="AV5" i="2" s="1"/>
  <c r="AP2" i="2"/>
  <c r="AQ2" i="2"/>
  <c r="BE20" i="2"/>
  <c r="BF20" i="2" s="1"/>
  <c r="BY20" i="2"/>
  <c r="BZ20" i="2"/>
  <c r="BE8" i="2"/>
  <c r="BF8" i="2" s="1"/>
  <c r="BT8" i="2"/>
  <c r="BU8" i="2"/>
  <c r="BT4" i="2"/>
  <c r="BU4" i="2"/>
  <c r="AK21" i="2"/>
  <c r="AL21" i="2" s="1"/>
  <c r="BJ21" i="2"/>
  <c r="BK21" i="2" s="1"/>
  <c r="BJ19" i="2"/>
  <c r="BK19" i="2"/>
  <c r="AU13" i="2"/>
  <c r="AV13" i="2"/>
  <c r="AZ7" i="2"/>
  <c r="BA7" i="2" s="1"/>
  <c r="AU22" i="2"/>
  <c r="AV22" i="2" s="1"/>
  <c r="AU16" i="2"/>
  <c r="AV16" i="2" s="1"/>
  <c r="BJ16" i="2"/>
  <c r="BK16" i="2"/>
  <c r="AK9" i="2"/>
  <c r="AL9" i="2"/>
  <c r="CA5" i="2"/>
  <c r="AE5" i="2"/>
  <c r="AP43" i="1"/>
  <c r="AQ43" i="1" s="1"/>
  <c r="BE11" i="2"/>
  <c r="BF11" i="2" s="1"/>
  <c r="AZ11" i="2"/>
  <c r="BA11" i="2"/>
  <c r="AP3" i="2"/>
  <c r="AQ3" i="2" s="1"/>
  <c r="BE48" i="1"/>
  <c r="BF48" i="1" s="1"/>
  <c r="BT48" i="1"/>
  <c r="BU48" i="1"/>
  <c r="BJ37" i="1"/>
  <c r="BK37" i="1" s="1"/>
  <c r="BJ29" i="1"/>
  <c r="BK29" i="1" s="1"/>
  <c r="AU50" i="1"/>
  <c r="AV50" i="1"/>
  <c r="BE46" i="1"/>
  <c r="BF46" i="1"/>
  <c r="AE44" i="1"/>
  <c r="CA44" i="1"/>
  <c r="AU41" i="1"/>
  <c r="AV41" i="1" s="1"/>
  <c r="AZ36" i="1"/>
  <c r="BA36" i="1" s="1"/>
  <c r="BT28" i="1"/>
  <c r="BU28" i="1" s="1"/>
  <c r="BO31" i="1"/>
  <c r="BP31" i="1" s="1"/>
  <c r="BJ35" i="1"/>
  <c r="BK35" i="1" s="1"/>
  <c r="AP30" i="1"/>
  <c r="AQ30" i="1" s="1"/>
  <c r="AU26" i="1"/>
  <c r="AV26" i="1" s="1"/>
  <c r="CA18" i="1"/>
  <c r="AE18" i="1"/>
  <c r="BO15" i="1"/>
  <c r="BP15" i="1"/>
  <c r="AZ6" i="1"/>
  <c r="BA6" i="1" s="1"/>
  <c r="AK4" i="1"/>
  <c r="AL4" i="1" s="1"/>
  <c r="AK11" i="1"/>
  <c r="AL11" i="1"/>
  <c r="AP38" i="1"/>
  <c r="AQ38" i="1" s="1"/>
  <c r="CA27" i="1"/>
  <c r="AV22" i="1"/>
  <c r="AU22" i="1"/>
  <c r="BJ21" i="1"/>
  <c r="BK21" i="1" s="1"/>
  <c r="AE34" i="1"/>
  <c r="CA34" i="1"/>
  <c r="BZ33" i="1"/>
  <c r="BY33" i="1"/>
  <c r="BU24" i="1"/>
  <c r="BT24" i="1"/>
  <c r="BJ16" i="1"/>
  <c r="BK16" i="1" s="1"/>
  <c r="BT13" i="1"/>
  <c r="BU13" i="1" s="1"/>
  <c r="AE7" i="1"/>
  <c r="CA7" i="1"/>
  <c r="BK3" i="1"/>
  <c r="BJ3" i="1"/>
  <c r="BO19" i="1"/>
  <c r="BP19" i="1" s="1"/>
  <c r="AV36" i="1"/>
  <c r="AU36" i="1"/>
  <c r="BE16" i="1"/>
  <c r="BF16" i="1" s="1"/>
  <c r="BY6" i="1"/>
  <c r="BZ6" i="1" s="1"/>
  <c r="AP4" i="1"/>
  <c r="AQ4" i="1" s="1"/>
  <c r="CA10" i="1"/>
  <c r="AE10" i="1"/>
  <c r="AK37" i="1"/>
  <c r="AL37" i="1" s="1"/>
  <c r="AK24" i="1"/>
  <c r="AL24" i="1" s="1"/>
  <c r="AE17" i="1"/>
  <c r="CA17" i="1"/>
  <c r="AZ5" i="1"/>
  <c r="BA5" i="1" s="1"/>
  <c r="AK3" i="1"/>
  <c r="AL3" i="1" s="1"/>
  <c r="CA12" i="1"/>
  <c r="AP23" i="1"/>
  <c r="AQ23" i="1" s="1"/>
  <c r="CB19" i="1"/>
  <c r="AF19" i="1"/>
  <c r="AU14" i="1"/>
  <c r="AV14" i="1" s="1"/>
  <c r="AU125" i="2"/>
  <c r="AV125" i="2" s="1"/>
  <c r="BJ126" i="2"/>
  <c r="BK126" i="2" s="1"/>
  <c r="BY109" i="2"/>
  <c r="BZ109" i="2"/>
  <c r="CD118" i="2"/>
  <c r="CE118" i="2"/>
  <c r="BY111" i="2"/>
  <c r="BZ111" i="2"/>
  <c r="BY106" i="2"/>
  <c r="BZ106" i="2"/>
  <c r="AP112" i="2"/>
  <c r="AQ112" i="2"/>
  <c r="BY112" i="2"/>
  <c r="BZ112" i="2"/>
  <c r="BY108" i="2"/>
  <c r="BZ108" i="2"/>
  <c r="BY100" i="2"/>
  <c r="BZ100" i="2"/>
  <c r="CA103" i="2"/>
  <c r="AE103" i="2"/>
  <c r="BO103" i="2"/>
  <c r="BP103" i="2"/>
  <c r="AZ97" i="2"/>
  <c r="BA97" i="2"/>
  <c r="AZ105" i="2"/>
  <c r="BA105" i="2"/>
  <c r="AK107" i="2"/>
  <c r="AL107" i="2"/>
  <c r="AZ107" i="2"/>
  <c r="BA107" i="2" s="1"/>
  <c r="BT99" i="2"/>
  <c r="BU99" i="2"/>
  <c r="BT98" i="2"/>
  <c r="BU98" i="2"/>
  <c r="AK113" i="2"/>
  <c r="AL113" i="2"/>
  <c r="BJ87" i="2"/>
  <c r="BK87" i="2" s="1"/>
  <c r="BJ106" i="2"/>
  <c r="BK106" i="2"/>
  <c r="BY94" i="2"/>
  <c r="BZ94" i="2"/>
  <c r="AP92" i="2"/>
  <c r="AQ92" i="2"/>
  <c r="BY92" i="2"/>
  <c r="BZ92" i="2"/>
  <c r="BO101" i="2"/>
  <c r="BP101" i="2"/>
  <c r="AK95" i="2"/>
  <c r="AL95" i="2"/>
  <c r="AZ95" i="2"/>
  <c r="BA95" i="2"/>
  <c r="CA96" i="2"/>
  <c r="AE96" i="2"/>
  <c r="BO96" i="2"/>
  <c r="BP96" i="2"/>
  <c r="BO93" i="2"/>
  <c r="BP93" i="2"/>
  <c r="AZ91" i="2"/>
  <c r="BA91" i="2"/>
  <c r="AK87" i="2"/>
  <c r="AL87" i="2"/>
  <c r="AZ75" i="2"/>
  <c r="BA75" i="2"/>
  <c r="BJ85" i="2"/>
  <c r="BK85" i="2"/>
  <c r="AU90" i="2"/>
  <c r="AV90" i="2"/>
  <c r="AZ90" i="2"/>
  <c r="BA90" i="2" s="1"/>
  <c r="BE82" i="2"/>
  <c r="BF82" i="2" s="1"/>
  <c r="BJ78" i="2"/>
  <c r="BK78" i="2" s="1"/>
  <c r="BE86" i="2"/>
  <c r="BF86" i="2" s="1"/>
  <c r="AU77" i="2"/>
  <c r="AV77" i="2" s="1"/>
  <c r="BE85" i="2"/>
  <c r="BF85" i="2" s="1"/>
  <c r="AZ85" i="2"/>
  <c r="BA85" i="2"/>
  <c r="CA74" i="2"/>
  <c r="AE74" i="2"/>
  <c r="BO62" i="2"/>
  <c r="BP62" i="2"/>
  <c r="BY54" i="2"/>
  <c r="BZ54" i="2" s="1"/>
  <c r="BJ74" i="2"/>
  <c r="BK74" i="2"/>
  <c r="BT73" i="2"/>
  <c r="BU73" i="2" s="1"/>
  <c r="AK71" i="2"/>
  <c r="AL71" i="2" s="1"/>
  <c r="AZ71" i="2"/>
  <c r="BA71" i="2" s="1"/>
  <c r="AK83" i="2"/>
  <c r="AL83" i="2"/>
  <c r="BT83" i="2"/>
  <c r="BU83" i="2" s="1"/>
  <c r="BE81" i="2"/>
  <c r="BF81" i="2"/>
  <c r="AF72" i="2"/>
  <c r="CB72" i="2"/>
  <c r="AG72" i="2"/>
  <c r="BF69" i="2"/>
  <c r="BE69" i="2"/>
  <c r="BE63" i="2"/>
  <c r="BF63" i="2" s="1"/>
  <c r="BT63" i="2"/>
  <c r="BU63" i="2" s="1"/>
  <c r="AP72" i="2"/>
  <c r="AQ72" i="2"/>
  <c r="BK57" i="2"/>
  <c r="BJ57" i="2"/>
  <c r="BA50" i="2"/>
  <c r="AZ50" i="2"/>
  <c r="AK64" i="2"/>
  <c r="AL64" i="2" s="1"/>
  <c r="CA59" i="2"/>
  <c r="AE59" i="2"/>
  <c r="AL50" i="2"/>
  <c r="AK50" i="2"/>
  <c r="AP70" i="2"/>
  <c r="AQ70" i="2" s="1"/>
  <c r="AK51" i="2"/>
  <c r="AL51" i="2" s="1"/>
  <c r="AU65" i="2"/>
  <c r="AV65" i="2" s="1"/>
  <c r="AE62" i="2"/>
  <c r="CA62" i="2"/>
  <c r="BU57" i="2"/>
  <c r="BT57" i="2"/>
  <c r="AK56" i="2"/>
  <c r="AL56" i="2" s="1"/>
  <c r="AZ56" i="2"/>
  <c r="BA56" i="2"/>
  <c r="BZ88" i="2"/>
  <c r="BY88" i="2"/>
  <c r="BU88" i="2"/>
  <c r="BT88" i="2"/>
  <c r="BF60" i="2"/>
  <c r="BE60" i="2"/>
  <c r="BT60" i="2"/>
  <c r="BU60" i="2"/>
  <c r="BE61" i="2"/>
  <c r="BF61" i="2" s="1"/>
  <c r="BE57" i="2"/>
  <c r="BF57" i="2" s="1"/>
  <c r="AE46" i="2"/>
  <c r="CA46" i="2"/>
  <c r="AK45" i="2"/>
  <c r="AL45" i="2"/>
  <c r="AL55" i="2"/>
  <c r="AK55" i="2"/>
  <c r="CC44" i="2"/>
  <c r="CF44" i="2" s="1"/>
  <c r="CE44" i="2"/>
  <c r="BT43" i="2"/>
  <c r="BU43" i="2" s="1"/>
  <c r="AP53" i="2"/>
  <c r="AQ53" i="2"/>
  <c r="BY52" i="2"/>
  <c r="BZ52" i="2" s="1"/>
  <c r="AU40" i="2"/>
  <c r="AV40" i="2" s="1"/>
  <c r="BT34" i="2"/>
  <c r="BU34" i="2"/>
  <c r="AK28" i="2"/>
  <c r="AL28" i="2"/>
  <c r="BE23" i="2"/>
  <c r="BF23" i="2" s="1"/>
  <c r="AG41" i="2"/>
  <c r="CB41" i="2"/>
  <c r="AF41" i="2"/>
  <c r="BO31" i="2"/>
  <c r="BP31" i="2" s="1"/>
  <c r="BZ29" i="2"/>
  <c r="BY29" i="2"/>
  <c r="AV27" i="2"/>
  <c r="AU27" i="2"/>
  <c r="AK24" i="2"/>
  <c r="AL24" i="2" s="1"/>
  <c r="AK40" i="2"/>
  <c r="AL40" i="2" s="1"/>
  <c r="AV39" i="2"/>
  <c r="AU39" i="2"/>
  <c r="AP27" i="2"/>
  <c r="AQ27" i="2" s="1"/>
  <c r="BY18" i="2"/>
  <c r="BZ18" i="2" s="1"/>
  <c r="BE14" i="2"/>
  <c r="BF14" i="2"/>
  <c r="AK10" i="2"/>
  <c r="AL10" i="2" s="1"/>
  <c r="AP38" i="2"/>
  <c r="AQ38" i="2" s="1"/>
  <c r="BY38" i="2"/>
  <c r="BZ38" i="2" s="1"/>
  <c r="BE36" i="2"/>
  <c r="BF36" i="2"/>
  <c r="BT36" i="2"/>
  <c r="BU36" i="2" s="1"/>
  <c r="BF35" i="2"/>
  <c r="BE35" i="2"/>
  <c r="AL47" i="2"/>
  <c r="AK47" i="2"/>
  <c r="BO33" i="2"/>
  <c r="BP33" i="2"/>
  <c r="AK32" i="2"/>
  <c r="AL32" i="2" s="1"/>
  <c r="AZ32" i="2"/>
  <c r="BA32" i="2" s="1"/>
  <c r="BU28" i="2"/>
  <c r="BT28" i="2"/>
  <c r="AZ31" i="2"/>
  <c r="BA31" i="2"/>
  <c r="AP18" i="2"/>
  <c r="AQ18" i="2" s="1"/>
  <c r="BK10" i="2"/>
  <c r="BJ10" i="2"/>
  <c r="BT9" i="2"/>
  <c r="BU9" i="2" s="1"/>
  <c r="BE3" i="2"/>
  <c r="BF3" i="2" s="1"/>
  <c r="BO49" i="1"/>
  <c r="BP49" i="1" s="1"/>
  <c r="AL45" i="1"/>
  <c r="AK45" i="1"/>
  <c r="CC45" i="1" s="1"/>
  <c r="BU17" i="2"/>
  <c r="BT17" i="2"/>
  <c r="BT13" i="2"/>
  <c r="BU13" i="2" s="1"/>
  <c r="BF5" i="2"/>
  <c r="BE5" i="2"/>
  <c r="AE2" i="2"/>
  <c r="CA2" i="2"/>
  <c r="BO20" i="2"/>
  <c r="BP20" i="2" s="1"/>
  <c r="BE19" i="2"/>
  <c r="BF19" i="2" s="1"/>
  <c r="AE12" i="2"/>
  <c r="CA12" i="2"/>
  <c r="BP8" i="2"/>
  <c r="BO8" i="2"/>
  <c r="BE7" i="2"/>
  <c r="BF7" i="2" s="1"/>
  <c r="BY21" i="2"/>
  <c r="BZ21" i="2" s="1"/>
  <c r="BU21" i="2"/>
  <c r="BT21" i="2"/>
  <c r="BT19" i="2"/>
  <c r="BU19" i="2" s="1"/>
  <c r="BE13" i="2"/>
  <c r="BF13" i="2" s="1"/>
  <c r="BJ7" i="2"/>
  <c r="BK7" i="2" s="1"/>
  <c r="BZ2" i="2"/>
  <c r="BY2" i="2"/>
  <c r="BZ22" i="2"/>
  <c r="BY22" i="2"/>
  <c r="BF16" i="2"/>
  <c r="BE16" i="2"/>
  <c r="BT16" i="2"/>
  <c r="BU16" i="2"/>
  <c r="AU9" i="2"/>
  <c r="AV9" i="2" s="1"/>
  <c r="AL4" i="2"/>
  <c r="AK4" i="2"/>
  <c r="BA43" i="1"/>
  <c r="AZ43" i="1"/>
  <c r="BY11" i="2"/>
  <c r="BZ11" i="2" s="1"/>
  <c r="BJ11" i="2"/>
  <c r="BK11" i="2" s="1"/>
  <c r="BA3" i="2"/>
  <c r="AZ3" i="2"/>
  <c r="BP48" i="1"/>
  <c r="BO48" i="1"/>
  <c r="CA45" i="1"/>
  <c r="AZ37" i="1"/>
  <c r="BA37" i="1" s="1"/>
  <c r="AZ29" i="1"/>
  <c r="BA29" i="1" s="1"/>
  <c r="BE50" i="1"/>
  <c r="BF50" i="1"/>
  <c r="AP49" i="1"/>
  <c r="AQ49" i="1" s="1"/>
  <c r="CA46" i="1"/>
  <c r="AE46" i="1"/>
  <c r="BO46" i="1"/>
  <c r="BP46" i="1"/>
  <c r="AP44" i="1"/>
  <c r="AQ44" i="1"/>
  <c r="BE41" i="1"/>
  <c r="BF41" i="1" s="1"/>
  <c r="CA47" i="1"/>
  <c r="AE47" i="1"/>
  <c r="AP36" i="1"/>
  <c r="AQ36" i="1" s="1"/>
  <c r="BJ28" i="1"/>
  <c r="BK28" i="1" s="1"/>
  <c r="BY31" i="1"/>
  <c r="BZ31" i="1" s="1"/>
  <c r="BT35" i="1"/>
  <c r="BU35" i="1" s="1"/>
  <c r="BE26" i="1"/>
  <c r="BF26" i="1" s="1"/>
  <c r="BY15" i="1"/>
  <c r="BZ15" i="1" s="1"/>
  <c r="AP6" i="1"/>
  <c r="AQ6" i="1" s="1"/>
  <c r="BT2" i="1"/>
  <c r="BU2" i="1" s="1"/>
  <c r="BY10" i="1"/>
  <c r="BZ10" i="1" s="1"/>
  <c r="BE38" i="1"/>
  <c r="BF38" i="1"/>
  <c r="BE22" i="1"/>
  <c r="BF22" i="1" s="1"/>
  <c r="BT21" i="1"/>
  <c r="BU21" i="1" s="1"/>
  <c r="AK34" i="1"/>
  <c r="AL34" i="1" s="1"/>
  <c r="AP34" i="1"/>
  <c r="AQ34" i="1" s="1"/>
  <c r="BT31" i="1"/>
  <c r="BU31" i="1" s="1"/>
  <c r="AF22" i="1"/>
  <c r="CB22" i="1"/>
  <c r="AV16" i="1"/>
  <c r="AU16" i="1"/>
  <c r="BK12" i="1"/>
  <c r="BJ12" i="1"/>
  <c r="AZ3" i="1"/>
  <c r="BA3" i="1" s="1"/>
  <c r="BZ19" i="1"/>
  <c r="BY19" i="1"/>
  <c r="BF36" i="1"/>
  <c r="BE36" i="1"/>
  <c r="AG26" i="1"/>
  <c r="AE16" i="1"/>
  <c r="CA16" i="1"/>
  <c r="BE11" i="1"/>
  <c r="BF11" i="1"/>
  <c r="BO6" i="1"/>
  <c r="BP6" i="1" s="1"/>
  <c r="AE4" i="1"/>
  <c r="CA4" i="1"/>
  <c r="AP10" i="1"/>
  <c r="AQ10" i="1" s="1"/>
  <c r="AU37" i="1"/>
  <c r="AV37" i="1" s="1"/>
  <c r="AP17" i="1"/>
  <c r="AQ17" i="1" s="1"/>
  <c r="AP5" i="1"/>
  <c r="AQ5" i="1" s="1"/>
  <c r="BJ23" i="1"/>
  <c r="BK23" i="1" s="1"/>
  <c r="CA19" i="1"/>
  <c r="BU14" i="1"/>
  <c r="BT14" i="1"/>
  <c r="AV123" i="2"/>
  <c r="AU123" i="2"/>
  <c r="AU110" i="2"/>
  <c r="AV110" i="2" s="1"/>
  <c r="AK125" i="2"/>
  <c r="AL125" i="2" s="1"/>
  <c r="BO110" i="2"/>
  <c r="BP110" i="2" s="1"/>
  <c r="CC117" i="2"/>
  <c r="CF117" i="2" s="1"/>
  <c r="BJ108" i="2"/>
  <c r="BK108" i="2"/>
  <c r="AU108" i="2"/>
  <c r="AV108" i="2"/>
  <c r="AG121" i="2"/>
  <c r="AZ109" i="2"/>
  <c r="BA109" i="2" s="1"/>
  <c r="AG118" i="2"/>
  <c r="BY110" i="2"/>
  <c r="BZ110" i="2"/>
  <c r="CE117" i="2"/>
  <c r="AK106" i="2"/>
  <c r="AL106" i="2"/>
  <c r="AZ112" i="2"/>
  <c r="BA112" i="2"/>
  <c r="CC123" i="2"/>
  <c r="CF123" i="2" s="1"/>
  <c r="AZ104" i="2"/>
  <c r="BA104" i="2" s="1"/>
  <c r="AP103" i="2"/>
  <c r="AQ103" i="2"/>
  <c r="BZ103" i="2"/>
  <c r="BY103" i="2"/>
  <c r="BJ97" i="2"/>
  <c r="BK97" i="2" s="1"/>
  <c r="CA105" i="2"/>
  <c r="AE105" i="2"/>
  <c r="AE104" i="2"/>
  <c r="CA104" i="2"/>
  <c r="AV107" i="2"/>
  <c r="AU107" i="2"/>
  <c r="BK107" i="2"/>
  <c r="BJ107" i="2"/>
  <c r="AK99" i="2"/>
  <c r="AL99" i="2" s="1"/>
  <c r="AP104" i="2"/>
  <c r="AQ104" i="2"/>
  <c r="CA102" i="2"/>
  <c r="AE102" i="2"/>
  <c r="AU113" i="2"/>
  <c r="AV113" i="2" s="1"/>
  <c r="BA87" i="2"/>
  <c r="AZ87" i="2"/>
  <c r="AP106" i="2"/>
  <c r="AQ106" i="2"/>
  <c r="AZ92" i="2"/>
  <c r="BA92" i="2" s="1"/>
  <c r="BY101" i="2"/>
  <c r="BZ101" i="2" s="1"/>
  <c r="AU95" i="2"/>
  <c r="AV95" i="2" s="1"/>
  <c r="BJ95" i="2"/>
  <c r="BK95" i="2"/>
  <c r="AP96" i="2"/>
  <c r="AQ96" i="2" s="1"/>
  <c r="BY96" i="2"/>
  <c r="BZ96" i="2" s="1"/>
  <c r="BY93" i="2"/>
  <c r="BZ93" i="2" s="1"/>
  <c r="BJ91" i="2"/>
  <c r="BK91" i="2"/>
  <c r="AU87" i="2"/>
  <c r="AV87" i="2" s="1"/>
  <c r="BZ78" i="2"/>
  <c r="BY78" i="2"/>
  <c r="AP78" i="2"/>
  <c r="AQ78" i="2" s="1"/>
  <c r="AP85" i="2"/>
  <c r="AQ85" i="2"/>
  <c r="BK90" i="2"/>
  <c r="BJ90" i="2"/>
  <c r="BP82" i="2"/>
  <c r="BO82" i="2"/>
  <c r="BU77" i="2"/>
  <c r="BT77" i="2"/>
  <c r="BO86" i="2"/>
  <c r="BP86" i="2" s="1"/>
  <c r="AL76" i="2"/>
  <c r="AK76" i="2"/>
  <c r="BP85" i="2"/>
  <c r="BO85" i="2"/>
  <c r="AE85" i="2"/>
  <c r="CA85" i="2"/>
  <c r="CA80" i="2"/>
  <c r="AE80" i="2"/>
  <c r="BY68" i="2"/>
  <c r="BZ68" i="2" s="1"/>
  <c r="CA67" i="2"/>
  <c r="AE67" i="2"/>
  <c r="BP54" i="2"/>
  <c r="BO54" i="2"/>
  <c r="BO74" i="2"/>
  <c r="BP74" i="2" s="1"/>
  <c r="BA74" i="2"/>
  <c r="AZ74" i="2"/>
  <c r="AL73" i="2"/>
  <c r="AK73" i="2"/>
  <c r="AV71" i="2"/>
  <c r="AU71" i="2"/>
  <c r="BJ71" i="2"/>
  <c r="BK71" i="2" s="1"/>
  <c r="BE83" i="2"/>
  <c r="BF83" i="2" s="1"/>
  <c r="BJ81" i="2"/>
  <c r="BK81" i="2" s="1"/>
  <c r="BP81" i="2"/>
  <c r="BO81" i="2"/>
  <c r="CA69" i="2"/>
  <c r="AE69" i="2"/>
  <c r="BP69" i="2"/>
  <c r="BO69" i="2"/>
  <c r="BP63" i="2"/>
  <c r="BO63" i="2"/>
  <c r="BU82" i="2"/>
  <c r="BT82" i="2"/>
  <c r="AZ72" i="2"/>
  <c r="BA72" i="2"/>
  <c r="AQ57" i="2"/>
  <c r="AP57" i="2"/>
  <c r="AZ49" i="2"/>
  <c r="BA49" i="2" s="1"/>
  <c r="BE64" i="2"/>
  <c r="BF64" i="2" s="1"/>
  <c r="AP59" i="2"/>
  <c r="AQ59" i="2"/>
  <c r="AV50" i="2"/>
  <c r="AU50" i="2"/>
  <c r="BE70" i="2"/>
  <c r="BF70" i="2" s="1"/>
  <c r="BT49" i="2"/>
  <c r="BU49" i="2" s="1"/>
  <c r="BE65" i="2"/>
  <c r="BF65" i="2" s="1"/>
  <c r="BY62" i="2"/>
  <c r="BZ62" i="2" s="1"/>
  <c r="BA57" i="2"/>
  <c r="AZ57" i="2"/>
  <c r="AV56" i="2"/>
  <c r="AU56" i="2"/>
  <c r="BJ56" i="2"/>
  <c r="BK56" i="2"/>
  <c r="AV88" i="2"/>
  <c r="AU88" i="2"/>
  <c r="BP60" i="2"/>
  <c r="BO60" i="2"/>
  <c r="BO61" i="2"/>
  <c r="BP61" i="2" s="1"/>
  <c r="BO57" i="2"/>
  <c r="BP57" i="2"/>
  <c r="BP45" i="2"/>
  <c r="BO45" i="2"/>
  <c r="BF55" i="2"/>
  <c r="BE55" i="2"/>
  <c r="AQ46" i="2"/>
  <c r="AP46" i="2"/>
  <c r="AG44" i="2"/>
  <c r="AE43" i="2"/>
  <c r="CA43" i="2"/>
  <c r="CA53" i="2"/>
  <c r="AE53" i="2"/>
  <c r="BO52" i="2"/>
  <c r="BP52" i="2" s="1"/>
  <c r="AK34" i="2"/>
  <c r="AL34" i="2"/>
  <c r="BJ27" i="2"/>
  <c r="BK27" i="2" s="1"/>
  <c r="BO23" i="2"/>
  <c r="BP23" i="2" s="1"/>
  <c r="CA41" i="2"/>
  <c r="BZ31" i="2"/>
  <c r="BY31" i="2"/>
  <c r="CA29" i="2"/>
  <c r="AE29" i="2"/>
  <c r="BF27" i="2"/>
  <c r="BE27" i="2"/>
  <c r="BF39" i="2"/>
  <c r="BE39" i="2"/>
  <c r="AP26" i="2"/>
  <c r="AQ26" i="2" s="1"/>
  <c r="BO18" i="2"/>
  <c r="BP18" i="2"/>
  <c r="AU14" i="2"/>
  <c r="AV14" i="2" s="1"/>
  <c r="AZ38" i="2"/>
  <c r="BA38" i="2" s="1"/>
  <c r="CA37" i="2"/>
  <c r="AE37" i="2"/>
  <c r="BO36" i="2"/>
  <c r="BP36" i="2"/>
  <c r="CA35" i="2"/>
  <c r="AE35" i="2"/>
  <c r="BP35" i="2"/>
  <c r="BO35" i="2"/>
  <c r="BA47" i="2"/>
  <c r="AZ47" i="2"/>
  <c r="BY33" i="2"/>
  <c r="BZ33" i="2"/>
  <c r="AU32" i="2"/>
  <c r="AV32" i="2" s="1"/>
  <c r="BJ32" i="2"/>
  <c r="BK32" i="2" s="1"/>
  <c r="CA25" i="2"/>
  <c r="AE25" i="2"/>
  <c r="CB42" i="2"/>
  <c r="AF42" i="2"/>
  <c r="CC42" i="2" s="1"/>
  <c r="CF42" i="2" s="1"/>
  <c r="BT30" i="2"/>
  <c r="BU30" i="2"/>
  <c r="CA18" i="2"/>
  <c r="AE18" i="2"/>
  <c r="AZ10" i="2"/>
  <c r="BA10" i="2" s="1"/>
  <c r="AU24" i="2"/>
  <c r="AV24" i="2"/>
  <c r="AK6" i="2"/>
  <c r="AL6" i="2"/>
  <c r="AU3" i="2"/>
  <c r="AV3" i="2" s="1"/>
  <c r="BE49" i="1"/>
  <c r="BF49" i="1"/>
  <c r="AU7" i="2"/>
  <c r="AV7" i="2"/>
  <c r="AZ13" i="2"/>
  <c r="BA13" i="2" s="1"/>
  <c r="BO5" i="2"/>
  <c r="BP5" i="2" s="1"/>
  <c r="AE20" i="2"/>
  <c r="CA20" i="2"/>
  <c r="AP12" i="2"/>
  <c r="AQ12" i="2"/>
  <c r="BY8" i="2"/>
  <c r="BZ8" i="2" s="1"/>
  <c r="AU21" i="2"/>
  <c r="AV21" i="2" s="1"/>
  <c r="BO13" i="2"/>
  <c r="BP13" i="2"/>
  <c r="BT7" i="2"/>
  <c r="BU7" i="2" s="1"/>
  <c r="BO2" i="2"/>
  <c r="BP2" i="2" s="1"/>
  <c r="BO22" i="2"/>
  <c r="BP22" i="2" s="1"/>
  <c r="BO16" i="2"/>
  <c r="BP16" i="2" s="1"/>
  <c r="CA15" i="2"/>
  <c r="AE15" i="2"/>
  <c r="BE9" i="2"/>
  <c r="BF9" i="2"/>
  <c r="BJ43" i="1"/>
  <c r="BK43" i="1" s="1"/>
  <c r="AU11" i="2"/>
  <c r="AV11" i="2" s="1"/>
  <c r="BT11" i="2"/>
  <c r="BU11" i="2"/>
  <c r="BJ3" i="2"/>
  <c r="BK3" i="2" s="1"/>
  <c r="BY48" i="1"/>
  <c r="BZ48" i="1" s="1"/>
  <c r="BJ42" i="1"/>
  <c r="BK42" i="1" s="1"/>
  <c r="AP37" i="1"/>
  <c r="AQ37" i="1" s="1"/>
  <c r="AP29" i="1"/>
  <c r="AQ29" i="1" s="1"/>
  <c r="CA50" i="1"/>
  <c r="AE50" i="1"/>
  <c r="BO50" i="1"/>
  <c r="BP50" i="1"/>
  <c r="AZ39" i="1"/>
  <c r="BA39" i="1" s="1"/>
  <c r="CA17" i="2"/>
  <c r="AQ46" i="1"/>
  <c r="AP46" i="1"/>
  <c r="BY46" i="1"/>
  <c r="BZ46" i="1" s="1"/>
  <c r="AZ44" i="1"/>
  <c r="BA44" i="1"/>
  <c r="BZ39" i="1"/>
  <c r="BY39" i="1"/>
  <c r="BU49" i="1"/>
  <c r="BT49" i="1"/>
  <c r="BP41" i="1"/>
  <c r="BO41" i="1"/>
  <c r="AP47" i="1"/>
  <c r="AQ47" i="1"/>
  <c r="AQ42" i="1"/>
  <c r="AP42" i="1"/>
  <c r="AE36" i="1"/>
  <c r="CA36" i="1"/>
  <c r="BA28" i="1"/>
  <c r="AZ28" i="1"/>
  <c r="AK35" i="1"/>
  <c r="AL35" i="1" s="1"/>
  <c r="AL27" i="1"/>
  <c r="AK27" i="1"/>
  <c r="CC27" i="1" s="1"/>
  <c r="CF27" i="1" s="1"/>
  <c r="BP26" i="1"/>
  <c r="BO26" i="1"/>
  <c r="BF17" i="1"/>
  <c r="BE17" i="1"/>
  <c r="AE6" i="1"/>
  <c r="CA6" i="1"/>
  <c r="BK2" i="1"/>
  <c r="BJ2" i="1"/>
  <c r="AV38" i="1"/>
  <c r="AU38" i="1"/>
  <c r="CA38" i="1"/>
  <c r="AE38" i="1"/>
  <c r="CA26" i="1"/>
  <c r="BO22" i="1"/>
  <c r="BP22" i="1" s="1"/>
  <c r="BT19" i="1"/>
  <c r="BU19" i="1"/>
  <c r="AU34" i="1"/>
  <c r="AV34" i="1" s="1"/>
  <c r="AZ34" i="1"/>
  <c r="BA34" i="1" s="1"/>
  <c r="AE31" i="1"/>
  <c r="CA31" i="1"/>
  <c r="BO24" i="1"/>
  <c r="BP24" i="1" s="1"/>
  <c r="BO14" i="1"/>
  <c r="BP14" i="1" s="1"/>
  <c r="BT11" i="1"/>
  <c r="BU11" i="1" s="1"/>
  <c r="BY5" i="1"/>
  <c r="BZ5" i="1" s="1"/>
  <c r="AP3" i="1"/>
  <c r="AQ3" i="1" s="1"/>
  <c r="BO36" i="1"/>
  <c r="BP36" i="1" s="1"/>
  <c r="BJ30" i="1"/>
  <c r="BK30" i="1" s="1"/>
  <c r="AF15" i="1"/>
  <c r="CC15" i="1" s="1"/>
  <c r="CF15" i="1" s="1"/>
  <c r="CB15" i="1"/>
  <c r="CA11" i="1"/>
  <c r="AE11" i="1"/>
  <c r="BF6" i="1"/>
  <c r="BE6" i="1"/>
  <c r="AZ10" i="1"/>
  <c r="BA10" i="1" s="1"/>
  <c r="BF37" i="1"/>
  <c r="BE37" i="1"/>
  <c r="AE25" i="1"/>
  <c r="CA25" i="1"/>
  <c r="BA17" i="1"/>
  <c r="AZ17" i="1"/>
  <c r="BY7" i="1"/>
  <c r="BZ7" i="1" s="1"/>
  <c r="AE5" i="1"/>
  <c r="CA5" i="1"/>
  <c r="AG9" i="1"/>
  <c r="AK23" i="1"/>
  <c r="AL23" i="1" s="1"/>
  <c r="BJ110" i="2"/>
  <c r="BK110" i="2"/>
  <c r="BJ125" i="2"/>
  <c r="BK125" i="2" s="1"/>
  <c r="AP109" i="2"/>
  <c r="AQ109" i="2"/>
  <c r="AZ126" i="2"/>
  <c r="BA126" i="2" s="1"/>
  <c r="AP126" i="2"/>
  <c r="AQ126" i="2" s="1"/>
  <c r="AU121" i="2"/>
  <c r="CC121" i="2" s="1"/>
  <c r="CA124" i="2"/>
  <c r="BT108" i="2"/>
  <c r="BU108" i="2" s="1"/>
  <c r="AG117" i="2"/>
  <c r="CA111" i="2"/>
  <c r="AE111" i="2"/>
  <c r="BJ112" i="2"/>
  <c r="BK112" i="2" s="1"/>
  <c r="BO108" i="2"/>
  <c r="BP108" i="2" s="1"/>
  <c r="CB123" i="2"/>
  <c r="BY98" i="2"/>
  <c r="BZ98" i="2"/>
  <c r="AZ103" i="2"/>
  <c r="BA103" i="2"/>
  <c r="BT97" i="2"/>
  <c r="BU97" i="2" s="1"/>
  <c r="AP105" i="2"/>
  <c r="AQ105" i="2" s="1"/>
  <c r="BO102" i="2"/>
  <c r="BP102" i="2"/>
  <c r="BE107" i="2"/>
  <c r="BF107" i="2"/>
  <c r="BT107" i="2"/>
  <c r="BU107" i="2" s="1"/>
  <c r="AU99" i="2"/>
  <c r="AV99" i="2" s="1"/>
  <c r="AK104" i="2"/>
  <c r="AL104" i="2"/>
  <c r="AP102" i="2"/>
  <c r="AQ102" i="2"/>
  <c r="BE113" i="2"/>
  <c r="BF113" i="2"/>
  <c r="BE91" i="2"/>
  <c r="BF91" i="2"/>
  <c r="BJ100" i="2"/>
  <c r="BK100" i="2"/>
  <c r="AP87" i="2"/>
  <c r="AQ87" i="2" s="1"/>
  <c r="AF100" i="2"/>
  <c r="CC100" i="2" s="1"/>
  <c r="CF100" i="2" s="1"/>
  <c r="CB100" i="2"/>
  <c r="CA94" i="2"/>
  <c r="AE94" i="2"/>
  <c r="BJ92" i="2"/>
  <c r="BK92" i="2"/>
  <c r="BE95" i="2"/>
  <c r="BF95" i="2" s="1"/>
  <c r="BT95" i="2"/>
  <c r="BU95" i="2" s="1"/>
  <c r="AZ96" i="2"/>
  <c r="BA96" i="2" s="1"/>
  <c r="BT91" i="2"/>
  <c r="BU91" i="2"/>
  <c r="CC79" i="2"/>
  <c r="CF79" i="2" s="1"/>
  <c r="AG79" i="2"/>
  <c r="BE87" i="2"/>
  <c r="BF87" i="2" s="1"/>
  <c r="AE78" i="2"/>
  <c r="CA78" i="2"/>
  <c r="AZ77" i="2"/>
  <c r="BA77" i="2"/>
  <c r="BA78" i="2"/>
  <c r="AZ78" i="2"/>
  <c r="BU90" i="2"/>
  <c r="BT90" i="2"/>
  <c r="BZ82" i="2"/>
  <c r="BY82" i="2"/>
  <c r="AK77" i="2"/>
  <c r="AL77" i="2" s="1"/>
  <c r="BZ86" i="2"/>
  <c r="BY86" i="2"/>
  <c r="AV75" i="2"/>
  <c r="AU75" i="2"/>
  <c r="BZ85" i="2"/>
  <c r="BY85" i="2"/>
  <c r="AP80" i="2"/>
  <c r="AQ80" i="2" s="1"/>
  <c r="AK68" i="2"/>
  <c r="AL68" i="2" s="1"/>
  <c r="AP67" i="2"/>
  <c r="AQ67" i="2" s="1"/>
  <c r="BY58" i="2"/>
  <c r="BZ58" i="2" s="1"/>
  <c r="BE54" i="2"/>
  <c r="BF54" i="2" s="1"/>
  <c r="BZ74" i="2"/>
  <c r="BY74" i="2"/>
  <c r="AQ74" i="2"/>
  <c r="AP74" i="2"/>
  <c r="AV73" i="2"/>
  <c r="AU73" i="2"/>
  <c r="BE71" i="2"/>
  <c r="BF71" i="2" s="1"/>
  <c r="BU71" i="2"/>
  <c r="BT71" i="2"/>
  <c r="BY83" i="2"/>
  <c r="BZ83" i="2" s="1"/>
  <c r="CA81" i="2"/>
  <c r="AE81" i="2"/>
  <c r="BY81" i="2"/>
  <c r="BZ81" i="2" s="1"/>
  <c r="AQ69" i="2"/>
  <c r="AP69" i="2"/>
  <c r="BY69" i="2"/>
  <c r="BZ69" i="2" s="1"/>
  <c r="BY63" i="2"/>
  <c r="BZ63" i="2" s="1"/>
  <c r="AP82" i="2"/>
  <c r="AQ82" i="2" s="1"/>
  <c r="BJ72" i="2"/>
  <c r="BK72" i="2" s="1"/>
  <c r="BZ55" i="2"/>
  <c r="BY55" i="2"/>
  <c r="AU64" i="2"/>
  <c r="AV64" i="2" s="1"/>
  <c r="AZ59" i="2"/>
  <c r="BA59" i="2"/>
  <c r="BF50" i="2"/>
  <c r="BE50" i="2"/>
  <c r="BY70" i="2"/>
  <c r="BZ70" i="2" s="1"/>
  <c r="BU61" i="2"/>
  <c r="BT61" i="2"/>
  <c r="CA65" i="2"/>
  <c r="AE65" i="2"/>
  <c r="BP65" i="2"/>
  <c r="BO65" i="2"/>
  <c r="AE61" i="2"/>
  <c r="CA61" i="2"/>
  <c r="CA57" i="2"/>
  <c r="AE57" i="2"/>
  <c r="BE56" i="2"/>
  <c r="BF56" i="2"/>
  <c r="BT56" i="2"/>
  <c r="BU56" i="2" s="1"/>
  <c r="BZ60" i="2"/>
  <c r="BY60" i="2"/>
  <c r="BZ61" i="2"/>
  <c r="BY61" i="2"/>
  <c r="BY57" i="2"/>
  <c r="BZ57" i="2"/>
  <c r="BA45" i="2"/>
  <c r="AZ45" i="2"/>
  <c r="AZ43" i="2"/>
  <c r="BA43" i="2" s="1"/>
  <c r="BZ45" i="2"/>
  <c r="BY45" i="2"/>
  <c r="BJ43" i="2"/>
  <c r="BK43" i="2" s="1"/>
  <c r="BP53" i="2"/>
  <c r="BO53" i="2"/>
  <c r="BP46" i="2"/>
  <c r="BO46" i="2"/>
  <c r="BF53" i="2"/>
  <c r="BE53" i="2"/>
  <c r="AU52" i="2"/>
  <c r="AV52" i="2" s="1"/>
  <c r="AU34" i="2"/>
  <c r="AV34" i="2" s="1"/>
  <c r="CA26" i="2"/>
  <c r="AE26" i="2"/>
  <c r="BZ23" i="2"/>
  <c r="BY23" i="2"/>
  <c r="BY40" i="2"/>
  <c r="BZ40" i="2" s="1"/>
  <c r="AQ29" i="2"/>
  <c r="AP29" i="2"/>
  <c r="BP27" i="2"/>
  <c r="BO27" i="2"/>
  <c r="CA39" i="2"/>
  <c r="AE39" i="2"/>
  <c r="BO39" i="2"/>
  <c r="BP39" i="2" s="1"/>
  <c r="BE18" i="2"/>
  <c r="BF18" i="2" s="1"/>
  <c r="AK14" i="2"/>
  <c r="AL14" i="2" s="1"/>
  <c r="BJ38" i="2"/>
  <c r="BK38" i="2" s="1"/>
  <c r="AP37" i="2"/>
  <c r="AQ37" i="2" s="1"/>
  <c r="BY36" i="2"/>
  <c r="BZ36" i="2" s="1"/>
  <c r="AP35" i="2"/>
  <c r="AQ35" i="2" s="1"/>
  <c r="BZ35" i="2"/>
  <c r="BY35" i="2"/>
  <c r="BE32" i="2"/>
  <c r="BF32" i="2"/>
  <c r="BT32" i="2"/>
  <c r="BU32" i="2" s="1"/>
  <c r="AQ25" i="2"/>
  <c r="AP25" i="2"/>
  <c r="CA42" i="2"/>
  <c r="BE28" i="2"/>
  <c r="BF28" i="2"/>
  <c r="BT14" i="2"/>
  <c r="BU14" i="2" s="1"/>
  <c r="AP10" i="2"/>
  <c r="AQ10" i="2" s="1"/>
  <c r="CA27" i="2"/>
  <c r="AE27" i="2"/>
  <c r="BE24" i="2"/>
  <c r="BF24" i="2"/>
  <c r="AU6" i="2"/>
  <c r="AV6" i="2"/>
  <c r="AK3" i="2"/>
  <c r="AL3" i="2" s="1"/>
  <c r="AU49" i="1"/>
  <c r="AV49" i="1"/>
  <c r="AK17" i="2"/>
  <c r="AL17" i="2"/>
  <c r="AP5" i="2"/>
  <c r="AQ5" i="2"/>
  <c r="AE13" i="2"/>
  <c r="CA13" i="2"/>
  <c r="BY5" i="2"/>
  <c r="BZ5" i="2" s="1"/>
  <c r="AP20" i="2"/>
  <c r="AQ20" i="2"/>
  <c r="AK12" i="2"/>
  <c r="AL12" i="2" s="1"/>
  <c r="AZ12" i="2"/>
  <c r="BA12" i="2"/>
  <c r="BJ6" i="2"/>
  <c r="BK6" i="2" s="1"/>
  <c r="CC17" i="2"/>
  <c r="CF17" i="2" s="1"/>
  <c r="BY13" i="2"/>
  <c r="BZ13" i="2"/>
  <c r="BF2" i="2"/>
  <c r="BE2" i="2"/>
  <c r="AP22" i="2"/>
  <c r="AQ22" i="2" s="1"/>
  <c r="BZ16" i="2"/>
  <c r="BY16" i="2"/>
  <c r="AP15" i="2"/>
  <c r="AQ15" i="2"/>
  <c r="BO9" i="2"/>
  <c r="BP9" i="2" s="1"/>
  <c r="BZ47" i="1"/>
  <c r="BY47" i="1"/>
  <c r="BU43" i="1"/>
  <c r="BT43" i="1"/>
  <c r="BO11" i="2"/>
  <c r="BP11" i="2" s="1"/>
  <c r="AQ6" i="2"/>
  <c r="AP6" i="2"/>
  <c r="BP40" i="1"/>
  <c r="BO40" i="1"/>
  <c r="AE37" i="1"/>
  <c r="CA37" i="1"/>
  <c r="AE29" i="1"/>
  <c r="CA29" i="1"/>
  <c r="AQ50" i="1"/>
  <c r="AP50" i="1"/>
  <c r="BY50" i="1"/>
  <c r="BZ50" i="1" s="1"/>
  <c r="AL39" i="1"/>
  <c r="AK39" i="1"/>
  <c r="AZ46" i="1"/>
  <c r="BA46" i="1" s="1"/>
  <c r="BJ44" i="1"/>
  <c r="BK44" i="1" s="1"/>
  <c r="BK39" i="1"/>
  <c r="BJ39" i="1"/>
  <c r="AE49" i="1"/>
  <c r="CA49" i="1"/>
  <c r="BY41" i="1"/>
  <c r="BZ41" i="1" s="1"/>
  <c r="AZ47" i="1"/>
  <c r="BA47" i="1" s="1"/>
  <c r="AJ42" i="1"/>
  <c r="CA42" i="1"/>
  <c r="BF39" i="1"/>
  <c r="BE39" i="1"/>
  <c r="BT32" i="1"/>
  <c r="BU32" i="1" s="1"/>
  <c r="AQ28" i="1"/>
  <c r="AP28" i="1"/>
  <c r="AK10" i="1"/>
  <c r="AL10" i="1" s="1"/>
  <c r="AV35" i="1"/>
  <c r="AU35" i="1"/>
  <c r="AU27" i="1"/>
  <c r="AV27" i="1" s="1"/>
  <c r="BZ26" i="1"/>
  <c r="BY26" i="1"/>
  <c r="BA16" i="1"/>
  <c r="AZ16" i="1"/>
  <c r="BA2" i="1"/>
  <c r="AZ2" i="1"/>
  <c r="BJ38" i="1"/>
  <c r="BK38" i="1" s="1"/>
  <c r="BU38" i="1"/>
  <c r="BT38" i="1"/>
  <c r="BZ22" i="1"/>
  <c r="BY22" i="1"/>
  <c r="BK18" i="1"/>
  <c r="BJ18" i="1"/>
  <c r="BE34" i="1"/>
  <c r="BF34" i="1" s="1"/>
  <c r="BK34" i="1"/>
  <c r="BJ34" i="1"/>
  <c r="BU30" i="1"/>
  <c r="BT30" i="1"/>
  <c r="AV24" i="1"/>
  <c r="AU24" i="1"/>
  <c r="AU20" i="1"/>
  <c r="AV20" i="1" s="1"/>
  <c r="BA14" i="1"/>
  <c r="AZ14" i="1"/>
  <c r="BP10" i="1"/>
  <c r="BO10" i="1"/>
  <c r="BP5" i="1"/>
  <c r="BO5" i="1"/>
  <c r="AE3" i="1"/>
  <c r="CA3" i="1"/>
  <c r="BZ36" i="1"/>
  <c r="BY36" i="1"/>
  <c r="CB27" i="1"/>
  <c r="AK30" i="1"/>
  <c r="AL30" i="1" s="1"/>
  <c r="BY14" i="1"/>
  <c r="BZ14" i="1" s="1"/>
  <c r="AU6" i="1"/>
  <c r="AV6" i="1" s="1"/>
  <c r="BY2" i="1"/>
  <c r="BZ2" i="1" s="1"/>
  <c r="BJ10" i="1"/>
  <c r="BK10" i="1" s="1"/>
  <c r="BE29" i="1"/>
  <c r="BF29" i="1" s="1"/>
  <c r="BO37" i="1"/>
  <c r="BP37" i="1" s="1"/>
  <c r="AP25" i="1"/>
  <c r="AQ25" i="1" s="1"/>
  <c r="BJ17" i="1"/>
  <c r="BK17" i="1" s="1"/>
  <c r="BO7" i="1"/>
  <c r="BP7" i="1" s="1"/>
  <c r="CE9" i="1"/>
  <c r="CD9" i="1"/>
  <c r="AU23" i="1"/>
  <c r="AV23" i="1" s="1"/>
  <c r="H27" i="3" l="1"/>
  <c r="H40" i="3"/>
  <c r="CF45" i="1"/>
  <c r="CD45" i="1"/>
  <c r="CF12" i="1"/>
  <c r="CD12" i="1"/>
  <c r="CF121" i="2"/>
  <c r="CD121" i="2"/>
  <c r="AK42" i="1"/>
  <c r="CC42" i="1" s="1"/>
  <c r="CF42" i="1" s="1"/>
  <c r="CB42" i="1"/>
  <c r="AF61" i="2"/>
  <c r="CC61" i="2" s="1"/>
  <c r="CF61" i="2" s="1"/>
  <c r="CB61" i="2"/>
  <c r="CB37" i="1"/>
  <c r="AF37" i="1"/>
  <c r="CC37" i="1" s="1"/>
  <c r="CF37" i="1" s="1"/>
  <c r="AG27" i="2"/>
  <c r="CB27" i="2"/>
  <c r="AF27" i="2"/>
  <c r="CC27" i="2" s="1"/>
  <c r="CF27" i="2" s="1"/>
  <c r="AF26" i="2"/>
  <c r="CC26" i="2" s="1"/>
  <c r="CF26" i="2" s="1"/>
  <c r="CB26" i="2"/>
  <c r="AG100" i="2"/>
  <c r="AG11" i="1"/>
  <c r="CB11" i="1"/>
  <c r="AF11" i="1"/>
  <c r="CC11" i="1" s="1"/>
  <c r="CF11" i="1" s="1"/>
  <c r="CB67" i="2"/>
  <c r="AG67" i="2"/>
  <c r="AF67" i="2"/>
  <c r="CC67" i="2" s="1"/>
  <c r="CF67" i="2" s="1"/>
  <c r="AG4" i="1"/>
  <c r="AF4" i="1"/>
  <c r="CC4" i="1" s="1"/>
  <c r="CF4" i="1" s="1"/>
  <c r="CB4" i="1"/>
  <c r="CD44" i="2"/>
  <c r="AF38" i="2"/>
  <c r="CC38" i="2" s="1"/>
  <c r="CF38" i="2" s="1"/>
  <c r="CB38" i="2"/>
  <c r="AG38" i="2"/>
  <c r="AF97" i="2"/>
  <c r="CC97" i="2" s="1"/>
  <c r="CF97" i="2" s="1"/>
  <c r="CB97" i="2"/>
  <c r="AG51" i="1"/>
  <c r="AF51" i="1"/>
  <c r="CC51" i="1" s="1"/>
  <c r="CF51" i="1" s="1"/>
  <c r="CB51" i="1"/>
  <c r="AF71" i="2"/>
  <c r="CC71" i="2" s="1"/>
  <c r="CF71" i="2" s="1"/>
  <c r="CB71" i="2"/>
  <c r="AF22" i="2"/>
  <c r="CC22" i="2" s="1"/>
  <c r="CF22" i="2" s="1"/>
  <c r="CB22" i="2"/>
  <c r="AG22" i="2"/>
  <c r="CB82" i="2"/>
  <c r="AF82" i="2"/>
  <c r="CC82" i="2" s="1"/>
  <c r="CF82" i="2" s="1"/>
  <c r="CB13" i="1"/>
  <c r="AF13" i="1"/>
  <c r="CC13" i="1" s="1"/>
  <c r="CF13" i="1" s="1"/>
  <c r="CB28" i="1"/>
  <c r="AF28" i="1"/>
  <c r="CC28" i="1" s="1"/>
  <c r="CF28" i="1" s="1"/>
  <c r="AG41" i="1"/>
  <c r="AF41" i="1"/>
  <c r="CC41" i="1" s="1"/>
  <c r="CF41" i="1" s="1"/>
  <c r="CB41" i="1"/>
  <c r="AF93" i="2"/>
  <c r="CC93" i="2" s="1"/>
  <c r="CF93" i="2" s="1"/>
  <c r="CB93" i="2"/>
  <c r="CE27" i="1"/>
  <c r="CD27" i="1"/>
  <c r="CD100" i="2"/>
  <c r="CE100" i="2"/>
  <c r="AF36" i="1"/>
  <c r="CC36" i="1" s="1"/>
  <c r="CF36" i="1" s="1"/>
  <c r="CB36" i="1"/>
  <c r="AF53" i="2"/>
  <c r="CC53" i="2" s="1"/>
  <c r="CF53" i="2" s="1"/>
  <c r="AG53" i="2"/>
  <c r="CB53" i="2"/>
  <c r="AF2" i="2"/>
  <c r="CC2" i="2" s="1"/>
  <c r="CF2" i="2" s="1"/>
  <c r="CB2" i="2"/>
  <c r="AG2" i="2"/>
  <c r="CB74" i="2"/>
  <c r="AF74" i="2"/>
  <c r="CC74" i="2" s="1"/>
  <c r="CF74" i="2" s="1"/>
  <c r="AF103" i="2"/>
  <c r="CC103" i="2" s="1"/>
  <c r="CF103" i="2" s="1"/>
  <c r="CB103" i="2"/>
  <c r="CC19" i="1"/>
  <c r="CF19" i="1" s="1"/>
  <c r="CB10" i="1"/>
  <c r="AG10" i="1"/>
  <c r="AF10" i="1"/>
  <c r="CC10" i="1" s="1"/>
  <c r="CF10" i="1" s="1"/>
  <c r="CC26" i="1"/>
  <c r="CF26" i="1" s="1"/>
  <c r="AG7" i="1"/>
  <c r="AF7" i="1"/>
  <c r="CC7" i="1" s="1"/>
  <c r="CF7" i="1" s="1"/>
  <c r="CB7" i="1"/>
  <c r="AF5" i="2"/>
  <c r="CC5" i="2" s="1"/>
  <c r="CF5" i="2" s="1"/>
  <c r="CB5" i="2"/>
  <c r="AG5" i="2"/>
  <c r="AF86" i="2"/>
  <c r="CC86" i="2" s="1"/>
  <c r="CF86" i="2" s="1"/>
  <c r="CB86" i="2"/>
  <c r="CC31" i="2"/>
  <c r="CF31" i="2" s="1"/>
  <c r="CC64" i="2"/>
  <c r="CF64" i="2" s="1"/>
  <c r="CB107" i="2"/>
  <c r="AF107" i="2"/>
  <c r="CC107" i="2" s="1"/>
  <c r="CF107" i="2" s="1"/>
  <c r="CB40" i="1"/>
  <c r="AF40" i="1"/>
  <c r="CC40" i="1" s="1"/>
  <c r="CF40" i="1" s="1"/>
  <c r="CE30" i="2"/>
  <c r="CB51" i="2"/>
  <c r="AF51" i="2"/>
  <c r="CC51" i="2" s="1"/>
  <c r="CF51" i="2" s="1"/>
  <c r="AF73" i="2"/>
  <c r="CC73" i="2" s="1"/>
  <c r="CF73" i="2" s="1"/>
  <c r="CB73" i="2"/>
  <c r="AF8" i="2"/>
  <c r="CC8" i="2" s="1"/>
  <c r="CF8" i="2" s="1"/>
  <c r="CB8" i="2"/>
  <c r="AF33" i="2"/>
  <c r="CC33" i="2" s="1"/>
  <c r="CF33" i="2" s="1"/>
  <c r="CB33" i="2"/>
  <c r="CC48" i="2"/>
  <c r="CF48" i="2" s="1"/>
  <c r="AF113" i="2"/>
  <c r="CC113" i="2" s="1"/>
  <c r="CF113" i="2" s="1"/>
  <c r="CB113" i="2"/>
  <c r="AF110" i="2"/>
  <c r="CC110" i="2" s="1"/>
  <c r="CF110" i="2" s="1"/>
  <c r="CB110" i="2"/>
  <c r="AG110" i="2"/>
  <c r="CE124" i="2"/>
  <c r="AG13" i="2"/>
  <c r="AF13" i="2"/>
  <c r="CC13" i="2" s="1"/>
  <c r="CF13" i="2" s="1"/>
  <c r="CB13" i="2"/>
  <c r="CD15" i="1"/>
  <c r="CE15" i="1"/>
  <c r="AF35" i="2"/>
  <c r="CC35" i="2" s="1"/>
  <c r="CF35" i="2" s="1"/>
  <c r="CB35" i="2"/>
  <c r="AF102" i="2"/>
  <c r="CC102" i="2" s="1"/>
  <c r="CF102" i="2" s="1"/>
  <c r="CB102" i="2"/>
  <c r="CE22" i="1"/>
  <c r="CE19" i="1"/>
  <c r="CD19" i="1"/>
  <c r="AF49" i="2"/>
  <c r="CC49" i="2" s="1"/>
  <c r="CF49" i="2" s="1"/>
  <c r="CB49" i="2"/>
  <c r="CD79" i="2"/>
  <c r="AF109" i="2"/>
  <c r="CC109" i="2" s="1"/>
  <c r="CF109" i="2" s="1"/>
  <c r="CB109" i="2"/>
  <c r="AG109" i="2"/>
  <c r="CB32" i="1"/>
  <c r="AF32" i="1"/>
  <c r="CC32" i="1" s="1"/>
  <c r="CF32" i="1" s="1"/>
  <c r="AG31" i="2"/>
  <c r="AF91" i="2"/>
  <c r="CC91" i="2" s="1"/>
  <c r="CF91" i="2" s="1"/>
  <c r="CB91" i="2"/>
  <c r="AG91" i="2"/>
  <c r="CE8" i="1"/>
  <c r="CD8" i="1"/>
  <c r="AF35" i="1"/>
  <c r="CC35" i="1" s="1"/>
  <c r="CF35" i="1" s="1"/>
  <c r="CB35" i="1"/>
  <c r="CC30" i="2"/>
  <c r="CF30" i="2" s="1"/>
  <c r="CB36" i="2"/>
  <c r="AF36" i="2"/>
  <c r="CC36" i="2" s="1"/>
  <c r="CF36" i="2" s="1"/>
  <c r="AG36" i="2"/>
  <c r="AF34" i="2"/>
  <c r="CC34" i="2" s="1"/>
  <c r="CF34" i="2" s="1"/>
  <c r="AG34" i="2"/>
  <c r="CB34" i="2"/>
  <c r="AF63" i="2"/>
  <c r="CC63" i="2" s="1"/>
  <c r="CF63" i="2" s="1"/>
  <c r="CB63" i="2"/>
  <c r="CB89" i="2"/>
  <c r="AF89" i="2"/>
  <c r="CC89" i="2" s="1"/>
  <c r="CF89" i="2" s="1"/>
  <c r="AG76" i="2"/>
  <c r="CB76" i="2"/>
  <c r="AF76" i="2"/>
  <c r="CC76" i="2" s="1"/>
  <c r="CF76" i="2" s="1"/>
  <c r="AF99" i="2"/>
  <c r="CC99" i="2" s="1"/>
  <c r="CF99" i="2" s="1"/>
  <c r="CB99" i="2"/>
  <c r="AG99" i="2"/>
  <c r="AG125" i="2"/>
  <c r="AF125" i="2"/>
  <c r="CC125" i="2" s="1"/>
  <c r="CF125" i="2" s="1"/>
  <c r="CB125" i="2"/>
  <c r="CB20" i="1"/>
  <c r="AG20" i="1"/>
  <c r="AF20" i="1"/>
  <c r="CC20" i="1" s="1"/>
  <c r="CF20" i="1" s="1"/>
  <c r="CD48" i="2"/>
  <c r="CE48" i="2"/>
  <c r="CB58" i="2"/>
  <c r="AF58" i="2"/>
  <c r="CC58" i="2" s="1"/>
  <c r="CF58" i="2" s="1"/>
  <c r="CB52" i="2"/>
  <c r="AG52" i="2"/>
  <c r="AF52" i="2"/>
  <c r="CC52" i="2" s="1"/>
  <c r="CF52" i="2" s="1"/>
  <c r="CD17" i="2"/>
  <c r="AF5" i="1"/>
  <c r="CC5" i="1" s="1"/>
  <c r="CF5" i="1" s="1"/>
  <c r="CB5" i="1"/>
  <c r="AF15" i="2"/>
  <c r="CC15" i="2" s="1"/>
  <c r="CF15" i="2" s="1"/>
  <c r="CB15" i="2"/>
  <c r="CC22" i="1"/>
  <c r="CF22" i="1" s="1"/>
  <c r="AF47" i="1"/>
  <c r="CC47" i="1" s="1"/>
  <c r="CF47" i="1" s="1"/>
  <c r="CB47" i="1"/>
  <c r="AG47" i="1"/>
  <c r="CB46" i="1"/>
  <c r="AF46" i="1"/>
  <c r="CC46" i="1" s="1"/>
  <c r="CF46" i="1" s="1"/>
  <c r="AF12" i="2"/>
  <c r="CC12" i="2" s="1"/>
  <c r="CF12" i="2" s="1"/>
  <c r="CB12" i="2"/>
  <c r="AF62" i="2"/>
  <c r="CC62" i="2" s="1"/>
  <c r="CF62" i="2" s="1"/>
  <c r="AG62" i="2"/>
  <c r="CB62" i="2"/>
  <c r="AG19" i="1"/>
  <c r="AG34" i="1"/>
  <c r="AF34" i="1"/>
  <c r="CC34" i="1" s="1"/>
  <c r="CF34" i="1" s="1"/>
  <c r="CB34" i="1"/>
  <c r="AF18" i="1"/>
  <c r="CC18" i="1" s="1"/>
  <c r="CF18" i="1" s="1"/>
  <c r="CB18" i="1"/>
  <c r="AF112" i="2"/>
  <c r="CC112" i="2" s="1"/>
  <c r="CF112" i="2" s="1"/>
  <c r="AG112" i="2"/>
  <c r="CB112" i="2"/>
  <c r="AG14" i="1"/>
  <c r="AF14" i="1"/>
  <c r="CC14" i="1" s="1"/>
  <c r="CF14" i="1" s="1"/>
  <c r="CB14" i="1"/>
  <c r="CB43" i="1"/>
  <c r="AG43" i="1"/>
  <c r="AF43" i="1"/>
  <c r="CC43" i="1" s="1"/>
  <c r="CF43" i="1" s="1"/>
  <c r="CD31" i="2"/>
  <c r="CE31" i="2"/>
  <c r="AF7" i="2"/>
  <c r="CC7" i="2" s="1"/>
  <c r="CF7" i="2" s="1"/>
  <c r="CB7" i="2"/>
  <c r="CC40" i="2"/>
  <c r="CF40" i="2" s="1"/>
  <c r="AG55" i="2"/>
  <c r="AF55" i="2"/>
  <c r="CC55" i="2" s="1"/>
  <c r="CF55" i="2" s="1"/>
  <c r="CB55" i="2"/>
  <c r="CB60" i="2"/>
  <c r="AF60" i="2"/>
  <c r="CC60" i="2" s="1"/>
  <c r="CF60" i="2" s="1"/>
  <c r="AG60" i="2"/>
  <c r="AF70" i="2"/>
  <c r="CC70" i="2" s="1"/>
  <c r="CF70" i="2" s="1"/>
  <c r="CB70" i="2"/>
  <c r="AG70" i="2"/>
  <c r="CB83" i="2"/>
  <c r="AF83" i="2"/>
  <c r="CC83" i="2" s="1"/>
  <c r="CF83" i="2" s="1"/>
  <c r="CB39" i="1"/>
  <c r="AG39" i="1"/>
  <c r="AF39" i="1"/>
  <c r="CC39" i="1" s="1"/>
  <c r="CF39" i="1" s="1"/>
  <c r="AF23" i="2"/>
  <c r="CC23" i="2" s="1"/>
  <c r="CF23" i="2" s="1"/>
  <c r="CB23" i="2"/>
  <c r="AF65" i="2"/>
  <c r="CC65" i="2" s="1"/>
  <c r="CF65" i="2" s="1"/>
  <c r="CB65" i="2"/>
  <c r="AF111" i="2"/>
  <c r="CC111" i="2" s="1"/>
  <c r="CF111" i="2" s="1"/>
  <c r="CB111" i="2"/>
  <c r="AV121" i="2"/>
  <c r="AG15" i="1"/>
  <c r="CB31" i="1"/>
  <c r="AF31" i="1"/>
  <c r="CC31" i="1" s="1"/>
  <c r="CF31" i="1" s="1"/>
  <c r="CE42" i="2"/>
  <c r="CD42" i="2"/>
  <c r="AF29" i="2"/>
  <c r="CC29" i="2" s="1"/>
  <c r="CF29" i="2" s="1"/>
  <c r="CB29" i="2"/>
  <c r="CB43" i="2"/>
  <c r="AG43" i="2"/>
  <c r="AF43" i="2"/>
  <c r="CC43" i="2" s="1"/>
  <c r="CF43" i="2" s="1"/>
  <c r="AF69" i="2"/>
  <c r="CC69" i="2" s="1"/>
  <c r="CF69" i="2" s="1"/>
  <c r="CB69" i="2"/>
  <c r="AG80" i="2"/>
  <c r="CB80" i="2"/>
  <c r="AF80" i="2"/>
  <c r="CC80" i="2" s="1"/>
  <c r="CF80" i="2" s="1"/>
  <c r="AG22" i="1"/>
  <c r="AF59" i="2"/>
  <c r="CC59" i="2" s="1"/>
  <c r="CF59" i="2" s="1"/>
  <c r="CB59" i="2"/>
  <c r="CB17" i="1"/>
  <c r="AG17" i="1"/>
  <c r="AF17" i="1"/>
  <c r="CC17" i="1" s="1"/>
  <c r="CF17" i="1" s="1"/>
  <c r="AF44" i="1"/>
  <c r="CC44" i="1" s="1"/>
  <c r="CF44" i="1" s="1"/>
  <c r="CB44" i="1"/>
  <c r="AG44" i="1"/>
  <c r="CD26" i="1"/>
  <c r="CE26" i="1"/>
  <c r="AF14" i="2"/>
  <c r="CC14" i="2" s="1"/>
  <c r="CF14" i="2" s="1"/>
  <c r="CB14" i="2"/>
  <c r="CB90" i="2"/>
  <c r="AG90" i="2"/>
  <c r="AF90" i="2"/>
  <c r="CC90" i="2" s="1"/>
  <c r="CF90" i="2" s="1"/>
  <c r="AF95" i="2"/>
  <c r="CC95" i="2" s="1"/>
  <c r="CF95" i="2" s="1"/>
  <c r="CB95" i="2"/>
  <c r="AG8" i="1"/>
  <c r="AF11" i="2"/>
  <c r="CC11" i="2" s="1"/>
  <c r="CF11" i="2" s="1"/>
  <c r="CB11" i="2"/>
  <c r="AG11" i="2"/>
  <c r="CD40" i="2"/>
  <c r="CE40" i="2"/>
  <c r="CB50" i="2"/>
  <c r="AF50" i="2"/>
  <c r="CC50" i="2" s="1"/>
  <c r="CF50" i="2" s="1"/>
  <c r="CB23" i="1"/>
  <c r="AF23" i="1"/>
  <c r="CC23" i="1" s="1"/>
  <c r="CF23" i="1" s="1"/>
  <c r="CB2" i="1"/>
  <c r="AG2" i="1"/>
  <c r="AF2" i="1"/>
  <c r="CC2" i="1" s="1"/>
  <c r="CF2" i="1" s="1"/>
  <c r="AF9" i="2"/>
  <c r="CC9" i="2" s="1"/>
  <c r="CF9" i="2" s="1"/>
  <c r="CB9" i="2"/>
  <c r="AF88" i="2"/>
  <c r="CC88" i="2" s="1"/>
  <c r="CF88" i="2" s="1"/>
  <c r="CB88" i="2"/>
  <c r="AF106" i="2"/>
  <c r="CC106" i="2" s="1"/>
  <c r="CF106" i="2" s="1"/>
  <c r="CB106" i="2"/>
  <c r="CB24" i="1"/>
  <c r="AF24" i="1"/>
  <c r="CC24" i="1" s="1"/>
  <c r="CF24" i="1" s="1"/>
  <c r="AF48" i="1"/>
  <c r="CC48" i="1" s="1"/>
  <c r="CF48" i="1" s="1"/>
  <c r="CB48" i="1"/>
  <c r="CB24" i="2"/>
  <c r="AF24" i="2"/>
  <c r="CC24" i="2" s="1"/>
  <c r="CF24" i="2" s="1"/>
  <c r="CB101" i="2"/>
  <c r="AF101" i="2"/>
  <c r="CC101" i="2" s="1"/>
  <c r="CF101" i="2" s="1"/>
  <c r="CB87" i="2"/>
  <c r="AG87" i="2"/>
  <c r="AF87" i="2"/>
  <c r="CC87" i="2" s="1"/>
  <c r="CF87" i="2" s="1"/>
  <c r="AF108" i="2"/>
  <c r="CC108" i="2" s="1"/>
  <c r="CF108" i="2" s="1"/>
  <c r="AG108" i="2"/>
  <c r="CB108" i="2"/>
  <c r="CB25" i="1"/>
  <c r="AG25" i="1"/>
  <c r="AF25" i="1"/>
  <c r="CC25" i="1" s="1"/>
  <c r="CF25" i="1" s="1"/>
  <c r="CB6" i="1"/>
  <c r="AF6" i="1"/>
  <c r="CC6" i="1" s="1"/>
  <c r="CF6" i="1" s="1"/>
  <c r="AG42" i="2"/>
  <c r="AF104" i="2"/>
  <c r="CC104" i="2" s="1"/>
  <c r="CF104" i="2" s="1"/>
  <c r="AG104" i="2"/>
  <c r="CB104" i="2"/>
  <c r="CE72" i="2"/>
  <c r="AF3" i="2"/>
  <c r="CC3" i="2" s="1"/>
  <c r="CF3" i="2" s="1"/>
  <c r="CB3" i="2"/>
  <c r="CB32" i="2"/>
  <c r="AF32" i="2"/>
  <c r="CC32" i="2" s="1"/>
  <c r="CF32" i="2" s="1"/>
  <c r="AG32" i="2"/>
  <c r="CB56" i="2"/>
  <c r="AF56" i="2"/>
  <c r="CC56" i="2" s="1"/>
  <c r="CF56" i="2" s="1"/>
  <c r="CB75" i="2"/>
  <c r="AG75" i="2"/>
  <c r="AF75" i="2"/>
  <c r="CC75" i="2" s="1"/>
  <c r="CF75" i="2" s="1"/>
  <c r="CD115" i="2"/>
  <c r="CE115" i="2"/>
  <c r="AG40" i="2"/>
  <c r="AF16" i="2"/>
  <c r="CC16" i="2" s="1"/>
  <c r="CF16" i="2" s="1"/>
  <c r="CB16" i="2"/>
  <c r="AF19" i="2"/>
  <c r="CC19" i="2" s="1"/>
  <c r="CF19" i="2" s="1"/>
  <c r="CB19" i="2"/>
  <c r="AF4" i="2"/>
  <c r="CC4" i="2" s="1"/>
  <c r="CF4" i="2" s="1"/>
  <c r="CB4" i="2"/>
  <c r="AF126" i="2"/>
  <c r="CC126" i="2" s="1"/>
  <c r="CF126" i="2" s="1"/>
  <c r="CB126" i="2"/>
  <c r="AF3" i="1"/>
  <c r="CC3" i="1" s="1"/>
  <c r="CF3" i="1" s="1"/>
  <c r="CB3" i="1"/>
  <c r="CB29" i="1"/>
  <c r="AG29" i="1"/>
  <c r="AF29" i="1"/>
  <c r="CC29" i="1" s="1"/>
  <c r="CF29" i="1" s="1"/>
  <c r="CB39" i="2"/>
  <c r="AF39" i="2"/>
  <c r="CC39" i="2" s="1"/>
  <c r="CF39" i="2" s="1"/>
  <c r="AF57" i="2"/>
  <c r="CC57" i="2" s="1"/>
  <c r="CF57" i="2" s="1"/>
  <c r="CB57" i="2"/>
  <c r="AF81" i="2"/>
  <c r="CC81" i="2" s="1"/>
  <c r="CF81" i="2" s="1"/>
  <c r="CB81" i="2"/>
  <c r="AF94" i="2"/>
  <c r="CC94" i="2" s="1"/>
  <c r="CF94" i="2" s="1"/>
  <c r="CB94" i="2"/>
  <c r="AG38" i="1"/>
  <c r="CB38" i="1"/>
  <c r="AF38" i="1"/>
  <c r="CC38" i="1" s="1"/>
  <c r="CF38" i="1" s="1"/>
  <c r="CB20" i="2"/>
  <c r="AF20" i="2"/>
  <c r="CC20" i="2" s="1"/>
  <c r="CF20" i="2" s="1"/>
  <c r="AG20" i="2"/>
  <c r="AF25" i="2"/>
  <c r="CC25" i="2" s="1"/>
  <c r="CF25" i="2" s="1"/>
  <c r="CB25" i="2"/>
  <c r="AF37" i="2"/>
  <c r="CC37" i="2" s="1"/>
  <c r="CF37" i="2" s="1"/>
  <c r="CB37" i="2"/>
  <c r="CB105" i="2"/>
  <c r="AG105" i="2"/>
  <c r="AF105" i="2"/>
  <c r="CC105" i="2" s="1"/>
  <c r="CF105" i="2" s="1"/>
  <c r="CD117" i="2"/>
  <c r="CB16" i="1"/>
  <c r="AF16" i="1"/>
  <c r="CC16" i="1" s="1"/>
  <c r="CF16" i="1" s="1"/>
  <c r="CC41" i="2"/>
  <c r="CF41" i="2" s="1"/>
  <c r="CC72" i="2"/>
  <c r="CF72" i="2" s="1"/>
  <c r="AF92" i="2"/>
  <c r="CC92" i="2" s="1"/>
  <c r="CF92" i="2" s="1"/>
  <c r="CB92" i="2"/>
  <c r="CB33" i="1"/>
  <c r="AF33" i="1"/>
  <c r="CC33" i="1" s="1"/>
  <c r="CF33" i="1" s="1"/>
  <c r="CB47" i="2"/>
  <c r="AF47" i="2"/>
  <c r="CC47" i="2" s="1"/>
  <c r="CF47" i="2" s="1"/>
  <c r="AF98" i="2"/>
  <c r="CC98" i="2" s="1"/>
  <c r="CF98" i="2" s="1"/>
  <c r="CB98" i="2"/>
  <c r="AG98" i="2"/>
  <c r="AG115" i="2"/>
  <c r="CC45" i="2"/>
  <c r="CF45" i="2" s="1"/>
  <c r="AF68" i="2"/>
  <c r="CC68" i="2" s="1"/>
  <c r="CF68" i="2" s="1"/>
  <c r="AG68" i="2"/>
  <c r="CB68" i="2"/>
  <c r="CB21" i="1"/>
  <c r="AF21" i="1"/>
  <c r="CC21" i="1" s="1"/>
  <c r="CF21" i="1" s="1"/>
  <c r="CB28" i="2"/>
  <c r="AG28" i="2"/>
  <c r="AF28" i="2"/>
  <c r="CC28" i="2" s="1"/>
  <c r="CF28" i="2" s="1"/>
  <c r="AF30" i="1"/>
  <c r="CC30" i="1" s="1"/>
  <c r="CF30" i="1" s="1"/>
  <c r="CB30" i="1"/>
  <c r="AF6" i="2"/>
  <c r="CC6" i="2" s="1"/>
  <c r="CF6" i="2" s="1"/>
  <c r="CB6" i="2"/>
  <c r="AG84" i="2"/>
  <c r="AF84" i="2"/>
  <c r="CC84" i="2" s="1"/>
  <c r="CF84" i="2" s="1"/>
  <c r="CB84" i="2"/>
  <c r="CB77" i="2"/>
  <c r="AF77" i="2"/>
  <c r="CC77" i="2" s="1"/>
  <c r="CF77" i="2" s="1"/>
  <c r="AG49" i="1"/>
  <c r="AF49" i="1"/>
  <c r="CC49" i="1" s="1"/>
  <c r="CF49" i="1" s="1"/>
  <c r="CB49" i="1"/>
  <c r="CB78" i="2"/>
  <c r="AF78" i="2"/>
  <c r="CC78" i="2" s="1"/>
  <c r="CF78" i="2" s="1"/>
  <c r="CD123" i="2"/>
  <c r="CE123" i="2"/>
  <c r="AG50" i="1"/>
  <c r="CB50" i="1"/>
  <c r="AF50" i="1"/>
  <c r="CC50" i="1" s="1"/>
  <c r="CF50" i="1" s="1"/>
  <c r="AF18" i="2"/>
  <c r="CC18" i="2" s="1"/>
  <c r="CF18" i="2" s="1"/>
  <c r="CB18" i="2"/>
  <c r="AF85" i="2"/>
  <c r="CC85" i="2" s="1"/>
  <c r="CF85" i="2" s="1"/>
  <c r="CB85" i="2"/>
  <c r="AG85" i="2"/>
  <c r="CD41" i="2"/>
  <c r="CE41" i="2"/>
  <c r="CB46" i="2"/>
  <c r="AF46" i="2"/>
  <c r="CC46" i="2" s="1"/>
  <c r="CF46" i="2" s="1"/>
  <c r="AF96" i="2"/>
  <c r="CC96" i="2" s="1"/>
  <c r="CF96" i="2" s="1"/>
  <c r="AG96" i="2"/>
  <c r="CB96" i="2"/>
  <c r="AF66" i="2"/>
  <c r="CC66" i="2" s="1"/>
  <c r="CF66" i="2" s="1"/>
  <c r="CB66" i="2"/>
  <c r="CE64" i="2"/>
  <c r="CD64" i="2"/>
  <c r="CB54" i="2"/>
  <c r="AF54" i="2"/>
  <c r="CC54" i="2" s="1"/>
  <c r="CF54" i="2" s="1"/>
  <c r="CE45" i="2"/>
  <c r="AF21" i="2"/>
  <c r="CC21" i="2" s="1"/>
  <c r="CF21" i="2" s="1"/>
  <c r="CB21" i="2"/>
  <c r="CB10" i="2"/>
  <c r="AF10" i="2"/>
  <c r="CC10" i="2" s="1"/>
  <c r="CF10" i="2" s="1"/>
  <c r="CC124" i="2"/>
  <c r="CF124" i="2" s="1"/>
  <c r="AL122" i="2"/>
  <c r="AK122" i="2"/>
  <c r="CC122" i="2" s="1"/>
  <c r="CF122" i="2" s="1"/>
  <c r="CB122" i="2"/>
  <c r="H28" i="3" l="1"/>
  <c r="H41" i="3"/>
  <c r="CE16" i="1"/>
  <c r="CD16" i="1"/>
  <c r="CE31" i="1"/>
  <c r="CD31" i="1"/>
  <c r="CE34" i="2"/>
  <c r="CD34" i="2"/>
  <c r="CD66" i="2"/>
  <c r="CE66" i="2"/>
  <c r="CD49" i="1"/>
  <c r="CE49" i="1"/>
  <c r="CD45" i="2"/>
  <c r="CE50" i="1"/>
  <c r="CD50" i="1"/>
  <c r="CD6" i="2"/>
  <c r="CE6" i="2"/>
  <c r="CD28" i="2"/>
  <c r="CE28" i="2"/>
  <c r="AG33" i="1"/>
  <c r="AG16" i="1"/>
  <c r="AG37" i="2"/>
  <c r="CD38" i="1"/>
  <c r="CE38" i="1"/>
  <c r="CD57" i="2"/>
  <c r="CE57" i="2"/>
  <c r="CD29" i="1"/>
  <c r="CE29" i="1"/>
  <c r="AG4" i="2"/>
  <c r="CD56" i="2"/>
  <c r="CE56" i="2"/>
  <c r="CD72" i="2"/>
  <c r="CE87" i="2"/>
  <c r="CD87" i="2"/>
  <c r="CD48" i="1"/>
  <c r="CE48" i="1"/>
  <c r="CD88" i="2"/>
  <c r="CE88" i="2"/>
  <c r="CD2" i="1"/>
  <c r="CE2" i="1"/>
  <c r="CD65" i="2"/>
  <c r="CE65" i="2"/>
  <c r="CE39" i="1"/>
  <c r="CD39" i="1"/>
  <c r="AG7" i="2"/>
  <c r="AG15" i="2"/>
  <c r="CE35" i="1"/>
  <c r="CD35" i="1"/>
  <c r="AG49" i="2"/>
  <c r="CD102" i="2"/>
  <c r="CE102" i="2"/>
  <c r="AG113" i="2"/>
  <c r="CD103" i="2"/>
  <c r="CE103" i="2"/>
  <c r="CD53" i="2"/>
  <c r="CE53" i="2"/>
  <c r="CD82" i="2"/>
  <c r="CE82" i="2"/>
  <c r="CD11" i="1"/>
  <c r="CE11" i="1"/>
  <c r="AL42" i="1"/>
  <c r="CD25" i="2"/>
  <c r="CE25" i="2"/>
  <c r="CD44" i="1"/>
  <c r="CE44" i="1"/>
  <c r="CD20" i="1"/>
  <c r="CE20" i="1"/>
  <c r="CD86" i="2"/>
  <c r="CE86" i="2"/>
  <c r="AG10" i="2"/>
  <c r="AG54" i="2"/>
  <c r="CE85" i="2"/>
  <c r="CD85" i="2"/>
  <c r="AG6" i="2"/>
  <c r="AG21" i="1"/>
  <c r="CD98" i="2"/>
  <c r="CE98" i="2"/>
  <c r="AG92" i="2"/>
  <c r="AG94" i="2"/>
  <c r="AG57" i="2"/>
  <c r="AG19" i="2"/>
  <c r="CD25" i="1"/>
  <c r="CE25" i="1"/>
  <c r="CD101" i="2"/>
  <c r="CE101" i="2"/>
  <c r="AG88" i="2"/>
  <c r="AG23" i="1"/>
  <c r="CD11" i="2"/>
  <c r="CE11" i="2"/>
  <c r="CD90" i="2"/>
  <c r="CE90" i="2"/>
  <c r="CE43" i="2"/>
  <c r="CD43" i="2"/>
  <c r="AG31" i="1"/>
  <c r="AG65" i="2"/>
  <c r="AG83" i="2"/>
  <c r="CE55" i="2"/>
  <c r="CD55" i="2"/>
  <c r="CD46" i="1"/>
  <c r="CE46" i="1"/>
  <c r="CD125" i="2"/>
  <c r="CE125" i="2"/>
  <c r="AG35" i="1"/>
  <c r="CE32" i="1"/>
  <c r="CD32" i="1"/>
  <c r="CD35" i="2"/>
  <c r="CE35" i="2"/>
  <c r="AG40" i="1"/>
  <c r="CD93" i="2"/>
  <c r="CE93" i="2"/>
  <c r="AG28" i="1"/>
  <c r="CE22" i="2"/>
  <c r="CD22" i="2"/>
  <c r="CD97" i="2"/>
  <c r="CE97" i="2"/>
  <c r="AG37" i="1"/>
  <c r="CD112" i="2"/>
  <c r="CE112" i="2"/>
  <c r="CE15" i="2"/>
  <c r="CD15" i="2"/>
  <c r="CD73" i="2"/>
  <c r="CE73" i="2"/>
  <c r="CD28" i="1"/>
  <c r="CE28" i="1"/>
  <c r="CD10" i="2"/>
  <c r="CE10" i="2"/>
  <c r="CD54" i="2"/>
  <c r="CE54" i="2"/>
  <c r="AG77" i="2"/>
  <c r="CD30" i="1"/>
  <c r="CE30" i="1"/>
  <c r="CD21" i="1"/>
  <c r="CE21" i="1"/>
  <c r="CD92" i="2"/>
  <c r="CE92" i="2"/>
  <c r="AG25" i="2"/>
  <c r="CD94" i="2"/>
  <c r="CE94" i="2"/>
  <c r="AG39" i="2"/>
  <c r="AG3" i="1"/>
  <c r="CD19" i="2"/>
  <c r="CE19" i="2"/>
  <c r="CD32" i="2"/>
  <c r="CE32" i="2"/>
  <c r="CD108" i="2"/>
  <c r="CE108" i="2"/>
  <c r="AG101" i="2"/>
  <c r="AG24" i="1"/>
  <c r="AG9" i="2"/>
  <c r="CE23" i="1"/>
  <c r="CD23" i="1"/>
  <c r="CD14" i="2"/>
  <c r="CE14" i="2"/>
  <c r="CD80" i="2"/>
  <c r="CE80" i="2"/>
  <c r="CD29" i="2"/>
  <c r="CE29" i="2"/>
  <c r="AG23" i="2"/>
  <c r="CD83" i="2"/>
  <c r="CE83" i="2"/>
  <c r="CD62" i="2"/>
  <c r="CE62" i="2"/>
  <c r="AG46" i="1"/>
  <c r="CD5" i="1"/>
  <c r="CE5" i="1"/>
  <c r="AG58" i="2"/>
  <c r="AG89" i="2"/>
  <c r="AG32" i="1"/>
  <c r="AG35" i="2"/>
  <c r="CD124" i="2"/>
  <c r="CD33" i="2"/>
  <c r="CE33" i="2"/>
  <c r="AG73" i="2"/>
  <c r="CD40" i="1"/>
  <c r="CE40" i="1"/>
  <c r="AG86" i="2"/>
  <c r="AG74" i="2"/>
  <c r="CE36" i="1"/>
  <c r="CD36" i="1"/>
  <c r="AG93" i="2"/>
  <c r="AG13" i="1"/>
  <c r="AG97" i="2"/>
  <c r="AG26" i="2"/>
  <c r="CD37" i="1"/>
  <c r="CE37" i="1"/>
  <c r="CD52" i="2"/>
  <c r="CE52" i="2"/>
  <c r="CD49" i="2"/>
  <c r="CE49" i="2"/>
  <c r="CD4" i="1"/>
  <c r="CE4" i="1"/>
  <c r="CD21" i="2"/>
  <c r="CE21" i="2"/>
  <c r="CD18" i="2"/>
  <c r="CE18" i="2"/>
  <c r="CE77" i="2"/>
  <c r="CD77" i="2"/>
  <c r="CD126" i="2"/>
  <c r="CE126" i="2"/>
  <c r="CD3" i="2"/>
  <c r="CE3" i="2"/>
  <c r="CD24" i="1"/>
  <c r="CE24" i="1"/>
  <c r="CD9" i="2"/>
  <c r="CE9" i="2"/>
  <c r="CD23" i="2"/>
  <c r="CE23" i="2"/>
  <c r="CD18" i="1"/>
  <c r="CE18" i="1"/>
  <c r="CD58" i="2"/>
  <c r="CE58" i="2"/>
  <c r="CD74" i="2"/>
  <c r="CE74" i="2"/>
  <c r="CD71" i="2"/>
  <c r="CE71" i="2"/>
  <c r="CD26" i="2"/>
  <c r="CE26" i="2"/>
  <c r="CD61" i="2"/>
  <c r="CE61" i="2"/>
  <c r="CE33" i="1"/>
  <c r="CD33" i="1"/>
  <c r="CD60" i="2"/>
  <c r="CE60" i="2"/>
  <c r="CE68" i="2"/>
  <c r="CD68" i="2"/>
  <c r="AG46" i="2"/>
  <c r="CD84" i="2"/>
  <c r="CE84" i="2"/>
  <c r="AG47" i="2"/>
  <c r="CD105" i="2"/>
  <c r="CE105" i="2"/>
  <c r="AG81" i="2"/>
  <c r="CD39" i="2"/>
  <c r="CE39" i="2"/>
  <c r="AG16" i="2"/>
  <c r="CD75" i="2"/>
  <c r="CE75" i="2"/>
  <c r="AG24" i="2"/>
  <c r="AG106" i="2"/>
  <c r="AG50" i="2"/>
  <c r="AG95" i="2"/>
  <c r="AG14" i="2"/>
  <c r="CD17" i="1"/>
  <c r="CE17" i="1"/>
  <c r="AG69" i="2"/>
  <c r="AG29" i="2"/>
  <c r="CD111" i="2"/>
  <c r="CE111" i="2"/>
  <c r="CE70" i="2"/>
  <c r="CD70" i="2"/>
  <c r="CE43" i="1"/>
  <c r="CD43" i="1"/>
  <c r="CE47" i="1"/>
  <c r="CD47" i="1"/>
  <c r="AG5" i="1"/>
  <c r="CD89" i="2"/>
  <c r="CE89" i="2"/>
  <c r="CD109" i="2"/>
  <c r="CE109" i="2"/>
  <c r="CD110" i="2"/>
  <c r="CE110" i="2"/>
  <c r="AG33" i="2"/>
  <c r="AG51" i="2"/>
  <c r="CD107" i="2"/>
  <c r="CE107" i="2"/>
  <c r="CD5" i="2"/>
  <c r="CE5" i="2"/>
  <c r="CD10" i="1"/>
  <c r="CE10" i="1"/>
  <c r="AG36" i="1"/>
  <c r="CD41" i="1"/>
  <c r="CE41" i="1"/>
  <c r="CE13" i="1"/>
  <c r="CD13" i="1"/>
  <c r="CD96" i="2"/>
  <c r="CE96" i="2"/>
  <c r="CD3" i="1"/>
  <c r="CE3" i="1"/>
  <c r="CD104" i="2"/>
  <c r="CE104" i="2"/>
  <c r="CD122" i="2"/>
  <c r="CE122" i="2"/>
  <c r="AG78" i="2"/>
  <c r="AG30" i="1"/>
  <c r="AG21" i="2"/>
  <c r="AG66" i="2"/>
  <c r="CD46" i="2"/>
  <c r="CE46" i="2"/>
  <c r="AG18" i="2"/>
  <c r="CD78" i="2"/>
  <c r="CE78" i="2"/>
  <c r="CD47" i="2"/>
  <c r="CE47" i="2"/>
  <c r="CD37" i="2"/>
  <c r="CE37" i="2"/>
  <c r="CD20" i="2"/>
  <c r="CE20" i="2"/>
  <c r="CE81" i="2"/>
  <c r="CD81" i="2"/>
  <c r="AG126" i="2"/>
  <c r="CD16" i="2"/>
  <c r="CE16" i="2"/>
  <c r="AG56" i="2"/>
  <c r="AG3" i="2"/>
  <c r="AG6" i="1"/>
  <c r="CD24" i="2"/>
  <c r="CE24" i="2"/>
  <c r="CE106" i="2"/>
  <c r="CD106" i="2"/>
  <c r="CD50" i="2"/>
  <c r="CE50" i="2"/>
  <c r="CD95" i="2"/>
  <c r="CE95" i="2"/>
  <c r="CE59" i="2"/>
  <c r="CD59" i="2"/>
  <c r="CD69" i="2"/>
  <c r="CE69" i="2"/>
  <c r="AG111" i="2"/>
  <c r="CD7" i="2"/>
  <c r="CE7" i="2"/>
  <c r="CD14" i="1"/>
  <c r="CE14" i="1"/>
  <c r="AG18" i="1"/>
  <c r="AG12" i="2"/>
  <c r="CD99" i="2"/>
  <c r="CE99" i="2"/>
  <c r="AG63" i="2"/>
  <c r="CD36" i="2"/>
  <c r="CE36" i="2"/>
  <c r="CD91" i="2"/>
  <c r="CE91" i="2"/>
  <c r="CD22" i="1"/>
  <c r="AG8" i="2"/>
  <c r="CD51" i="2"/>
  <c r="CE51" i="2"/>
  <c r="AG107" i="2"/>
  <c r="CD2" i="2"/>
  <c r="CE2" i="2"/>
  <c r="AG82" i="2"/>
  <c r="AG71" i="2"/>
  <c r="CD38" i="2"/>
  <c r="CE38" i="2"/>
  <c r="CD67" i="2"/>
  <c r="CE67" i="2"/>
  <c r="AG61" i="2"/>
  <c r="CD76" i="2"/>
  <c r="CE76" i="2"/>
  <c r="CD4" i="2"/>
  <c r="CE4" i="2"/>
  <c r="CD6" i="1"/>
  <c r="CE6" i="1"/>
  <c r="AG48" i="1"/>
  <c r="AG59" i="2"/>
  <c r="CD34" i="1"/>
  <c r="CE34" i="1"/>
  <c r="CD12" i="2"/>
  <c r="CE12" i="2"/>
  <c r="CD63" i="2"/>
  <c r="CE63" i="2"/>
  <c r="AG102" i="2"/>
  <c r="CD13" i="2"/>
  <c r="CE13" i="2"/>
  <c r="CD113" i="2"/>
  <c r="CE113" i="2"/>
  <c r="CD8" i="2"/>
  <c r="CE8" i="2"/>
  <c r="CD30" i="2"/>
  <c r="CD7" i="1"/>
  <c r="CE7" i="1"/>
  <c r="AG103" i="2"/>
  <c r="CE51" i="1"/>
  <c r="CD51" i="1"/>
  <c r="CD27" i="2"/>
  <c r="CE27" i="2"/>
  <c r="CE42" i="1"/>
  <c r="CD42" i="1"/>
  <c r="H29" i="3" l="1"/>
  <c r="H42" i="3"/>
  <c r="H30" i="3" l="1"/>
  <c r="H43" i="3"/>
  <c r="H31" i="3" l="1"/>
  <c r="H44" i="3"/>
  <c r="H32" i="3" l="1"/>
  <c r="H45" i="3"/>
  <c r="H33" i="3" l="1"/>
  <c r="H46" i="3"/>
  <c r="H34" i="3" l="1"/>
  <c r="H48" i="3" s="1"/>
  <c r="H4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N38" authorId="0" shapeId="0" xr:uid="{9F24B1F1-6963-4003-8DDD-6F6B608DF018}">
      <text>
        <r>
          <rPr>
            <sz val="10"/>
            <rFont val="Arial"/>
            <family val="2"/>
          </rPr>
          <t>Marca el valor de PROGRAMADO ACUMULADO en el mes en curso (segun la fecha de hoy). Se usa junto con Barras de error Y para dibujar una linea vertical en el grafico.</t>
        </r>
      </text>
    </comment>
  </commentList>
</comments>
</file>

<file path=xl/sharedStrings.xml><?xml version="1.0" encoding="utf-8"?>
<sst xmlns="http://schemas.openxmlformats.org/spreadsheetml/2006/main" count="5352" uniqueCount="1007">
  <si>
    <t>IDENTIFICADOR</t>
  </si>
  <si>
    <t>N° CONVENIO</t>
  </si>
  <si>
    <t>DEPARTAMENTO</t>
  </si>
  <si>
    <t>PROVINCIA</t>
  </si>
  <si>
    <t>DISTRITO</t>
  </si>
  <si>
    <t>CÓDIGO DE RUTA</t>
  </si>
  <si>
    <t>DENOMINACION DE INTERVENCION</t>
  </si>
  <si>
    <t>LONGITUD TOTAL (km)</t>
  </si>
  <si>
    <t>TIPO DE SUPERFICIE</t>
  </si>
  <si>
    <t>COSTO (km/mes)</t>
  </si>
  <si>
    <t>PLAZO (dc)</t>
  </si>
  <si>
    <t>EJECUCIÓN S/</t>
  </si>
  <si>
    <t>GG.OO S/</t>
  </si>
  <si>
    <t>TOTAL S/</t>
  </si>
  <si>
    <t>N° DE CONTRATO</t>
  </si>
  <si>
    <t>CONTRATISTA</t>
  </si>
  <si>
    <t>PLAZO CONTRACTUAL (DC)</t>
  </si>
  <si>
    <t>F. INICIO MANTENIMIENTO</t>
  </si>
  <si>
    <t>F. TERMINO MANTENIMIENTO</t>
  </si>
  <si>
    <t>MONTO CONTRATADO</t>
  </si>
  <si>
    <t>GASTOS OPERATIVOS (S/)</t>
  </si>
  <si>
    <t>TOTAL
(S/)</t>
  </si>
  <si>
    <t>PLAZO DE ADENDA (DC)</t>
  </si>
  <si>
    <t>MONTO DE ADENDA</t>
  </si>
  <si>
    <t>TOTAL (S/)</t>
  </si>
  <si>
    <t>N° TRAMITE</t>
  </si>
  <si>
    <t>MANTENIMIENTO S/</t>
  </si>
  <si>
    <t>GASTOS OPERATIVOS S/</t>
  </si>
  <si>
    <t>TOTAL DIAS EJECUTADOS</t>
  </si>
  <si>
    <t>ERROR MANTENIMIENTO</t>
  </si>
  <si>
    <t>ERROR GASTOS OPERATIVOS</t>
  </si>
  <si>
    <t>AREA USUARIA</t>
  </si>
  <si>
    <t>RESPONSABLE DE AREA USUARIA</t>
  </si>
  <si>
    <t>CARGO</t>
  </si>
  <si>
    <t>TELEFONO AU</t>
  </si>
  <si>
    <t>INSPECTOR</t>
  </si>
  <si>
    <t>DOC. DESIGNACIÓN</t>
  </si>
  <si>
    <t>FECHA DESIGNACIÓN</t>
  </si>
  <si>
    <t>TELEFONO INSPECTOR</t>
  </si>
  <si>
    <t>MONITOR</t>
  </si>
  <si>
    <t>TELEFONO MONITOR</t>
  </si>
  <si>
    <t>MOQUEGUA</t>
  </si>
  <si>
    <t>ILO</t>
  </si>
  <si>
    <t>ALGARROBAL</t>
  </si>
  <si>
    <t>MO-609</t>
  </si>
  <si>
    <t>LA PAMPA (KM 13+600) - EMP. PE-36 (KM 21+725)</t>
  </si>
  <si>
    <t>AFIRMADO</t>
  </si>
  <si>
    <t>GERENCIA DE TRANSPORTE PUBLICO Y CIRCULACION VIAL</t>
  </si>
  <si>
    <t>Pamela Aida Flores Laqui</t>
  </si>
  <si>
    <t>Gerente</t>
  </si>
  <si>
    <t>951 902 578</t>
  </si>
  <si>
    <t>MO-610</t>
  </si>
  <si>
    <t>LORETO (KM 0+280) - YARAL FLORIDA - PEDREGAL - BOCATOMA DE AGUA POTABLE (KM 06+593)</t>
  </si>
  <si>
    <t>ILO; ALGARROBAL</t>
  </si>
  <si>
    <t>EMP. PE-1S D - EL ALGARROBAL - EL HUESITO - LA PAMPA (KM 13+600)</t>
  </si>
  <si>
    <t>PAVIMENTADO</t>
  </si>
  <si>
    <t>MO-611</t>
  </si>
  <si>
    <t>EMP. PE-36 - EMP. MO-609 (KM 05+389)</t>
  </si>
  <si>
    <t>MO-612</t>
  </si>
  <si>
    <t>EMP. PE-36 (ROTARY) - TERMINAL TERRESTRE - EMP. PE-1S D (KM 04+708)</t>
  </si>
  <si>
    <t>EXCLUIDO</t>
  </si>
  <si>
    <t>MARISCAL NIETO</t>
  </si>
  <si>
    <t>CARUMAS</t>
  </si>
  <si>
    <t>MO-549</t>
  </si>
  <si>
    <t>EMP. PE-36 B (TITIRI) - ARUNTAYA - CACHIMOCO - PASTO GRANDE WILLACOLLO - LORIPUNGO - EMP.
PE-36 A (L. D. PUNO) (KM 51+600)</t>
  </si>
  <si>
    <t>IVP MARISCAL NIETO</t>
  </si>
  <si>
    <t>Wilbert Alfredo Paredes Choquehuanca</t>
  </si>
  <si>
    <t>979 589 720</t>
  </si>
  <si>
    <t>SAN ANTONIO</t>
  </si>
  <si>
    <t>R1801290</t>
  </si>
  <si>
    <t>EMP. PE-1S (CALALUNA) - SAN ANTONIO - COPOCROP - EMP. MO-603 (KM 05+485)</t>
  </si>
  <si>
    <t>OS-055-DT</t>
  </si>
  <si>
    <t>AVCOC EIRL</t>
  </si>
  <si>
    <t>R1801302</t>
  </si>
  <si>
    <t>EMP. PE-1S (SAN JOSÉ) - PTE. SANTO DOMINGO - LA MERCED - SACATA - EMP. MO-606 (KM 05+100)</t>
  </si>
  <si>
    <t>OS-053-DT</t>
  </si>
  <si>
    <t>MO-598</t>
  </si>
  <si>
    <t>EMP. MO-590 - EL RAYO - OCOLLITA -  ESTUQUIÑA - LOS ÁNGELES - EMP. MO-579 (TOMBOLOMBO) (KM 07+000)</t>
  </si>
  <si>
    <t>OS-083-DT</t>
  </si>
  <si>
    <t>TORATA</t>
  </si>
  <si>
    <t>MO-583</t>
  </si>
  <si>
    <t>EMP. PE-36 A - IE TORATA ALTA - TORATA ALTA (KM 03+524)</t>
  </si>
  <si>
    <t>OS-054-DT</t>
  </si>
  <si>
    <t>GENERAL SANCHEZ CERRO</t>
  </si>
  <si>
    <t>OMATE</t>
  </si>
  <si>
    <t>MO-521</t>
  </si>
  <si>
    <t>OMATE(KM 01+525) - CHICHILIN ALTO - CHALLAHUAYO - CARABAYA - COHUACHO (KM 14+931)</t>
  </si>
  <si>
    <t>C_391-2026</t>
  </si>
  <si>
    <t>CONSORCIO VIAL OMATE</t>
  </si>
  <si>
    <t>IVP GENERAL SANCHEZ CERRO</t>
  </si>
  <si>
    <t>Miler Barrientos Ramos</t>
  </si>
  <si>
    <t>959 090 019</t>
  </si>
  <si>
    <t>Memorando N° 0195-2026/MPGSC/GM/AFPT</t>
  </si>
  <si>
    <t>MO-524</t>
  </si>
  <si>
    <t>PUENTE OMATE (KM 1+041) - ANEXO LAJE (KM 1+587), LAJE ( KM 1+952) - CAPILLA VIRGEN COPACABANA (2+386), ANEXO SABAYA ( KM 02+ 534) - SAN MIGUEL (3+476), SAN FRANCISCO (KM 5+689) - I.E. N°43057 - URINAY (7+336)</t>
  </si>
  <si>
    <t>OS-519</t>
  </si>
  <si>
    <t>ASOCIACIÓN DE MANTENIMIENTO DE VÍAS VECINALES RURALES Y URBANOS SAN BERNARDO</t>
  </si>
  <si>
    <t>R180221</t>
  </si>
  <si>
    <t>EMP. MO-522 - ACHICARI - HUASALON - QUINISTACAS - EMP. MO-521 (CHALLAHUAYO)</t>
  </si>
  <si>
    <t>OS-180</t>
  </si>
  <si>
    <t>ASOCIACIÓN CIVIL
SAGRADO CORAZÓN
DE JESÚS-OMATE
- ASSACOJE</t>
  </si>
  <si>
    <t>PUQUINA</t>
  </si>
  <si>
    <t>MO-511</t>
  </si>
  <si>
    <t>PUQUINA (KM 01+245) - POCOHUAYO  (KM 7+151), POCOHUAYO (KM 07+438)  - TILIA - EMP. MO-512 (KM 10+748)</t>
  </si>
  <si>
    <t>C_389-2026</t>
  </si>
  <si>
    <t>LA CAPILLA</t>
  </si>
  <si>
    <t>MO-512</t>
  </si>
  <si>
    <t>TOHATA (KM 9+671) - COALAQUE - SOJAMURE - CAIMAN - HEMBRUNA (KM 16+019) , HEMBRUNA (KM 16+143) - CHALLAHUAYO - TALA - CURUYO - (KM 21+465), LA CAPILLA (KM 21+579) - VINOMORE - SAHUANAY (KM 24+785)</t>
  </si>
  <si>
    <t>C_388-2026</t>
  </si>
  <si>
    <t>N &amp; S INGENIERIA Y CONSTRUCCION S.A.C.</t>
  </si>
  <si>
    <t>UBINAS</t>
  </si>
  <si>
    <t>MO-529</t>
  </si>
  <si>
    <t>EMP. MO-100 - SANCAYA - C.P. SACOHAYA  (KM 03+480), C.P. SACOHAYA (KM  03+675) - EMP. MO-101 (KM 12+865)</t>
  </si>
  <si>
    <t>C_390-2026</t>
  </si>
  <si>
    <t>R180238</t>
  </si>
  <si>
    <t>EMP. MO-101 - EMP. MO-529</t>
  </si>
  <si>
    <t>OS-172</t>
  </si>
  <si>
    <t>MO-530</t>
  </si>
  <si>
    <t>EMP. MO-101 (MAYUMAYU)-ESCACHA (KM 07+081)</t>
  </si>
  <si>
    <t>OS-530</t>
  </si>
  <si>
    <t>COALAQUE</t>
  </si>
  <si>
    <t>MO-518</t>
  </si>
  <si>
    <t>EMP. MO-108 (COALAQUE) - INGRESANTES - ALTO INFIERNILLO - CHACLACA (KM 05+393)</t>
  </si>
  <si>
    <t>OS-158</t>
  </si>
  <si>
    <t>ASOCIACIÓN DE
MANTENIMIENTO
DE VÍAS VECINALES
RURALES Y URBANOS
SAN BERNARDO</t>
  </si>
  <si>
    <t>MO-516</t>
  </si>
  <si>
    <t>EMP. MO-108-PAMPA DOLORES -ULUCAN (KM 06+989)</t>
  </si>
  <si>
    <t>R180219</t>
  </si>
  <si>
    <t>EMP. MO-516 (ULUCAN) - PALCAMAYO (KM 02+984)</t>
  </si>
  <si>
    <t>TACNA</t>
  </si>
  <si>
    <t>CANDARAVE</t>
  </si>
  <si>
    <t>QUILAHUANI</t>
  </si>
  <si>
    <t>TA-549</t>
  </si>
  <si>
    <t>EMP. TA-103 (ARICOTA) - MARJANI (KM 2+031)</t>
  </si>
  <si>
    <t>O.S. 000155</t>
  </si>
  <si>
    <t>GRUPO PAVE CONTRATISTAS &amp; CONSULTORES E.I.R.L</t>
  </si>
  <si>
    <t>IVP CANDARAVE</t>
  </si>
  <si>
    <t>Alonso Mario Laura Paniagua</t>
  </si>
  <si>
    <t>969 494 987</t>
  </si>
  <si>
    <t>Alejandro Teobaldo Gonzales Huaraguara</t>
  </si>
  <si>
    <t>Memorandum N° 011-2026-USLO-GM/MPC</t>
  </si>
  <si>
    <t>985 200 188</t>
  </si>
  <si>
    <t>CAMILACA</t>
  </si>
  <si>
    <t>TA-521</t>
  </si>
  <si>
    <t>EMP. TA-109 - PTA. CARRETERA (ALTO CAMILACA)</t>
  </si>
  <si>
    <t>O.S. 000154</t>
  </si>
  <si>
    <t>HUANUARA; CANDARAVE; CURIBAYA</t>
  </si>
  <si>
    <t>TA-544</t>
  </si>
  <si>
    <t>EMP. TA-109 - DV. ANTAVILCA - EMP.  TA-104 (LAGUNA ARICOTA)</t>
  </si>
  <si>
    <t>Contrato N° 02-2026-MPС</t>
  </si>
  <si>
    <t>CONSORCIO VIAL ARICOTA</t>
  </si>
  <si>
    <t>TA-515</t>
  </si>
  <si>
    <t>EMP. TA-519 (DV. ALTO CAMILACA)- PTA. CARRETERA (KM 104+852)</t>
  </si>
  <si>
    <t>O.S. 000153</t>
  </si>
  <si>
    <t>GEDICO CONTRATISTAS GENERALES E.I.R.L</t>
  </si>
  <si>
    <t>Memorandum N° 012-2026-USLO-GM/MPC</t>
  </si>
  <si>
    <t>TA-504</t>
  </si>
  <si>
    <t>EMP. TA-105- SALLACPUJO-BAJAÑAMI-JACHACALA -EMP. TA-103</t>
  </si>
  <si>
    <t>O.S. 000152</t>
  </si>
  <si>
    <t>JORGE BASADRE</t>
  </si>
  <si>
    <t>LOCUMBA</t>
  </si>
  <si>
    <t>TA-573</t>
  </si>
  <si>
    <t>CINTO (KM 15+173) - MATOGROSO - PTA. CARRETERA (KM 18+714)</t>
  </si>
  <si>
    <t>001-2026-IVPMJB</t>
  </si>
  <si>
    <t>IVP JORGE BASADRE</t>
  </si>
  <si>
    <t>Walter Vidal Quispe Cutipa</t>
  </si>
  <si>
    <t>930 925 020</t>
  </si>
  <si>
    <t>Memorándum N° 017-2026-CGG-G.G./IVPM-JB</t>
  </si>
  <si>
    <t>TA-578</t>
  </si>
  <si>
    <t>EMP. PE-1S - LA AURORA - PTA. CARRETERA (KM 02+984)</t>
  </si>
  <si>
    <t>002-2026-IVPMJB</t>
  </si>
  <si>
    <t>DARLY ROXANA COTRINA SANTISTEBAN</t>
  </si>
  <si>
    <t>ILABAYA</t>
  </si>
  <si>
    <t>TA-572</t>
  </si>
  <si>
    <t>EMP. TA-109 (OCONCHAY)  - EMP. R230302 (KM 08+202)</t>
  </si>
  <si>
    <t>010-2026-IVPMJB</t>
  </si>
  <si>
    <t>LOCUMBA
ILABAYA</t>
  </si>
  <si>
    <t xml:space="preserve">R230302 </t>
  </si>
  <si>
    <t>EMP.TA-572 - EMP.R230305 (KM 06+742)</t>
  </si>
  <si>
    <t>003-2026-IVPMJB</t>
  </si>
  <si>
    <t>TA-575</t>
  </si>
  <si>
    <t>EMP. TA-109 - CUAYLATA - EMP. TA-109  (DV. CHIPE)</t>
  </si>
  <si>
    <t>004-2026-IVPMJB</t>
  </si>
  <si>
    <t>TA-574</t>
  </si>
  <si>
    <t>EMP. TA-109 (SAGOLLO)  - EMP. TA-573 (DV. PTE CINTO)</t>
  </si>
  <si>
    <t>005-2026-IVPMJB</t>
  </si>
  <si>
    <t>EMP. TA-109 (LOCUMBA) - PTE. CINTO - BARRIAL - CINTO (KM 15+173)</t>
  </si>
  <si>
    <t>009-2026-IVPMJB</t>
  </si>
  <si>
    <t>ITE</t>
  </si>
  <si>
    <t>TA-581</t>
  </si>
  <si>
    <t>ALFARILLO  (KM 01+929) - LAS VILCAS (KM 04+920)</t>
  </si>
  <si>
    <t>006-2026-IVPMJB</t>
  </si>
  <si>
    <t>TA-586</t>
  </si>
  <si>
    <t>EMP. TA-101 - EMP. TA-587</t>
  </si>
  <si>
    <t>007-2026-IVPMJB</t>
  </si>
  <si>
    <t>TA-583</t>
  </si>
  <si>
    <t>EMP. TA-101 (PAMPA BAJA) - PTE. SAN ISIDRO - SAN ISIDRO - EMP. TA-581 (ALFARILLO)</t>
  </si>
  <si>
    <t>008-2026-IVPMJB</t>
  </si>
  <si>
    <t>INCLAN</t>
  </si>
  <si>
    <t>TA-606</t>
  </si>
  <si>
    <t>EMP. TA-604-DV. TA-607-EMP.TA-605 (ALTO RAYO)</t>
  </si>
  <si>
    <t>0001-2026-IVPT</t>
  </si>
  <si>
    <t>COMERCIAL CYJSA E.I.R.L</t>
  </si>
  <si>
    <t>IVP TACNA</t>
  </si>
  <si>
    <t>John Lucero Vargas</t>
  </si>
  <si>
    <t>988 801 839</t>
  </si>
  <si>
    <t>Eddy Frank Coronado Choquecahua</t>
  </si>
  <si>
    <t>Memorandum N° 007-2026-GG-IVPT</t>
  </si>
  <si>
    <t>931 994 396</t>
  </si>
  <si>
    <t>TA-607</t>
  </si>
  <si>
    <t>EMP. TA-604 - EMP.TA-606</t>
  </si>
  <si>
    <t>TA-604</t>
  </si>
  <si>
    <t>EMP. PE-1S(KM 02+914)-PROTER-ALTO RAYO (KM 11+000)</t>
  </si>
  <si>
    <t>LA YARADA Y LOS PALOS</t>
  </si>
  <si>
    <t>TA-642</t>
  </si>
  <si>
    <t>EMP. PE-1SD - ASENTAMIENTO 5 Y 6 – EMP. TA-644</t>
  </si>
  <si>
    <t>0002-2026-IVPT</t>
  </si>
  <si>
    <t>TA-643</t>
  </si>
  <si>
    <t>EMP. PE-1SD - RANCHO GRANDE - PERPETUO SOCORRO - SAN PEDRO Y SAN PABLO - EMP. TA-644 (LOS PALOS)</t>
  </si>
  <si>
    <t>TA-644</t>
  </si>
  <si>
    <t>ASOC. DE TRABAJADORES BIOHUERTO LOS PALOS (KM 09+450) - LAS LAGUNAS- PTE. LOS PALOS - EMP. TA-645</t>
  </si>
  <si>
    <t>TA-645</t>
  </si>
  <si>
    <t>EMP. PE-1S (COMPLEJO SANTA ROSA) - LAS PALMERAS - PTA.  CARRETERA (KM 09+030)</t>
  </si>
  <si>
    <t>R230145</t>
  </si>
  <si>
    <t>EMP. PE-1SD-ANDAMARCA - ZONA Z -EMP.TA-642</t>
  </si>
  <si>
    <t>TARATA</t>
  </si>
  <si>
    <t>SUSAPAYA
TARATA
TICACO</t>
  </si>
  <si>
    <t>TA-557</t>
  </si>
  <si>
    <t>EMP. PE-38 -DV.SANTA LUCIA - JARUMAS - CULLCO - ANCOYANE- EMP. TA-556 (CANO).</t>
  </si>
  <si>
    <t>001-2026-MPT</t>
  </si>
  <si>
    <t>MF SOLUCIONES VIALES E.I.R.L</t>
  </si>
  <si>
    <t>IVP TARATA</t>
  </si>
  <si>
    <t>Hugo Wilfredo Pilco Pari</t>
  </si>
  <si>
    <t>952 659 584</t>
  </si>
  <si>
    <t>Renzo Francisco Alave Alarcon</t>
  </si>
  <si>
    <t>RGM N° 123-2026-GM/MPT</t>
  </si>
  <si>
    <t>993 867 336</t>
  </si>
  <si>
    <t>SUSAPAYA</t>
  </si>
  <si>
    <t>R230450</t>
  </si>
  <si>
    <t>EMP. TA-556 - SECTOR HUANUNE - SECTOR HUAILLAVIRA (KM 05+150)</t>
  </si>
  <si>
    <t>0000207-2026</t>
  </si>
  <si>
    <t>TA-563</t>
  </si>
  <si>
    <t>EMP. TA-107- CORACORANI</t>
  </si>
  <si>
    <t>0000209-2026</t>
  </si>
  <si>
    <t>SITAJARA</t>
  </si>
  <si>
    <t>R230411</t>
  </si>
  <si>
    <t>CHALLAGUAYA (KM 0+334) - SITAJARA (KM 7+954)</t>
  </si>
  <si>
    <t>0000208-2026</t>
  </si>
  <si>
    <t>TICACO</t>
  </si>
  <si>
    <t>R230439</t>
  </si>
  <si>
    <t>EMP. TA-103 (SECTOR TINTINI) - DESVIO SECTOR AGRICOLA PAJATA - SECTOR AGRICOLA CHURO (KM 08+240)</t>
  </si>
  <si>
    <t>0000211-2026</t>
  </si>
  <si>
    <t>ESTIQUE Y ESTIQUE PAMPA</t>
  </si>
  <si>
    <t>R230402</t>
  </si>
  <si>
    <t>EMP. PE-38 (SECTOR QUEOQUELA)-EMPP. TA-567</t>
  </si>
  <si>
    <t>0000210-2026</t>
  </si>
  <si>
    <t>PLAZO CONTRACTUAL (dc)</t>
  </si>
  <si>
    <t>PLAZO DE ADENDA (dc)</t>
  </si>
  <si>
    <t>HUANCAVELICA</t>
  </si>
  <si>
    <t>ACOBAMBA</t>
  </si>
  <si>
    <t>ACOBAMBA; POMACOCHA</t>
  </si>
  <si>
    <t>HV-751; HV-755</t>
  </si>
  <si>
    <t>EMP. PE-3S M (CHILLCAPITE) - CCARABAMBA (KM 5+823), SACHAORCCO (KM 7+974) - EMP. PE-3S M (TORORUMI); EMP. PE-3S M (VIRGEN DE LOURDES) - EMP. HV-751 (SUMACCLLACCTA)</t>
  </si>
  <si>
    <t>026-2026-CHO-GG/IVP/A</t>
  </si>
  <si>
    <t>GRUPO ESCOBAR SERVICIOS GENERALES SOCIEDAD ANONIMA CERRADA - GRUGEN S.A.C</t>
  </si>
  <si>
    <t>IVP ACOBAMBA</t>
  </si>
  <si>
    <t>Carlos Hinojosa Orejon</t>
  </si>
  <si>
    <t>956 786 924</t>
  </si>
  <si>
    <t>Nelson Aguilar Ceron</t>
  </si>
  <si>
    <t>Resolución Gerencial N° 004-2026/MPA-IVP-A-GG/CHO</t>
  </si>
  <si>
    <t>900 588 416</t>
  </si>
  <si>
    <t>ROSARIO; ACOBAMBA</t>
  </si>
  <si>
    <t>HV-757; HV-758</t>
  </si>
  <si>
    <t>EMP. HV-751 (CHIRAPACCASA) - CHECCHE - HUAYLLAPATA II; DV.ROSARIO (KM 05+095) - CCARHUACC</t>
  </si>
  <si>
    <t>027-2026-CHO-GG/IVP/A</t>
  </si>
  <si>
    <t>CONSTRUCTORA Y SERVICIOS MULTIPLES HERMANOS AZORZA SAC</t>
  </si>
  <si>
    <t>HV-837</t>
  </si>
  <si>
    <t>ACOBAMBA (KM 00+430) - BELLAVISTA - CASAVI - EMP. HV-839</t>
  </si>
  <si>
    <t>035-2026-CHO-GG/IVP/A</t>
  </si>
  <si>
    <t>HV-836; HV-838</t>
  </si>
  <si>
    <t>EMP. PE-3SM (CCELCCAYA) - HUAYLLAPATA I - JUAN VELASCO ALVARADO - EMP. HV-837 (ACCOCCASA); EMP. HV-837 - PUTACCA - EMP. HV-837</t>
  </si>
  <si>
    <t>033-2026-CHO-GG/IVP/A</t>
  </si>
  <si>
    <t>HV-834; HV-835</t>
  </si>
  <si>
    <t xml:space="preserve">EMP. PE-3S M (CCOCHCCACCASA) - OCCOROPAMPA - MITO; EMP. HV-834 (OCCOROPAMPA) -TRES DE OCTUBRE - EMP. HV-837 (ACCOCCASA) </t>
  </si>
  <si>
    <t>030-2026-CHO-GG/IVP/A</t>
  </si>
  <si>
    <t>ROSARIO</t>
  </si>
  <si>
    <t>R0902215; HV-761</t>
  </si>
  <si>
    <t xml:space="preserve">EMP. PE-3SM (CHACAHUAYCCO) - PUNCHAYPAMPA; EMP. HV-106 (DV. ANDABAMBA) -  PUNCHAYPAMPA (KM 07+020 </t>
  </si>
  <si>
    <t>034-2026-CHO-GG/IVP/A</t>
  </si>
  <si>
    <t>PAUCARÁ; ANDABAMBA</t>
  </si>
  <si>
    <t>R0902227</t>
  </si>
  <si>
    <t xml:space="preserve">EMP. PE-3SM (PAUCARÁ) - INCA PERCCAN - CHILLHUAPAMPA - SANTA CRUZ DE PACCHO - EMP. PE-3SM  </t>
  </si>
  <si>
    <t>038-2026-CHO-GG/IVP/A</t>
  </si>
  <si>
    <t>CONSTRUCTORA &amp; CONSULTORA BYN S.A.C</t>
  </si>
  <si>
    <t>ANDABAMBA; PAUCARA; ACORIA</t>
  </si>
  <si>
    <t>HV-764</t>
  </si>
  <si>
    <t xml:space="preserve">EMP. PE-3S M (PALMIRA ALTA) - PALMIRA BAJA - CCOCHAMARCA </t>
  </si>
  <si>
    <t>028-2026-CHO-GG/IVP/A</t>
  </si>
  <si>
    <t>ANTA; ROSARIO</t>
  </si>
  <si>
    <t>HV-829; HV-830</t>
  </si>
  <si>
    <t xml:space="preserve">EMP. HV-107 (CHANQUIL) - CHUÑUNUPATA - RAYANNIYOCC - ANTA (KM 10+302),  ANTA (KM 10+472) - PUCACCACCA - PARIAHUANCA - EMP. HV-831; EMP. HV-829 - EMP. HV-829 (PUCACCACCA) </t>
  </si>
  <si>
    <t>032-2026-CHO-GG/IVP/A</t>
  </si>
  <si>
    <t>HV-832; HV-831</t>
  </si>
  <si>
    <t xml:space="preserve">EMP. PE-3S M (PUCACRUZ) - LLECCLESPAMPA - CASACANCHA - EMP. HV-830; EMP. HV-832-EMP. HV-829 (PARIAHUANCA) </t>
  </si>
  <si>
    <t>041-2026-CHO-GG/IVP/A</t>
  </si>
  <si>
    <t>CONSORCIO MAPOGOS</t>
  </si>
  <si>
    <t>PAUCARÁ; ANTA; ROSARIO</t>
  </si>
  <si>
    <t>HV-803; HV-804; HV-827</t>
  </si>
  <si>
    <t xml:space="preserve">PAUCARÁ (KM 00+627) - LEGUAS - EMP. HV-107 (CCESPICANCHA); PAUCARÁ (KM 00+476) - CHACAPAMPA - EMP. HV-107 (CHANQUIL); CHANQUIL (KM 00+312) - OCCORO - EMP. HV-107 </t>
  </si>
  <si>
    <t>029-2026-CHO-GG/IVP/A</t>
  </si>
  <si>
    <t>ANTA</t>
  </si>
  <si>
    <t>HV-825</t>
  </si>
  <si>
    <t xml:space="preserve"> EMP. HV-107 - LACCANCCAPAMPA - SAN PEDRO ÑAHUINCUCHO - SANCAYPAMPA (KM  05+170)</t>
  </si>
  <si>
    <t>016-2026-CHO-GG/IVP-A</t>
  </si>
  <si>
    <t>CONSTRUCTORA ANTARES A Y W SOCIEDAD ANONIMA CERRADA</t>
  </si>
  <si>
    <t>ROSARIO; ANDABAMBA</t>
  </si>
  <si>
    <t>R0902223; HV-762</t>
  </si>
  <si>
    <t>EMP. PE-3SM (ICHUPAMPA) -  HUANCAPITE; HUANCAPITE (KM 00+100) - SOL DE ORO  (KM 01+025), SOL DE ORO (KM 01+203) - VISTA ALEGRE  (KM 03+612), VISTA ALEGRE  (KM 03+881) - PUCA CCASA - LINDAPAMPA (KM 08+582)</t>
  </si>
  <si>
    <t>045-2026-CHO-GG/IVP-A</t>
  </si>
  <si>
    <t>CONSORCIO INCAS</t>
  </si>
  <si>
    <t>POMACOCHA</t>
  </si>
  <si>
    <t>HV-846</t>
  </si>
  <si>
    <t xml:space="preserve">EMP. PE-3S M (CHOCLOCOCHA) - AGUAS VERDES - POMACOCHA </t>
  </si>
  <si>
    <t>015-2026-CHO-GG/IVP-A</t>
  </si>
  <si>
    <t>ANTA Y ACOBAMBA</t>
  </si>
  <si>
    <t>HV-839</t>
  </si>
  <si>
    <t xml:space="preserve">EMP. HV-840 (UCHUYBAMBA) - MANYACC </t>
  </si>
  <si>
    <t>031-2026-CHO-GG/IVP-A</t>
  </si>
  <si>
    <t>HV-844</t>
  </si>
  <si>
    <t xml:space="preserve">ACOBAMBA (KM 00+546) - CEMENTERIO ACOBAMBA - ALLPAS - PTE. SANTA OLA </t>
  </si>
  <si>
    <t>043-2026-CHO-GG/IVP-A</t>
  </si>
  <si>
    <t>CONSORCIO HUANCAVELICA</t>
  </si>
  <si>
    <t>R0902001</t>
  </si>
  <si>
    <t>CORRALPAMPA (KM 03+376) - EMP. HV-759 (VILLAMANTARO)</t>
  </si>
  <si>
    <t>044-2026-CHO-GG/IVP-A</t>
  </si>
  <si>
    <t>CAJA</t>
  </si>
  <si>
    <t>R0909042</t>
  </si>
  <si>
    <t xml:space="preserve">EMP. HV-749 (RURUNMARCA) - LLAHUECC </t>
  </si>
  <si>
    <t>037-2026-CHO-GG/IVP-A</t>
  </si>
  <si>
    <t>MARCAS</t>
  </si>
  <si>
    <t>HV-747</t>
  </si>
  <si>
    <t>EMP. PE-3S (CANCAPAMPA) -PARISA - CARMEN - MARCAS (KM 23+268)</t>
  </si>
  <si>
    <t>036-2026-CHO-GG/IVP-A</t>
  </si>
  <si>
    <t>ANGARAES</t>
  </si>
  <si>
    <t>JULCAMARCA Y CHINCHO</t>
  </si>
  <si>
    <t>HV-858</t>
  </si>
  <si>
    <t>EMP. PE-26 B (JULCAMARCA) - YURACCOCHA - YANACHOCCE - SAN JOSÉ DE VILLOC - CHINCHO - HUANCHUY</t>
  </si>
  <si>
    <t>009-2026/GG/IVP-A</t>
  </si>
  <si>
    <t>INVERSIONES MARCCOBAMBA EIRL</t>
  </si>
  <si>
    <t>IVP ANGARAES</t>
  </si>
  <si>
    <t>Javier Belito Ñahui</t>
  </si>
  <si>
    <t>944 949 287</t>
  </si>
  <si>
    <t>Jose Luis Huarcaya Cahuana</t>
  </si>
  <si>
    <t>RGG N° 042-2026-IVP-A/GG</t>
  </si>
  <si>
    <t>SECCLLA, JULCAMARCA Y  SANTO TOMAS DE PATA</t>
  </si>
  <si>
    <t>HV-864</t>
  </si>
  <si>
    <t>EMP. PE-26 B - (CUTICSA GRANDE) - CUTICSA - EMP. PE-26 B (ANTAMACHAY)</t>
  </si>
  <si>
    <t>010-2026/GG/IVP-A</t>
  </si>
  <si>
    <t>GPG CONTRATISTAS GENERALES SAC</t>
  </si>
  <si>
    <t>CCOCHACCASA Y ANCHONGA</t>
  </si>
  <si>
    <t>HV-816</t>
  </si>
  <si>
    <t>EMP. PE-26 B - UNIÓN PROGRESO - PARCO (KM 17+772), DESVIO A CHACARILLA (KM 19+440) - CHONTACANCHA (KM 23+170)</t>
  </si>
  <si>
    <t>004-2026/GG/IVP-A</t>
  </si>
  <si>
    <t>CORPORACIÓN R CHAVEZ EIRL</t>
  </si>
  <si>
    <t>HUANCA HUANCA</t>
  </si>
  <si>
    <t>HV-843</t>
  </si>
  <si>
    <t>EMP. HV-108 (HUANCA HUANCA) - COMUNPATA - SANTA ROSA DE PATAHUASI</t>
  </si>
  <si>
    <t>002-2026/GG/IVP-A</t>
  </si>
  <si>
    <t>CONSORCIO VIAL SANTA ROSA</t>
  </si>
  <si>
    <t>JULCAMARCA Y SAN ANTONIO DE ANTAPARCO</t>
  </si>
  <si>
    <t>HV-862</t>
  </si>
  <si>
    <t>EMP. PE-26 B - PAMPAHUASI - EMP. HV-860 (ANTAPARCO)</t>
  </si>
  <si>
    <t>015-2026/GG/IVP-A</t>
  </si>
  <si>
    <t>LIRCAY</t>
  </si>
  <si>
    <t>HV-869; R090315</t>
  </si>
  <si>
    <t>EMP. HV-868 (PUCAMARAY) - PULPERIA - NUEVA JERUSALEN - PELAPATA; EMP. HV-869 (PELAPATA) - SACCAPI - PARIA - EMP. HV-871</t>
  </si>
  <si>
    <t>013-2026/GG/IVP-A</t>
  </si>
  <si>
    <t>CONSORCIO VIAL INGAHUASI</t>
  </si>
  <si>
    <t>HV-868; HV-870</t>
  </si>
  <si>
    <t>EMP. PE-26 B (BUENA VISTA) - PUCAMARAY - CURIRUMI - SOCCLLABAMBA; EMP. HV-868 (CURIRUMI) - PIMIENTA</t>
  </si>
  <si>
    <t>014-2026/GG/IVP-A</t>
  </si>
  <si>
    <t>HV-881</t>
  </si>
  <si>
    <t>EMP. PE-26 B (LIRCAY) - JATUMPATA - CCOLLPAPAMPA - PATAPAMPA - CHALLHUAPUQUIO - PUEBLO NUEVO</t>
  </si>
  <si>
    <t>003-2026/GG/IVP-A</t>
  </si>
  <si>
    <t>CONSORCIO VIAL JATUMPATA</t>
  </si>
  <si>
    <t>HV-876</t>
  </si>
  <si>
    <t>EMP. PE-26 B (SANTA ELENA) - PITIMPATA - HUISIORCCO - MITOCCASA</t>
  </si>
  <si>
    <t>005-2026/GG/IVP-A</t>
  </si>
  <si>
    <t>CORPORACIÓN MINERA &amp; CONSTRUCTORA BELITO'S SAC</t>
  </si>
  <si>
    <t>SECCLLA</t>
  </si>
  <si>
    <t>HV-866; R090323</t>
  </si>
  <si>
    <t>EMP. PE-26 B (ATUNA) - CHILLAMA - ALLARPO - TRANCA - HUARACCOPATA; HABRA PAMPAMALI (KM 07+715) - HUARACCOPATA (KM 17+135)</t>
  </si>
  <si>
    <t>011-2026/GG/IVP-A</t>
  </si>
  <si>
    <t>CONGALLA</t>
  </si>
  <si>
    <t>HV-855</t>
  </si>
  <si>
    <t>EMP. HV-108 - ALELUYA - ORCCOCORRAL - EMP. HV-108</t>
  </si>
  <si>
    <t>012-2026/GG/IVP-A</t>
  </si>
  <si>
    <t>CONSTRUCTORA POCCO SAC</t>
  </si>
  <si>
    <t>HUANCA HUANCA (KM 00+250) - PTE. SANTA OLA (KM 10+610)</t>
  </si>
  <si>
    <t>008-2026/GG/IVP-A</t>
  </si>
  <si>
    <t>CALLANMARCA</t>
  </si>
  <si>
    <t>HV-840</t>
  </si>
  <si>
    <t>EMP. HV-108 (CALLANMARCA) - PTE. APOMAYO</t>
  </si>
  <si>
    <t>007-2026/GG/IVP-A</t>
  </si>
  <si>
    <t>T&amp;G MULTISERVICIOS EIRL</t>
  </si>
  <si>
    <t>HV-877</t>
  </si>
  <si>
    <t>LIRCAY (KM 01+625) - LOS ÁNGELES - CCARHUARUMI (KM 10+727)</t>
  </si>
  <si>
    <t>006-2026/GG/IVP-A</t>
  </si>
  <si>
    <t>HV-899</t>
  </si>
  <si>
    <t>EMP. HV-115 (STA. ROSA DE CONSTANCIA) - EMP. HV-900 (JULCANI)</t>
  </si>
  <si>
    <t>001-2026/GG/IVP-A</t>
  </si>
  <si>
    <t>CONSORCIO J&amp;M</t>
  </si>
  <si>
    <t>CASTROVIRREYNA</t>
  </si>
  <si>
    <t>TANTARA Y VILLA DE ARMA</t>
  </si>
  <si>
    <t>HV-950</t>
  </si>
  <si>
    <t xml:space="preserve"> TANTARA (KM 00+155) - LLANCAS </t>
  </si>
  <si>
    <t>02-2026-IVPMC</t>
  </si>
  <si>
    <t>ASOCIACIÓN CIVIL JATUN AYLLU</t>
  </si>
  <si>
    <t>IVP CASTROVIRREYNA</t>
  </si>
  <si>
    <t>Yax Garcia Candioti</t>
  </si>
  <si>
    <t>964 951 298</t>
  </si>
  <si>
    <t>Javier Flores Muñoz</t>
  </si>
  <si>
    <t>RGG N° 22-2026-IVPMC/GG</t>
  </si>
  <si>
    <t>995 299 744</t>
  </si>
  <si>
    <t>R090407</t>
  </si>
  <si>
    <t xml:space="preserve">EMP. HV - 950 (LLANCAS) - EMP. HV - 114 (DV. - CASACANCHA) </t>
  </si>
  <si>
    <t>01-2026-IVPMC</t>
  </si>
  <si>
    <t>CONTRATISTAS Y EJECUTORES ABC S.A.C.</t>
  </si>
  <si>
    <t>AURAHUA Y CHUPAMARCA</t>
  </si>
  <si>
    <t>HV-947</t>
  </si>
  <si>
    <t xml:space="preserve">AURAHUA (KM 00+275) - PAMPA LIBRE - PERCOYA -CHANCAHUASI - COLCABAMBA </t>
  </si>
  <si>
    <t>03-2026-IVPMC</t>
  </si>
  <si>
    <t>CONSTRUCTORA PNA ARAOZ EMPRESA INDIVIDUAL DE RESPONSABILIDAD LIMITADA</t>
  </si>
  <si>
    <t>R090436</t>
  </si>
  <si>
    <t xml:space="preserve">EMP. HV-947 (COLCABAMBA) - EMP. HV-132 (TIPICOCHA) </t>
  </si>
  <si>
    <t>04-2026-IVPMC</t>
  </si>
  <si>
    <t>SANTA ANA</t>
  </si>
  <si>
    <t>HV-982</t>
  </si>
  <si>
    <t xml:space="preserve">EMP. PE-28 D (PULTOC) - SANTA ANA - EMP. HV-978 (DV. - SANTA ROSA) </t>
  </si>
  <si>
    <t>12-2026-IVPMC</t>
  </si>
  <si>
    <t xml:space="preserve">GRUPO RIVEROS EMPRESA INDIVIDUAL DE RESPONSABILIDAD LIMITADA </t>
  </si>
  <si>
    <t>HUACHOS Y VILLA DE ARMA</t>
  </si>
  <si>
    <t>R090425</t>
  </si>
  <si>
    <t>EMP. HV-959 (CCACCACHACA) - EMP. HV-963 (DV. PAMPALANYA)</t>
  </si>
  <si>
    <t>11-2026-IVPMC</t>
  </si>
  <si>
    <t>FACTORIA OSORIO EMPRESA INDIVIDUAL DE RESPONSABILIDAD LIMITADA</t>
  </si>
  <si>
    <t>CASTROVIRREYNA Y HUACHOS</t>
  </si>
  <si>
    <t>HV-964</t>
  </si>
  <si>
    <t xml:space="preserve">EMP. PE-26 A - CABRACANCHA - VISTA ALEGRE - COCHA - OCORO SUYTUPAMPA </t>
  </si>
  <si>
    <t>14-2026-IVPMC</t>
  </si>
  <si>
    <t>INVERSIONES NEHEMIAS PEREZ EMPRESA INDIVIDUAL DE RESPONSABILIDAD LIMITADA</t>
  </si>
  <si>
    <t>AURAHUA</t>
  </si>
  <si>
    <t>HV-945</t>
  </si>
  <si>
    <t xml:space="preserve">EMP. PE-26 - COCHAMARCA </t>
  </si>
  <si>
    <t>09-2026-IVPMC</t>
  </si>
  <si>
    <t>HV-948</t>
  </si>
  <si>
    <t xml:space="preserve">EMP. HV-947 - SAN JOSÉ DE CHOCORO - ANTACANCHA </t>
  </si>
  <si>
    <t>10-2026-IVPMC</t>
  </si>
  <si>
    <t>CASTROVIRREYNA Y VILLA DE ARMA</t>
  </si>
  <si>
    <t>HV-963</t>
  </si>
  <si>
    <t>EMP. PE-26 (PAMPALANYA) - MOYA - YURRACCANCHA - PATACORRAL - EMP. HV-964 (PNTE. AUKA)</t>
  </si>
  <si>
    <t>13-2026-IVPMC</t>
  </si>
  <si>
    <t>SANTA ANA Y VILLA DE ARMA</t>
  </si>
  <si>
    <t>HV-979</t>
  </si>
  <si>
    <t xml:space="preserve">EMP. HV-978 (SANTA ROSA) - YANAMACHAY - VERDEPATA - VACAHUASI </t>
  </si>
  <si>
    <t>16-2026-IVPMC</t>
  </si>
  <si>
    <t>GRUPO RIVEROS EMPRESA INDIVIDUAL DE RESPONSABILIDAD LIMITADA</t>
  </si>
  <si>
    <t>CASTTROVIRREYNA, COCAS, HUACHOS Y MOLLEPAMPA</t>
  </si>
  <si>
    <t>HV-967</t>
  </si>
  <si>
    <t>EMP. HV-964 (CABRACANCHA) - CHIRIS -CEBADAPATA - CEBADAPATA (KM 15+811)</t>
  </si>
  <si>
    <t>05-2026-IVPMC</t>
  </si>
  <si>
    <t>CORPORACION R CHAVEZ E.I.R.L.</t>
  </si>
  <si>
    <t>MOLLEPAMPA</t>
  </si>
  <si>
    <t>HV-969</t>
  </si>
  <si>
    <t>EMP. PE-26 A - HUILCA (AUXILIO CHICO - CANCHINA - HUACHAC PAURANGA)</t>
  </si>
  <si>
    <t>06-2026-IVPMC</t>
  </si>
  <si>
    <t>CASTTROVIRREYNA</t>
  </si>
  <si>
    <t>HV-977</t>
  </si>
  <si>
    <t xml:space="preserve"> EMP. PE-28 D - CCAHUIÑA (LLIHUACCASA - CCAHUIÑA)</t>
  </si>
  <si>
    <t>07-2026-IVPMC</t>
  </si>
  <si>
    <t>CAPILLAS</t>
  </si>
  <si>
    <t>HV-954</t>
  </si>
  <si>
    <t xml:space="preserve"> EMP. PE-26A (DV. CAPILLAS) - CAPILLAS (KM 02+437), CAPILLAS (KM 02+917) - COCHAPAMPA - EMP. PE-26 (PUCARUMI)</t>
  </si>
  <si>
    <t>15-2026-IVPMC</t>
  </si>
  <si>
    <t>HV-974</t>
  </si>
  <si>
    <t xml:space="preserve"> EMP. PE-28 D (PACOCOCHA) - EMP. HV-978 (MINA UNO)</t>
  </si>
  <si>
    <t>08-2026-IVPMC</t>
  </si>
  <si>
    <t>CHURCAMPA</t>
  </si>
  <si>
    <t>ANCO</t>
  </si>
  <si>
    <t>R0905196; HV-737; HV-738</t>
  </si>
  <si>
    <t>EMP. HV-103 (MANZANAYOCC) - HUARACCO - CHACHASPATA - EMP. HV -737; DV. CHACHASPATA (KM 09+140) - RELAVE (KM 13+495); PICHCCAPUQUIO (KM 13+207) - UNION SANTA ROSA - TOTORA - CONOCC - LAMBRASNIYOCC - EMP. HV-737 (RELAVE)</t>
  </si>
  <si>
    <t>008-2026-IVP-CH/GG</t>
  </si>
  <si>
    <t>CONSORCIO HUARACCO</t>
  </si>
  <si>
    <t>IVP CHURCAMPA</t>
  </si>
  <si>
    <t>Iván Angel Mori Basaldua</t>
  </si>
  <si>
    <t>999 905 891</t>
  </si>
  <si>
    <t>Jose Luis Velarde Aponte</t>
  </si>
  <si>
    <t>RG N° 063-2026-IVP-CH/GG</t>
  </si>
  <si>
    <t>916 128 276</t>
  </si>
  <si>
    <t>LOCROJA</t>
  </si>
  <si>
    <t>HV-730; HV-731</t>
  </si>
  <si>
    <t>YAURECCAN (KM 03+666) - SAN ANTONIO - OCCOPAMPA - LOS ANDES - EMP. PE-3S D (TULLPACANCHA); EMP. HV-131 - EMP. HV-730 (YAURECCAN)</t>
  </si>
  <si>
    <t>011-2026-IVP-CH/GG</t>
  </si>
  <si>
    <t>INVERSIONES VLAGYN E.I.R.L</t>
  </si>
  <si>
    <t>HV-718; R090538</t>
  </si>
  <si>
    <t>EMP. HV-714 (HUANCASCUCHO) - HUALLCCAY - ALTO CCASA (KM 12+550); EMP. HV-718 - TOTORA CHINCHIN</t>
  </si>
  <si>
    <t>006-2026-IVP-CH/GG</t>
  </si>
  <si>
    <t>CONSORCIO HUALLCCAY</t>
  </si>
  <si>
    <t>CHURCAMPA; SAN MIGUEL DE MAYOCC; LOCROJA</t>
  </si>
  <si>
    <t>HV-726</t>
  </si>
  <si>
    <t>CHURCAMPA (KM 00+119) - CCAHUIÑA - SAN MATEO - CCARANACC (KM 08+520); CCARANACC (KM 08+574) - CCELLCCOY - CCOAMA - EMP. HV-729</t>
  </si>
  <si>
    <t>001-2026-IVP-CH/GG</t>
  </si>
  <si>
    <t>CONSORCIO DANUBIO</t>
  </si>
  <si>
    <t>PAUCARBAMBA; EL CARMEN; ANCO</t>
  </si>
  <si>
    <t>HV-741; R0905192</t>
  </si>
  <si>
    <t>EMP.PE-3SD - OCCORO - ATACCOCHA -SAHUAY -PALERMO - ANTA -PUCUTO - EMP.HV-131(DV.LARCAY).; PALERMO (KM 00+079) - ANCCOSPATA - CCEMICHE - EMP. HV-740 (CRUZ CCASA)</t>
  </si>
  <si>
    <t>004-2026-IVP-CH/GG</t>
  </si>
  <si>
    <t>CHINCHIHUASI</t>
  </si>
  <si>
    <t>HV-676</t>
  </si>
  <si>
    <t>EMP. HV-102 - VISTA ALEGRE - EMP. HV-683 (ARMA PATACANCHA)</t>
  </si>
  <si>
    <t>005-2026-IVP-CH/GG</t>
  </si>
  <si>
    <t>CONSORCIO CHURCAMPA</t>
  </si>
  <si>
    <t>CHINCHIHUASI Y PAUCARBAMBA</t>
  </si>
  <si>
    <t>HV-683</t>
  </si>
  <si>
    <t>EMP. PE-3S D (LECHUGUILLAS) - DV. HUACHOS - CHILCAPATA - ARMA PATACANCHA - LAYAMPATA - CHINCHIHUASI (KM 19+980)</t>
  </si>
  <si>
    <t>002-2026-IVP-CH/GG</t>
  </si>
  <si>
    <t>CHURCAMPA Y SAN PEDRO DE CORIS</t>
  </si>
  <si>
    <t>HV-714</t>
  </si>
  <si>
    <t>EMP. PE-3S D (QUINUAPATA) - HUNASCUCHO - PACCAY - CARHUANCHO - MILLPO - CCACCENA - CARHUANCHO - YAKUHUANAY - EMP. HV-712 (PAMPALCA)</t>
  </si>
  <si>
    <t>010-2026-IVP-CH/GG</t>
  </si>
  <si>
    <t>CONSORCIO VIAL</t>
  </si>
  <si>
    <t>COSME Y CHINCHIHUASI</t>
  </si>
  <si>
    <t>HV-682</t>
  </si>
  <si>
    <t>EMP. PE-3S D (LECHUGUILLAS) - PUTACCA - LIRPO - EMP. HV- 678 (SANTA CLARA DE COSME)</t>
  </si>
  <si>
    <t>003-2026-IVP-CH/GG</t>
  </si>
  <si>
    <t>CONSORCIO VIAS</t>
  </si>
  <si>
    <t xml:space="preserve">CHURCAMPA </t>
  </si>
  <si>
    <t>HV-720</t>
  </si>
  <si>
    <t>CHURCAMPA (KM 00+645) - PTE. CHALLHUAN (KM 24+104)</t>
  </si>
  <si>
    <t>007-2026-IVP-CH/GG</t>
  </si>
  <si>
    <t>MULTISERVICIOS MARANATHA SAC</t>
  </si>
  <si>
    <t>COSME</t>
  </si>
  <si>
    <t>HV-678</t>
  </si>
  <si>
    <t>EMP. PE-3S (VILLENA) - COLAUPE – PUEBLO LIBRE DE CHILCAPATA – 3 DE MAYO DE PANTUYLLA - SANTA CLARA DE COSME – CCARCCANCHA SULLAPAMPA - SANTA ROSA DE LLACUA – COTAY – ANTACALLA  (KM 34+250).</t>
  </si>
  <si>
    <t>009-2026-IVP-CH/GG</t>
  </si>
  <si>
    <t>CONSORCIO VILLENA</t>
  </si>
  <si>
    <t>ACORIA</t>
  </si>
  <si>
    <t>R0901212; HV-766; R0901214</t>
  </si>
  <si>
    <t>EMP. PE-3S - PTE. CUCHARAN - HUARI - EMP. HV-766 (CCEULLAPAMPA); CEULLAPAMPA (KM 17+310) - ANDABAMBILLA - UYRUMPI; EMP. HV-766 (ANDABAMBILLA) - ALIANZA ANDINO - EMP. R0901212 (DV. PTE. CUCHARAN)</t>
  </si>
  <si>
    <t>006-2026-IVP-H/GG</t>
  </si>
  <si>
    <t>CONSORCIO DREMCAP</t>
  </si>
  <si>
    <t>IVP HUANCAVELICA</t>
  </si>
  <si>
    <t>Juan Jose Ramos Gomez</t>
  </si>
  <si>
    <t>999 939 683</t>
  </si>
  <si>
    <t>Memorando N° 046-2026-GG-IVP/MPH</t>
  </si>
  <si>
    <t>R0901040</t>
  </si>
  <si>
    <t>EMP. HV-766 - CHILCAPUQUIO - LOS LIBERTADORES</t>
  </si>
  <si>
    <t>007-2026-IVP-H/GG</t>
  </si>
  <si>
    <t>PROYECTOS S &amp; J COMPANY EIRL</t>
  </si>
  <si>
    <t xml:space="preserve">HV-769; HV-768 </t>
  </si>
  <si>
    <t>EMP. PE-3SM (CCARHUARANRA) - NARANJAL - EMP. HV-768; CHUPACA (KM 9+900) - CCOSNIPUQUIO - DV. HV-769 (KM 14+870)</t>
  </si>
  <si>
    <t>026-2026-IVP-H/GG</t>
  </si>
  <si>
    <t>ASOCIACION CIVIL JATUN AYLLU</t>
  </si>
  <si>
    <t>R0901048; HV-783</t>
  </si>
  <si>
    <t>EMP. PE-3S M (PILCOCANCHA) - ATAYLLAMA - EMP. HV-783 (CHAYNAPAMPA); EMP. HV-722 (DV. ACORIA) - YANANACO - CHAYNAPAMPA</t>
  </si>
  <si>
    <t>018-2026-IVP-H/GG</t>
  </si>
  <si>
    <t>CONSORCIO ACUARIO</t>
  </si>
  <si>
    <t>HV-772; HV-786</t>
  </si>
  <si>
    <t>PTE. ACORIA (KM 0+200) - SILVA - DV. HV-785 (KM 14+340); CASTILLAPATA (KM 4+300) - TROYA - MOTOY - EMP. HV-772</t>
  </si>
  <si>
    <t>003-2026-IVP-H/GG</t>
  </si>
  <si>
    <t>HV-784</t>
  </si>
  <si>
    <t>EMP. PE-3SM - PANCCAN - EMP. HV-772</t>
  </si>
  <si>
    <t>001-2026-IVP-H/GG</t>
  </si>
  <si>
    <t>ASOCIACIÓN CIVIL OCCOPATA HUANCALPI</t>
  </si>
  <si>
    <t>HV-785</t>
  </si>
  <si>
    <t>EMP. HV-772 - HUANOPATA - AZUL CCOCHA - DV. VISKAS (KM 15+320)</t>
  </si>
  <si>
    <t>009-2026-IVP-H/GG</t>
  </si>
  <si>
    <t>CONSORCIO AGORA</t>
  </si>
  <si>
    <t>HV-779; HV-780; R0901080</t>
  </si>
  <si>
    <t>EMP. HV-780 (HUANASPAMPA) - UNION PROGRESO; EMP. PE-26 (LAIMINA) - HUANASPAMPA - EMP. HV-130 (DV. WIÑAQ); EMP. HV-130 (HUAYLLACCOTO) - TRES ESTRELLAS - ACHAPATA - EMP. R0901081 (CCARAHUASA)</t>
  </si>
  <si>
    <t>002-2026-IVP-H/GG</t>
  </si>
  <si>
    <t>CONTRATISTAS EJECUTORES ABC S.A.C</t>
  </si>
  <si>
    <t>YAULI</t>
  </si>
  <si>
    <t>HV-789; HV-790</t>
  </si>
  <si>
    <t xml:space="preserve">EMP. PE-26 (SACHAPITE) - ATALLA - PTE. YAULI (KM 13+870); EMP. HV-789 - CHACARILLA - UCHKUS INCAÑAN - EMP. HV-791 </t>
  </si>
  <si>
    <t>019-2026-IVP-H/GG</t>
  </si>
  <si>
    <t>CONSULTORES Y CONSTRUCTORES NUEVA GENERACIÓN ANDINA JANANMAN WIÑARISUM S.A.C</t>
  </si>
  <si>
    <t>HV-796; R0901093</t>
  </si>
  <si>
    <t>EMP. HV-112 - MATIPACANA - MOSOCCANCHA - CHACAPAMPA; EMP. HV-112 (PALTAMACHAY) - EMP. HV-796 (CHACAPAMPA)</t>
  </si>
  <si>
    <t>022-2026-IVP-H/GG</t>
  </si>
  <si>
    <t xml:space="preserve">EMPRESA ESPINOZA HNOS EMPRESA INDIVIDUAL </t>
  </si>
  <si>
    <t xml:space="preserve">HV-807 </t>
  </si>
  <si>
    <t>PACHACCLLA (KM 17+700) - EMP. PE-26B (CUNYACC)</t>
  </si>
  <si>
    <t>024-2026-IVP-H/GG</t>
  </si>
  <si>
    <t>CORPORACION MINERA &amp; CONSTRUCTORA BELITO'S S.A.C</t>
  </si>
  <si>
    <t>HV-809; R0901097</t>
  </si>
  <si>
    <t>EMP. HV-105 - CONDORHUACHANA; EMP. HV-809 (CONDORHUACHANA) - EMP. HV-807 (PTE. CCOLLPAPAMPA)</t>
  </si>
  <si>
    <t>021-2026-IVP-H/GG</t>
  </si>
  <si>
    <t>COORPORACIÓN ANHSOEM S.A.C</t>
  </si>
  <si>
    <t>HV-807; HV-808</t>
  </si>
  <si>
    <t>EMP. HV-105 (CHACMACCASA) - CHUCLLACCASA - DV. LIMAPAMPA (KM 7+420); EMP. HV-105 (PUYHUAN) - EMP. HV-807 (CHUCCLLACCASA)</t>
  </si>
  <si>
    <t>004-2026-IVP-H/GG</t>
  </si>
  <si>
    <t xml:space="preserve">HV-811; HV-814 </t>
  </si>
  <si>
    <t>EMP. HV-807 (CCARHUACC) - HUARIPATA - EMP. HV-816; EMP. HV-811 (PARCA) - PANTACHI NORTE</t>
  </si>
  <si>
    <t>023-2026-IVP-H/GG</t>
  </si>
  <si>
    <t xml:space="preserve">PALCA </t>
  </si>
  <si>
    <t>HV-909</t>
  </si>
  <si>
    <t>EMP. PE-26 (QUIMINA) - CHILLHUAPAMPA - HORNOBAMBA - EMP. HV-128</t>
  </si>
  <si>
    <t>017-2026-IVP-H/GG</t>
  </si>
  <si>
    <t>INVERSIONES GLACOMA SAC</t>
  </si>
  <si>
    <t>HV-903; HV-904</t>
  </si>
  <si>
    <t>EMP. PE-26B - TITICCASA - SANTA BARBARA; SAN JERONIMO (KM 0+900) - SACSAMARCA - EMP. HV-903</t>
  </si>
  <si>
    <t>025-2026-IVP-H/GG</t>
  </si>
  <si>
    <t>HUACHOCOLPA; HUANCAVELICA</t>
  </si>
  <si>
    <t xml:space="preserve">HV-896 </t>
  </si>
  <si>
    <t>EMP. HV-115 - PALLCAPAMPA - PUCACUCHO - EMP. HV-903 (TITICCASA)</t>
  </si>
  <si>
    <t>008-2026-IVP-H/GG</t>
  </si>
  <si>
    <t>R0901104; R0901105</t>
  </si>
  <si>
    <t>EMP. HV-896 (YANAMINA) - LAGUNA CCEULLACCOCHA - MACHAYPAMPA - CERRO CCARHUARAZU; EMP. R0901104 - RÍO OJOLOMAYO</t>
  </si>
  <si>
    <t>005-2026-IVP-H/GG</t>
  </si>
  <si>
    <t>HUKALLPALLA S.A.C</t>
  </si>
  <si>
    <t>ASCENSIÓN Y NUEVO OCCORO</t>
  </si>
  <si>
    <t>R0901126</t>
  </si>
  <si>
    <t>EMP. PE-26 (LACHOCC) - SAN PEDRO DE SACCSALLA - ORCCOBAMBA</t>
  </si>
  <si>
    <t>020-2026-IVP-H/GG</t>
  </si>
  <si>
    <t>CONSORCIO AAA ALIANZA</t>
  </si>
  <si>
    <t>VILCA Y HUAYLLAHUARA</t>
  </si>
  <si>
    <t>HV-934</t>
  </si>
  <si>
    <t>EMP. HV-110 (VILCA) - ACCOMARCA - ACOMACHAY - EMP. HV-933 (PUYHUAN)</t>
  </si>
  <si>
    <t>016-2026-IVP-H/GG</t>
  </si>
  <si>
    <t>ASOCIACION CIVIL DEL CONO NORTE DE HUANCAVELICA ACCCAPA</t>
  </si>
  <si>
    <t>VILCA</t>
  </si>
  <si>
    <t>HV-935</t>
  </si>
  <si>
    <t>EMP. HV-110 (SAN CARLOS) - CHUYA - EMP. HV-936 (SANTA ANA)</t>
  </si>
  <si>
    <t>028-2026-IVP-H/GG</t>
  </si>
  <si>
    <t>HV-936</t>
  </si>
  <si>
    <t>DV. R0901165 (KM 6+830) - CCORICOCHA - LEON PAMPA - RIEGO PAMPA - SANTA ANA - L. DPTAL. JUNÍN (KM 31+780)</t>
  </si>
  <si>
    <t>027-2026-IVP-H/GG</t>
  </si>
  <si>
    <t>CONSORCIO VIAL CORICOCHA</t>
  </si>
  <si>
    <t>HV-937</t>
  </si>
  <si>
    <t>EMP. HV-110 - HUANCALPI - CHAQUICCOCHA (KM 10+000)</t>
  </si>
  <si>
    <t>010-2026-IVP-H/GG</t>
  </si>
  <si>
    <t>CHRINTECO S.A.C</t>
  </si>
  <si>
    <t>MOYA</t>
  </si>
  <si>
    <t>HV-931</t>
  </si>
  <si>
    <t>EMP. HV-126 (MOYA) - ISLAYCHUMPI - TAMBONE - TULTURI</t>
  </si>
  <si>
    <t>013-2026-IVP-H/GG</t>
  </si>
  <si>
    <t>CONSORCIO AMANECER</t>
  </si>
  <si>
    <t>HV-932; R0901010</t>
  </si>
  <si>
    <t>EMP. HV-931 (ISLAYCHUMPI) - PUTACCA - YAUYOPATA; EMP. HV-126 - MARQUILLA - EMP. HV-932 (YAUYOPATA)</t>
  </si>
  <si>
    <t>015-2026-IVP-H/GG</t>
  </si>
  <si>
    <t>CONSORCIO AEEA</t>
  </si>
  <si>
    <t>PILCHACA</t>
  </si>
  <si>
    <t>HV-930</t>
  </si>
  <si>
    <t>EMP. HV-110 - SEBASTIAN BARRANCA - PILCHACA</t>
  </si>
  <si>
    <t>029-2026-IVP-H/GG</t>
  </si>
  <si>
    <t>R0901013; R0901018</t>
  </si>
  <si>
    <t>AMAÑANCHAY (KM 0+750) - VISTA ALEGRE - PILCHACA; EMP. HV-929 (PTE. ANGASMAYO) - EMP. R0901016 (CCOLLPA)</t>
  </si>
  <si>
    <t>014-2026-IVP-H/GG</t>
  </si>
  <si>
    <t>PETCA EMPRESA INDIVIDUAL DE RESPONSABILIDAD LIMITADA</t>
  </si>
  <si>
    <t>CUENCA; IZCUCHACA; CUENCA</t>
  </si>
  <si>
    <t>HV-924; HV-923</t>
  </si>
  <si>
    <t>EMP. HV-125 (DV. IZCUCHACA) - OSCCOLLO - CUENCA (KM 9+480); EMP. HV-126 (DV. MINAPAMPA) - EMP. HV-924 (DV. CUENCA)</t>
  </si>
  <si>
    <t>011-2026-IVP-H/GG</t>
  </si>
  <si>
    <t>ASOCIACION CIVIL OCCOPATA HUANCALPI</t>
  </si>
  <si>
    <t>HUANDO</t>
  </si>
  <si>
    <t>R0901059; R0901039</t>
  </si>
  <si>
    <t>EMP. HV- 915 (UTUSHAYCCO) - MUQUE - VISTA ALEGRE - EMP. R0901039; DV. R0901059 (KM 3+000) - EMP. HV-917</t>
  </si>
  <si>
    <t>012-2026-IVP-H/GG</t>
  </si>
  <si>
    <t>HUAYTARÁ</t>
  </si>
  <si>
    <t>SANTIAGO DE CHOCORVOS</t>
  </si>
  <si>
    <t>HV-1004</t>
  </si>
  <si>
    <t>EMP. HV-119 (QUISUARCCASA) - SAN LUIS DE CORERAC - MIGUEL DE CURIS - EMP. HV-119</t>
  </si>
  <si>
    <t>001-CS-2026-IVPM-H</t>
  </si>
  <si>
    <t>SAN ANTONIO DE TINGO E.I.R.L</t>
  </si>
  <si>
    <t>IVP HUAYTARA</t>
  </si>
  <si>
    <t>Luis Angel Neira Guevara</t>
  </si>
  <si>
    <t>954 638 400</t>
  </si>
  <si>
    <t>RPCD N° 027-2026-IVPM-H/PCD</t>
  </si>
  <si>
    <t>HUAYTARA</t>
  </si>
  <si>
    <t>R090647</t>
  </si>
  <si>
    <t>EMP. HV-1004 (SAN MIGUEL DE CURIS) - EMP. R090654 (SAN ANTONIO DE SAÑUHUILCA)</t>
  </si>
  <si>
    <t>002-CS-2026-IVPM-H</t>
  </si>
  <si>
    <t>CONSORCIO SAÑUHUILCA</t>
  </si>
  <si>
    <t>HYCDO ARMA Y SAN ANTONIO DE CUSICANCHA</t>
  </si>
  <si>
    <t>HV-997</t>
  </si>
  <si>
    <t xml:space="preserve">EMP. PE-28A - DV. PAMPAPUQUIO - VISTA ALEGRE - PACCHA - EMP. HV-117 </t>
  </si>
  <si>
    <t>003-CS-2026-IVPM-H</t>
  </si>
  <si>
    <t>CONSTRUCTORA &amp; SERVICIOS GENERALES MK S.A.C</t>
  </si>
  <si>
    <t>OCOYO Y QUERCO</t>
  </si>
  <si>
    <t>HV-1013</t>
  </si>
  <si>
    <t>EMP. HV -121 (HUALLHUAS) - SANTA ROSA DE PACOMARCA -PAMPACANCHA - ATA (KM 36+470)</t>
  </si>
  <si>
    <t>004-CS-2026-IVPM-H</t>
  </si>
  <si>
    <t>GESTIÓN Y DESARROLLO JB &amp; EM S.A.C</t>
  </si>
  <si>
    <t>SAN ANTONIO DE CUSICANCHA</t>
  </si>
  <si>
    <t>HV-996</t>
  </si>
  <si>
    <t>EMP. HV-117 (QUISUARPAMPA) - HUAYLLAHUAQUI - MINASCCASA - YANAJAJA (KM 24+030)</t>
  </si>
  <si>
    <t>005-CS-2026-IVPM-H</t>
  </si>
  <si>
    <t>INVERSIONES GENERALES LOVERA PERU E.I.R.L</t>
  </si>
  <si>
    <t>SAN FRANCISCO DE SANGAYAICO</t>
  </si>
  <si>
    <t>R090610</t>
  </si>
  <si>
    <t>EMP. HV-121 (HORNADA PATA) - SAN JUAN DE OCCORO - SUYTOCANCHA - CHIRIPA</t>
  </si>
  <si>
    <t>006-CS-2026-IVPM-H</t>
  </si>
  <si>
    <t>CONSORCIO VIAL AKAZA</t>
  </si>
  <si>
    <t>QUITO ARMA</t>
  </si>
  <si>
    <t>R090683</t>
  </si>
  <si>
    <t xml:space="preserve">EMP. PE-28 A (HUAYTARA) - CCOLCCAPAMPA - QUITO ARMA </t>
  </si>
  <si>
    <t>007-CS-2026-IVPM-H</t>
  </si>
  <si>
    <t>R090649</t>
  </si>
  <si>
    <t xml:space="preserve">EMP. R090654 (SANTIAGO DE CHOCORVOS) - LUCMAYOC - AHUACHA - LAMBRACCASA - EMP. HV-1004 (SAN LUIS DE CORERAC) </t>
  </si>
  <si>
    <t>008-CS-2026-IVPM-H</t>
  </si>
  <si>
    <t>CONSORCIO LUCMAYOC</t>
  </si>
  <si>
    <t>PILPICHACA</t>
  </si>
  <si>
    <t>HV-991</t>
  </si>
  <si>
    <t>EMP. PE-28A (PAMPAHUASI) (PROG. 03+000) - VISCAPALCA (PROG. 35+000)</t>
  </si>
  <si>
    <t>009-CS-2026-IVPM-H</t>
  </si>
  <si>
    <t>HV-872</t>
  </si>
  <si>
    <t xml:space="preserve">EMP. PE-28 A (TACCSANAPAMPA) - CACUYA - MARAYPAMPA - LLILLINTA </t>
  </si>
  <si>
    <t>012-CS-2026-IVPM-H</t>
  </si>
  <si>
    <t>CONSORCIO VIAL G&amp;N</t>
  </si>
  <si>
    <t>AYAVI</t>
  </si>
  <si>
    <t>HV-1000</t>
  </si>
  <si>
    <t>EMP. PE-28 A - EMP. HV-118</t>
  </si>
  <si>
    <t>010-CS-2026-IVPM-H</t>
  </si>
  <si>
    <t>CORPORACIÓN DAYCE E.I.R.L</t>
  </si>
  <si>
    <t>SANTIAGO DE QUIRAHUARA</t>
  </si>
  <si>
    <t>R090625</t>
  </si>
  <si>
    <t>EMP. HV-121 (AYAMA) - VILLA EL SALVADOR - CCARAIMARCA</t>
  </si>
  <si>
    <t>011-CS-2026-IVPM-H</t>
  </si>
  <si>
    <t>SAN ANTONIO DE CACRE E.I.R.L</t>
  </si>
  <si>
    <t>TAYACAJA</t>
  </si>
  <si>
    <t>DANIEL HERNANDEZ Y PAMPAS</t>
  </si>
  <si>
    <t>HV-607</t>
  </si>
  <si>
    <t>VIÑAS (KM 03+264) - CASAY - PUCAERA - PE-3S (MANTACRA)</t>
  </si>
  <si>
    <t>006-2026-IVP-T</t>
  </si>
  <si>
    <t>SERVICIO GENERALES AMAJ E.I.R.L.</t>
  </si>
  <si>
    <t>IVP TAYACAJA</t>
  </si>
  <si>
    <t>Betsabe Huaman Yaranga</t>
  </si>
  <si>
    <t>948 084 687</t>
  </si>
  <si>
    <t>Percy Huaman Sedano</t>
  </si>
  <si>
    <t>Memorándum N° 120-2026-IVP-T/GG</t>
  </si>
  <si>
    <t>959 736 439</t>
  </si>
  <si>
    <t>ACOSTAMBO Y ACRAQUIA</t>
  </si>
  <si>
    <t>HV-585</t>
  </si>
  <si>
    <t>ACOSTAMBO (KM 00+280) - SANTA CRUZ - LAUSA CHICO - ACRAQUIA</t>
  </si>
  <si>
    <t>023-2026-IVP-T</t>
  </si>
  <si>
    <t>NIÑO JESUS DE SANTA LUCIA E.I.R.L</t>
  </si>
  <si>
    <t>SAN MARCOS DE ROCCHAC</t>
  </si>
  <si>
    <t>HV-501</t>
  </si>
  <si>
    <t>EMP. HV-109 (DV. SAN ISIDRO DE ACOMBAMBA) - SAN FRANCISCO DE PACCHA - SAN MARCOS DE ROCCHAC (KM 16+530), SAN MARCOS DE ROCCHAC (KM 16+800) - PACHAS - PALCA YACU - ALLPACORRAL - MONTECOLPA (KM 28+600), MONTECOLPA (KM 28+694) - CHACAPAMPA - LA UNION CHILCHE</t>
  </si>
  <si>
    <t>019-2026-IVP-T</t>
  </si>
  <si>
    <t>CONSTRUCTORA E INVERSIONES H &amp; V S.A.C.</t>
  </si>
  <si>
    <t>ROBLE</t>
  </si>
  <si>
    <t>R090798</t>
  </si>
  <si>
    <t>EMP. HV-518 (SAN ISIDRO) - CEDROPAMPA - ROBLE -RÍO HIMAYBAMBA.</t>
  </si>
  <si>
    <t>005-2026-IVP-T</t>
  </si>
  <si>
    <t>INVERSIONES CONTERAS H &amp; E SOCIEDAD ANONIMA CERRADA</t>
  </si>
  <si>
    <t>PAZOS Y PICHOS</t>
  </si>
  <si>
    <t>HV-561</t>
  </si>
  <si>
    <t>EMP. HV-124 (SANTA CRUZ DE ILACHURAMPI) - CARAMPA - PICHUS</t>
  </si>
  <si>
    <t>007-2026-IVP-T</t>
  </si>
  <si>
    <t>SERVICIOS GENERALES AMAJ E.I.R.L.</t>
  </si>
  <si>
    <t>ACOSTAMBO</t>
  </si>
  <si>
    <t>HV-588</t>
  </si>
  <si>
    <t>VILLA REAL (KM 01+850) - CHILCAPATA - QUINTAOCCO - CHUCUNA - EMP. HV-585 (SANTA CRUZ)</t>
  </si>
  <si>
    <t>013-2026-IVP-T</t>
  </si>
  <si>
    <t>SERVICIOS GENERALES HATARIY EMPRESA INDIVIDUAL DE RESPONSABILIDAD LIMITADA</t>
  </si>
  <si>
    <t>PAZOS Y HUARIBAMBA</t>
  </si>
  <si>
    <t>HV-550</t>
  </si>
  <si>
    <t>MULLCA (KM 00+105) - TONGOS (KM 04+565), TONGOS (KM 04+638) - HUARIBAMBA</t>
  </si>
  <si>
    <t>014-2026-IVP-T</t>
  </si>
  <si>
    <t>SERVICIOS GENERALES HMMJ E.I.R.L</t>
  </si>
  <si>
    <t>SURCUBAMBA</t>
  </si>
  <si>
    <t>R0907036</t>
  </si>
  <si>
    <t>EMP. HV-101 (CHIQUIAC) – FUNDO AYHUINCA –SACHACOTO (KM 18+480).</t>
  </si>
  <si>
    <t>015-2026-IVP-T</t>
  </si>
  <si>
    <t>HATARI PERU J &amp; B S.A.C</t>
  </si>
  <si>
    <t>TINTAY PUNCU Y COCHABAMBA</t>
  </si>
  <si>
    <t>HV-520</t>
  </si>
  <si>
    <t>EMP. HV-101 (DV. TINTAY PUNCU - SUNE) - SUNE</t>
  </si>
  <si>
    <t>020-2026-IVP-T</t>
  </si>
  <si>
    <t>ASOCIACION CIVIL SIN FINES DE LUCRO CAMINOS CORI TINAJA</t>
  </si>
  <si>
    <t>SALCAHUASI</t>
  </si>
  <si>
    <t>HV-525</t>
  </si>
  <si>
    <t>EMP. HV-101 (SALCAHUASI) - CCARCCANCHA - URPAY - VERDE PATA - HUACCAYRUMI - CHUYA PATA - LAMBRAS PATA - PALMA PAMPA - MUCHCA</t>
  </si>
  <si>
    <t>010-2026-IVP-T</t>
  </si>
  <si>
    <t>JUDITH CCANTO HILARIO</t>
  </si>
  <si>
    <t>PAMPAS</t>
  </si>
  <si>
    <t>HV-626</t>
  </si>
  <si>
    <t>EMP. PE-3S (TABLACHACA) - AHUAYCHA CASAY - OCOBAMBA YANAJAJA - EMP. HV-625 (DV. OCOBAMBA CASAY)</t>
  </si>
  <si>
    <t>016-2026-IVP-T</t>
  </si>
  <si>
    <t>CONSTRUCTORA &amp; SERVICIOS REYES S.A.C</t>
  </si>
  <si>
    <t>QICHUAS Y COLCABAMBA</t>
  </si>
  <si>
    <t>HV-633</t>
  </si>
  <si>
    <t>DV. HV-636 (KM 21+120) - ACCOYANCA - BUENOS AIRES - EMP. HV-632 (AYAIPAMPA)</t>
  </si>
  <si>
    <t>022-2026-IVP-T</t>
  </si>
  <si>
    <t>PINO INGENIERIA &amp; CONSTRUCCION S.A.C</t>
  </si>
  <si>
    <t>SALCABAMBA</t>
  </si>
  <si>
    <t>HV-506</t>
  </si>
  <si>
    <t>EMP. HV-109 (MANCHAY)-YACUHUANAY - PILATA - LOMA PATA - SAN JUAN DE YANAYACU - CEDROPAMPA</t>
  </si>
  <si>
    <t>001-2026-IVP-T</t>
  </si>
  <si>
    <t>GRUPO BRAC S.A.C</t>
  </si>
  <si>
    <t>HV-632</t>
  </si>
  <si>
    <t>EMP. PE-3S D (PASO DANUBIO) - AYAIPAMPA (KM 12+500)</t>
  </si>
  <si>
    <t>012-2026-IVP-T</t>
  </si>
  <si>
    <t>QUICHUAS</t>
  </si>
  <si>
    <t>HV-638</t>
  </si>
  <si>
    <t>EMP. PE-3S (SANTA ROSA DE MALLMA BAJA) - SANTA ROSA DE MALLMA ALTA - SAN ANDRÉS - DV. HV-639 (KM 11+719)</t>
  </si>
  <si>
    <t>011-2026-IVP-T</t>
  </si>
  <si>
    <t>AHUAYCHA</t>
  </si>
  <si>
    <t>HV-552</t>
  </si>
  <si>
    <t>RAYAN PATA (KM 00+215) - CATAC - EMP. PE-3S D</t>
  </si>
  <si>
    <t>008-2026-IVP-T</t>
  </si>
  <si>
    <t>CONSTRUCTORA SALVADOR PACIFIC SOCIEDAD ANOMINA CERRADA</t>
  </si>
  <si>
    <t>PAZOS</t>
  </si>
  <si>
    <t>HV-569</t>
  </si>
  <si>
    <t>EMP. HV-568 - ACOCRA (KM 10+936)</t>
  </si>
  <si>
    <t>009-2026-IVP-T</t>
  </si>
  <si>
    <t>CONSTRUCTORA SALVADOR PACIFIC SOCIEDAD ANONIMA CERRADA</t>
  </si>
  <si>
    <t>ACRAQUIA</t>
  </si>
  <si>
    <t>HV-598</t>
  </si>
  <si>
    <t>EMP. HV- 585 (YURACASA) - COLIS - PUSQUI - PICHCA</t>
  </si>
  <si>
    <t>003-2026-IVP-T</t>
  </si>
  <si>
    <t>SERVICIOS GENERALES HATARIY EMPRESA INDIVIDUAL DE RESPONSABILIDAD INMEDIATA</t>
  </si>
  <si>
    <t>HUACHOCOLPA Y LAMBRAS</t>
  </si>
  <si>
    <t>HV-509</t>
  </si>
  <si>
    <t>EMP. HV-123 (CASA BLANCA) - ICHUCUCHU - PUYTOC - EMP. HV-123 (DV. SANTA MARÍA)</t>
  </si>
  <si>
    <t>004-2026-IVP-T</t>
  </si>
  <si>
    <t>HV-571</t>
  </si>
  <si>
    <t>EMP. PE-3S C (TAYACCASA) - SAN JOSE DE AYMARA - QUICHPIDICAS - EMP. PE-3S C (PAZOS)</t>
  </si>
  <si>
    <t>021-2026-IVP-T</t>
  </si>
  <si>
    <t>CONSORCIO SAN JOSÉ AYMARA – QUICHPIDICAS</t>
  </si>
  <si>
    <t>ANDAYMARCA</t>
  </si>
  <si>
    <t>HV-669</t>
  </si>
  <si>
    <t>EMP. HV-666 (DV. PICHIU) - HUARANHUAY (KM 09+013).</t>
  </si>
  <si>
    <t>017-2026-IVP-T</t>
  </si>
  <si>
    <t>SERVICIOS GENERALES GROW E.I.R.L</t>
  </si>
  <si>
    <t>HV-507</t>
  </si>
  <si>
    <t>EMP. HV109 (POTRERO) - HUAMANMARCA (KM 06+831)</t>
  </si>
  <si>
    <t>018-2026-IVP-T</t>
  </si>
  <si>
    <t>SANTIAGO DE TUCUMA</t>
  </si>
  <si>
    <t>HV-553</t>
  </si>
  <si>
    <t>EMP. HV- 554 - SAN CRISTOBAL DE HUAYRAPIRE - CAPILLAPATA (KM 06+503)</t>
  </si>
  <si>
    <t>002-2026-IVP-T</t>
  </si>
  <si>
    <t>Memorandum N° 013-2026-USLO-GM/MPC</t>
  </si>
  <si>
    <t>CONTROL FINANCIERO INTEGRADO PARA EL SEGUIMIENTO DEL MANTENIMIENTO RUTINARIO EN EL PIA 2026</t>
  </si>
  <si>
    <t>ADENDA MANT S/</t>
  </si>
  <si>
    <t>ADENDA GG.OO S/</t>
  </si>
  <si>
    <t>TOTAL ADENDA S/</t>
  </si>
  <si>
    <t>INICIO ADENDA</t>
  </si>
  <si>
    <t>FIN ADENDA</t>
  </si>
  <si>
    <t>PLAZO DE ADENDA</t>
  </si>
  <si>
    <t>CONTRATO PRINCIPAL</t>
  </si>
  <si>
    <t>INICIO CONTRATO</t>
  </si>
  <si>
    <t>FIN CONTRATO</t>
  </si>
  <si>
    <t>CONTRATO MANT S/</t>
  </si>
  <si>
    <t>CONTRATO GG.OO S/</t>
  </si>
  <si>
    <t>TOTAL CONTRATO S/</t>
  </si>
  <si>
    <t>COSTO KM-MES</t>
  </si>
  <si>
    <t>VALIDADO ACUMULADO (S/)</t>
  </si>
  <si>
    <t>PIM ANUAL TRANSFERIDO (S/)</t>
  </si>
  <si>
    <t>% EJECUCIÓN FINANCIERA</t>
  </si>
  <si>
    <t>MES</t>
  </si>
  <si>
    <t>DESFASE MENSUAL (S/)</t>
  </si>
  <si>
    <t>GIRADO MENSUAL (S/)</t>
  </si>
  <si>
    <t>VALIDADO MENSUAL (S/)</t>
  </si>
  <si>
    <t>PROGRAMADO MENSUAL (S/)</t>
  </si>
  <si>
    <t>% GIRO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</si>
  <si>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</si>
  <si>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</si>
  <si>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</si>
  <si>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</si>
  <si>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</si>
  <si>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</si>
  <si>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</si>
  <si>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</si>
  <si>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</si>
  <si>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</si>
  <si>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PROGRAMADO MARZO</t>
  </si>
  <si>
    <t>VALIDADO MARZO</t>
  </si>
  <si>
    <t>GIRADO MARZO</t>
  </si>
  <si>
    <t>PROGRAMADO ABRIL</t>
  </si>
  <si>
    <t>VALIDADO ABRIL</t>
  </si>
  <si>
    <t>GIRADO ABRIL</t>
  </si>
  <si>
    <t>PROGRAMADO MAYO</t>
  </si>
  <si>
    <t>VALIDADO MAYO</t>
  </si>
  <si>
    <t>GIRADO MAYO</t>
  </si>
  <si>
    <t>PROGRAMADO JUNIO</t>
  </si>
  <si>
    <t>VALIDADO JUNIO</t>
  </si>
  <si>
    <t>GIRADO JUNIO</t>
  </si>
  <si>
    <t>PROGRAMADO JULIO</t>
  </si>
  <si>
    <t>VALIDADO JULIO</t>
  </si>
  <si>
    <t>GIRADO JULIO</t>
  </si>
  <si>
    <t>PROGRAMADO AGOSTO</t>
  </si>
  <si>
    <t>VALIDADO AGOSTO</t>
  </si>
  <si>
    <t>GIRADO AGOSTO</t>
  </si>
  <si>
    <t>PROGRAMADO SETIEMBRE</t>
  </si>
  <si>
    <t>VALIDADO SETIEMBRE</t>
  </si>
  <si>
    <t>GIRADO SETIEMBRE</t>
  </si>
  <si>
    <t>PROGRAMADO OCTUBRE</t>
  </si>
  <si>
    <t>VALIDADO OCTUBRE</t>
  </si>
  <si>
    <t>GIRADO OCTUBRE</t>
  </si>
  <si>
    <t>PROGRAMADO NOVIEMBRE</t>
  </si>
  <si>
    <t>VALIDADO NOVIEMBRE</t>
  </si>
  <si>
    <t>GIRADO NOVIEMBRE</t>
  </si>
  <si>
    <t>PROGRAMADO DICIEMBRE</t>
  </si>
  <si>
    <t>VALIDADO DICIEMBRE</t>
  </si>
  <si>
    <t>GIRADO DICIEMBRE</t>
  </si>
  <si>
    <t>TOTAL</t>
  </si>
  <si>
    <t>MATRIZ AUXILIAR</t>
  </si>
  <si>
    <t>PROGRAMADO ACUMULADO (S/)</t>
  </si>
  <si>
    <t>GIRADO ACUMULADO (S/)</t>
  </si>
  <si>
    <t>% DESFASE / BRECHA</t>
  </si>
  <si>
    <t>+10 % TOLERANCIA SUPERIOR</t>
  </si>
  <si>
    <t>-15 % TOLERANCIA INFERIOR</t>
  </si>
  <si>
    <t>MATRIZ DE CONTROL MENSUAL ACUMULADO (CONSOLIDADO): MP CASTROVIRREYNA</t>
  </si>
  <si>
    <t>PERIODO ACTUAL (marcador)</t>
  </si>
  <si>
    <t>Código de Vía</t>
  </si>
  <si>
    <t>Departamento</t>
  </si>
  <si>
    <t>Provincia</t>
  </si>
  <si>
    <t>Distrito</t>
  </si>
  <si>
    <t>Tipo Mantenimiento</t>
  </si>
  <si>
    <t>FITSA Aprobado</t>
  </si>
  <si>
    <t>Convenio</t>
  </si>
  <si>
    <t>Avance Físico (%)</t>
  </si>
  <si>
    <t>Avance Finan. (%)</t>
  </si>
  <si>
    <t>Estado Actual</t>
  </si>
  <si>
    <t>Nombre de la Intervención</t>
  </si>
  <si>
    <t>Rutinario</t>
  </si>
  <si>
    <t>Firmado</t>
  </si>
  <si>
    <t>N/A</t>
  </si>
  <si>
    <t>En Ejecución</t>
  </si>
  <si>
    <t>Excluido de la Ejecución</t>
  </si>
  <si>
    <t>Pendiente de Inicio</t>
  </si>
  <si>
    <t>HV-104</t>
  </si>
  <si>
    <t>HV-132</t>
  </si>
  <si>
    <t>HV-122</t>
  </si>
  <si>
    <t>HV-127</t>
  </si>
  <si>
    <t>HV-110</t>
  </si>
  <si>
    <t>HV-121</t>
  </si>
  <si>
    <t>HV-125</t>
  </si>
  <si>
    <t>HV-108</t>
  </si>
  <si>
    <t>HV-111</t>
  </si>
  <si>
    <t>HV-102</t>
  </si>
  <si>
    <t>EMP. PE–3SD (CHONTA) – OXAPATA – SAN PEDRO DE CORIS – MACHAHUAY ALTO – COBRIZA (KM 35+862)</t>
  </si>
  <si>
    <t>EMP. PE–26 (DV. HUARACCO) - PALTACCACCA – COTAY – OJEPUCRO (KM 29+945)</t>
  </si>
  <si>
    <t>EMP. HV–118 (MARCCARENJA) – ALLPACHACA – TUNAY – JATUN PUCRO – EMP. HV–121 (KM 30+857)</t>
  </si>
  <si>
    <t>EMP. PE–26 (DV. TINLLACCLLA) – LIBERTADORES – VISCAPATA – CONAICASA – TINLLACCLLA – TAMBOPATA – CCOCHACCASA – SAN LUIS – MANTA – EMP. HV–110 (KM 59+642)</t>
  </si>
  <si>
    <t>VILLA UNION (KM 69+743) – VIÑAS – ACOBAMBILLA – L.D. JUNÍN (KM 114+347)</t>
  </si>
  <si>
    <t>EMP. PE–28A (BETANIA)– LAGUNA PARIONACOCHA – HORNADA – PARIONA – HATUNORCCO – LARAMARCA – PORONCOCHA – QUERCO (KM 103+604), QUERCO (KM 104+043) - PACOMARCA (KM 116+905), PACOMARCA (KM 117+188) - SANTIAGO DE QUIRAHUARA (KM 132+832), SANTIAGO DE QUIRAHUARA (KM 133+182) – EMP. HV-120 (KM 145+357)</t>
  </si>
  <si>
    <t>CONAYCA (KM 12+974) - BARRIO PROGRESO - LOS ANGELES - LARIA (KM24+615), LARIA (24+714) - BUENOS AIRES (KM 29+839)</t>
  </si>
  <si>
    <t>LIRCAY (KM 0+616) – LIRCAY (KM 1+046), LIRCAY (KM 2+664) – HUAYLLAY CHICO – HUAYLLAY GRANDE – CALLANMARCA (KM 28+726), CALLANMARCA (KM 29+479) – HUANCA HUANCA – CHAYNABAMBA (KM 57+847), CHAYNABAMBA (KM 58+140) – YUNYACCASA (KM 61+409), YUNYACCASA (KM 61+486) – TOTORA – CONGALLA (KM 70+908), CONGALLA (KM 71+767) – CARCOSI (KM 81+299), CARCOSI (KM 81+341) – EMP. PE-26B (SECCLLA) (KM 94+037)</t>
  </si>
  <si>
    <t>CALLQUI (KM 04+731) – DV. SATCO – ABRA MAMACANCHA – TANSERE – EMP. HV–110 (VIÑAS) (KM 46+690)</t>
  </si>
  <si>
    <t>EMP. PE-3SD (DV. JABONILLO) - JABONILLO - HUANCAYOJASA - COLCABAMBA - TOCAS – DV. CALLQUI - EMP. PE-3SD (MILPO)</t>
  </si>
  <si>
    <t>PAUCARBAMBA Y SAN PEDRO DE CORIS</t>
  </si>
  <si>
    <t>SAN FRANCISCO DE SANGAYAICO, SANTO DOMINGO DE CAPILLAS Y SANTIAGO DE CHOCORVOS</t>
  </si>
  <si>
    <t>HUANDO-NUEVO OCCORO, MANTA Y ACOBAMBILLA</t>
  </si>
  <si>
    <t>VILCA Y ACOBAMBILLA</t>
  </si>
  <si>
    <t>TAMBO, SANTIAGO DE CHOCORVOS, QUERCO, OCOYO Y SANTIAGO DE QUIRAHUARA</t>
  </si>
  <si>
    <t>IZCUCHACA, CONAYCA, LARIA, NUEVO OCCORO Y HUANDO</t>
  </si>
  <si>
    <t>LIRCAY, HUAYLLAY GRANDE, HUANCA HUANCA, CONGALLA Y SECLLA</t>
  </si>
  <si>
    <t>ASCENSION, NUEVO OCCORO Y ACOBAMBILLA</t>
  </si>
  <si>
    <t>COLCABAMBA Y TOCAS</t>
  </si>
  <si>
    <t>Tipo de Red Vial</t>
  </si>
  <si>
    <t>Vecinal</t>
  </si>
  <si>
    <t>Departamental</t>
  </si>
  <si>
    <t>HV-100</t>
  </si>
  <si>
    <t>HV-109</t>
  </si>
  <si>
    <t>HV-126</t>
  </si>
  <si>
    <t>HV-115</t>
  </si>
  <si>
    <t>HV-131</t>
  </si>
  <si>
    <t>EMP. PE–3S (PAMPA BLANCA) – ALFAPATA – PACHAPATA BAJA (KM 9+416), PACHAPATA BAJA (KM 10+795) – CENTRO UNIÓN – DV. HV–616 (KM 29+635)</t>
  </si>
  <si>
    <t>HUARI (KM. 39+323) – L.D. JUNÍN (ABRA ACOPALCA) (KM 53+848)</t>
  </si>
  <si>
    <t>EMP. HV–110 (MOYA) – QUIÑIRI – YANAYACU – CHAQUICOCHA – MINAPAMPA – SAN VIDAL – TORORA JANTUPAMPA – LEONCIO PRADO – EMP. HV-125 (CONAYCA) (KM 39+448)</t>
  </si>
  <si>
    <t>EMP. PE–3S (IMPERIAL) – JATUNPAMPA - LIRIOPATA - TELLERIA – MOYA (KM 40+745), MOYA (KM 41+183) – VIÑAS – VILCA – VILLA UNION (KM 69+743)</t>
  </si>
  <si>
    <t>EMP. PE–28D (CHONTA) – CHIPCHILLAY – CAUDALOSA CHICA – BANCO MINERO HUACHOCOLPA – HUACHOCOLPA (KM 31+742), HUACHOCOLPA (KM 32+502) – CHUÑUMAYO – CCASCCABAMBA – PALCAS – CANCHAPATA – CONSTANCIA – EMP. PE–26B (USHCUPAMPA). (KM 66+654)</t>
  </si>
  <si>
    <t>EMP. PE-26 (IZCUCHACA) - CONAYCA (KM 12+974), BUENOS AIRES (29+839) - NUEVO OCCORO (KM 32+720), NUEVO OCCORO (32+920) - MIRAFLORES - EMP. HV-127 (DV. MIRAFLORES)</t>
  </si>
  <si>
    <t>EMP. PE-3S (LARCAY) -CCARHUACATA - CCARHUANCHO - ARMA - LA MERCED DE CHUPAS - LOCROJA (KM 29+101)</t>
  </si>
  <si>
    <t>ACOSTAMBO, ACRAQUIA Y AHUAYCHA</t>
  </si>
  <si>
    <t>ASCENSION Y CHUPAMARCA</t>
  </si>
  <si>
    <t>TAYACAJA Y HUANCAVELICA</t>
  </si>
  <si>
    <t>ÑAHUINPUQUIO, ACOSTAMBO, MOYA Y VILCA</t>
  </si>
  <si>
    <t>CASTROVIRREYNA, HUANCAVELICA Y ANGARAES</t>
  </si>
  <si>
    <t>SANTA ANA, HUACHOCOLPA Y LIRCAY</t>
  </si>
  <si>
    <t>EL CARMEN Y LOCROJA</t>
  </si>
  <si>
    <t>Periódico</t>
  </si>
  <si>
    <t>MO-104</t>
  </si>
  <si>
    <t>MO-105</t>
  </si>
  <si>
    <t>MO-106</t>
  </si>
  <si>
    <t>MO-107</t>
  </si>
  <si>
    <t>DV. AR-120 (KM 34+713) - VISCACHANI - CHACALAQUE GRANDE - CRUZ PHARA - EMP. MO-101 (KM 65+543)</t>
  </si>
  <si>
    <t>EMP. MO-103 (YUNGA) - TASSA - QUERALA - PILLUNE - MATAZO - EMP. AR - 120 (KM 41+565)</t>
  </si>
  <si>
    <t>EMP. PE-36 B (TITIRE) - PATIPATINE - IRHUARA - ICHUÑA - ITAPALLANE – PACCHIRI CRUCERO - COBREPATA (L.D. PUNO) (KM 87+830)</t>
  </si>
  <si>
    <t>PAMPAS DE CHEN CHEN SUR (KM 21+492) - CAMPO DE ATERRIZAJE - EMP. TA - 105 (KM 52+092)</t>
  </si>
  <si>
    <t>YUNGA Y UBINAS</t>
  </si>
  <si>
    <t>ICHUÑA</t>
  </si>
  <si>
    <t>Si</t>
  </si>
  <si>
    <t>Pendiente</t>
  </si>
  <si>
    <t>TA-105</t>
  </si>
  <si>
    <t>TA-106</t>
  </si>
  <si>
    <t>TA-100</t>
  </si>
  <si>
    <t>EMP. PE-36 A (STA. ROSA) - HUAYCUTA - TACALAYA -HIRATALAYA- L.D. MOQUEGUA (MO-107 A MOQUEGUA) (KM. 88+583)</t>
  </si>
  <si>
    <t>EMP. PE-38 (DV TOTOJA) - TOTOJA - L.D. PUNO (PU-132 A CACHICUCHO)</t>
  </si>
  <si>
    <t>EMP. PE 1S (QUEBRADA HONDA)-LD. MOQUEGUA (MO-107 A MOQUEGUA)</t>
  </si>
  <si>
    <t>CANDARAVE Y JORGE BASADRE</t>
  </si>
  <si>
    <t>CANDARAVE, CAMILACA Y ILABAYA</t>
  </si>
  <si>
    <t>TARATA, TICACO Y SUSAPAYA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</si>
</sst>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&quot;CV_&quot;0"/>
    <numFmt numFmtId="165" formatCode="00&quot;-2026-MTC/21&quot;"/>
    <numFmt numFmtId="166" formatCode="0.000"/>
    <numFmt numFmtId="167" formatCode="&quot;MAR&quot;\ \(dd/mm/yyyy\)"/>
    <numFmt numFmtId="168" formatCode="&quot;ABR&quot;\ \(dd/mm/yyyy\)"/>
    <numFmt numFmtId="169" formatCode="&quot;MAY&quot;\ \(dd/mm/yyyy\)"/>
    <numFmt numFmtId="170" formatCode="&quot;JUN&quot;\ \(dd/mm/yyyy\)"/>
    <numFmt numFmtId="171" formatCode="&quot;JUL&quot;\ \(dd/mm/yyyy\)"/>
    <numFmt numFmtId="172" formatCode="&quot;AGO&quot;\ \(dd/mm/yyyy\)"/>
    <numFmt numFmtId="173" formatCode="&quot;SET&quot;\ \(dd/mm/yyyy\)"/>
    <numFmt numFmtId="174" formatCode="&quot;OCT&quot;\ \(dd/mm/yyyy\)"/>
    <numFmt numFmtId="175" formatCode="&quot;NOV&quot;\ \(dd/mm/yyyy\)"/>
    <numFmt numFmtId="176" formatCode="&quot;DIC&quot;\ \(dd/mm/yyyy\)"/>
    <numFmt numFmtId="177" formatCode="0.0000"/>
    <numFmt numFmtId="178" formatCode="0.00000"/>
    <numFmt numFmtId="179" formatCode="&quot;S/&quot;#,##0.00"/>
  </numFmts>
  <fonts count="2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1"/>
      <color theme="1"/>
      <name val="Arial Narrow"/>
      <family val="2"/>
    </font>
    <font>
      <b/>
      <sz val="24"/>
      <color theme="0"/>
      <name val="Arial Narrow"/>
      <family val="2"/>
    </font>
    <font>
      <b/>
      <sz val="14"/>
      <color theme="0"/>
      <name val="Arial Narrow"/>
      <family val="2"/>
    </font>
    <font>
      <b/>
      <sz val="16"/>
      <color theme="0"/>
      <name val="Arial Narrow"/>
      <family val="2"/>
    </font>
    <font>
      <b/>
      <sz val="16"/>
      <name val="Arial Narrow"/>
      <family val="2"/>
    </font>
    <font>
      <b/>
      <sz val="22"/>
      <color theme="1"/>
      <name val="Arial Narrow"/>
      <family val="2"/>
    </font>
    <font>
      <b/>
      <sz val="18"/>
      <name val="Arial Narrow"/>
      <family val="2"/>
    </font>
    <font>
      <b/>
      <sz val="12"/>
      <color theme="9" tint="-0.499984740745262"/>
      <name val="Arial Narrow"/>
      <family val="2"/>
    </font>
    <font>
      <b/>
      <sz val="14"/>
      <color theme="9" tint="-0.499984740745262"/>
      <name val="Arial Narrow"/>
      <family val="2"/>
    </font>
    <font>
      <b/>
      <sz val="14"/>
      <name val="Arial Narrow"/>
      <family val="2"/>
    </font>
    <font>
      <b/>
      <sz val="18"/>
      <color theme="0"/>
      <name val="Arial Narrow"/>
      <family val="2"/>
    </font>
    <font>
      <sz val="11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  <font>
      <sz val="10"/>
      <name val="Arial"/>
      <family val="2"/>
    </font>
    <font>
      <b/>
      <sz val="12"/>
      <color theme="0"/>
      <name val="Arial Narrow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02060"/>
        <bgColor theme="4" tint="0.79998168889431442"/>
      </patternFill>
    </fill>
    <fill>
      <patternFill patternType="solid">
        <fgColor rgb="FFFFF9E7"/>
        <bgColor indexed="64"/>
      </patternFill>
    </fill>
    <fill>
      <patternFill patternType="solid">
        <fgColor rgb="FF6087CE"/>
        <bgColor theme="4" tint="0.79998168889431442"/>
      </patternFill>
    </fill>
    <fill>
      <patternFill patternType="solid">
        <fgColor rgb="FF6400C8"/>
        <bgColor theme="4" tint="0.79998168889431442"/>
      </patternFill>
    </fill>
    <fill>
      <patternFill patternType="solid">
        <fgColor rgb="FFF1F7ED"/>
        <bgColor theme="4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theme="4" tint="0.79998168889431442"/>
      </patternFill>
    </fill>
    <fill>
      <patternFill patternType="solid">
        <fgColor rgb="FF00B050"/>
        <bgColor theme="4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rgb="FF800000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6087CE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indexed="6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medium">
        <color rgb="FFFFFF00"/>
      </left>
      <right style="thin">
        <color indexed="64"/>
      </right>
      <top style="medium">
        <color rgb="FFFFFF00"/>
      </top>
      <bottom style="medium">
        <color rgb="FFFFFF00"/>
      </bottom>
      <diagonal/>
    </border>
    <border>
      <left style="thin">
        <color indexed="64"/>
      </left>
      <right/>
      <top style="medium">
        <color rgb="FFFFFF00"/>
      </top>
      <bottom style="medium">
        <color rgb="FFFFFF00"/>
      </bottom>
      <diagonal/>
    </border>
    <border>
      <left/>
      <right style="thin">
        <color indexed="64"/>
      </right>
      <top style="medium">
        <color rgb="FFFFFF00"/>
      </top>
      <bottom style="medium">
        <color rgb="FFFFFF00"/>
      </bottom>
      <diagonal/>
    </border>
    <border>
      <left style="thin">
        <color indexed="64"/>
      </left>
      <right style="medium">
        <color rgb="FFFFFF00"/>
      </right>
      <top style="medium">
        <color rgb="FFFFFF00"/>
      </top>
      <bottom style="medium">
        <color rgb="FFFFFF00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4" fontId="1" fillId="3" borderId="1" xfId="0" applyNumberFormat="1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2" fontId="2" fillId="2" borderId="2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0" fontId="1" fillId="0" borderId="0" xfId="0" applyFont="1"/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7" fontId="3" fillId="5" borderId="3" xfId="0" applyNumberFormat="1" applyFont="1" applyFill="1" applyBorder="1" applyAlignment="1">
      <alignment horizontal="center" vertical="center" wrapText="1"/>
    </xf>
    <xf numFmtId="168" fontId="3" fillId="5" borderId="3" xfId="0" applyNumberFormat="1" applyFont="1" applyFill="1" applyBorder="1" applyAlignment="1">
      <alignment horizontal="center" vertical="center" wrapText="1"/>
    </xf>
    <xf numFmtId="169" fontId="3" fillId="5" borderId="3" xfId="0" applyNumberFormat="1" applyFont="1" applyFill="1" applyBorder="1" applyAlignment="1">
      <alignment horizontal="center" vertical="center" wrapText="1"/>
    </xf>
    <xf numFmtId="170" fontId="3" fillId="5" borderId="3" xfId="0" applyNumberFormat="1" applyFont="1" applyFill="1" applyBorder="1" applyAlignment="1">
      <alignment horizontal="center" vertical="center" wrapText="1"/>
    </xf>
    <xf numFmtId="171" fontId="3" fillId="5" borderId="3" xfId="0" applyNumberFormat="1" applyFont="1" applyFill="1" applyBorder="1" applyAlignment="1">
      <alignment horizontal="center" vertical="center" wrapText="1"/>
    </xf>
    <xf numFmtId="172" fontId="3" fillId="5" borderId="3" xfId="0" applyNumberFormat="1" applyFont="1" applyFill="1" applyBorder="1" applyAlignment="1">
      <alignment horizontal="center" vertical="center" wrapText="1"/>
    </xf>
    <xf numFmtId="173" fontId="3" fillId="5" borderId="3" xfId="0" applyNumberFormat="1" applyFont="1" applyFill="1" applyBorder="1" applyAlignment="1">
      <alignment horizontal="center" vertical="center" wrapText="1"/>
    </xf>
    <xf numFmtId="174" fontId="3" fillId="5" borderId="3" xfId="0" applyNumberFormat="1" applyFont="1" applyFill="1" applyBorder="1" applyAlignment="1">
      <alignment horizontal="center" vertical="center" wrapText="1"/>
    </xf>
    <xf numFmtId="175" fontId="3" fillId="5" borderId="3" xfId="0" applyNumberFormat="1" applyFont="1" applyFill="1" applyBorder="1" applyAlignment="1">
      <alignment horizontal="center" vertical="center" wrapText="1"/>
    </xf>
    <xf numFmtId="176" fontId="3" fillId="5" borderId="3" xfId="0" applyNumberFormat="1" applyFont="1" applyFill="1" applyBorder="1" applyAlignment="1">
      <alignment horizontal="center" vertical="center" wrapText="1"/>
    </xf>
    <xf numFmtId="49" fontId="4" fillId="6" borderId="3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4" fontId="1" fillId="3" borderId="4" xfId="0" applyNumberFormat="1" applyFont="1" applyFill="1" applyBorder="1" applyAlignment="1">
      <alignment horizontal="center" vertical="center"/>
    </xf>
    <xf numFmtId="3" fontId="1" fillId="3" borderId="4" xfId="0" applyNumberFormat="1" applyFont="1" applyFill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4" fontId="1" fillId="3" borderId="5" xfId="0" applyNumberFormat="1" applyFont="1" applyFill="1" applyBorder="1" applyAlignment="1">
      <alignment horizontal="center" vertical="center"/>
    </xf>
    <xf numFmtId="3" fontId="1" fillId="3" borderId="5" xfId="0" applyNumberFormat="1" applyFont="1" applyFill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top" wrapText="1"/>
    </xf>
    <xf numFmtId="4" fontId="1" fillId="0" borderId="5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top" wrapText="1"/>
    </xf>
    <xf numFmtId="1" fontId="1" fillId="0" borderId="5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166" fontId="1" fillId="3" borderId="1" xfId="0" applyNumberFormat="1" applyFont="1" applyFill="1" applyBorder="1" applyAlignment="1">
      <alignment horizontal="center" vertical="center"/>
    </xf>
    <xf numFmtId="164" fontId="1" fillId="3" borderId="5" xfId="0" applyNumberFormat="1" applyFont="1" applyFill="1" applyBorder="1" applyAlignment="1">
      <alignment horizontal="center" vertical="center"/>
    </xf>
    <xf numFmtId="165" fontId="1" fillId="3" borderId="5" xfId="0" applyNumberFormat="1" applyFont="1" applyFill="1" applyBorder="1" applyAlignment="1">
      <alignment horizontal="center" vertical="center"/>
    </xf>
    <xf numFmtId="166" fontId="1" fillId="3" borderId="5" xfId="0" applyNumberFormat="1" applyFont="1" applyFill="1" applyBorder="1" applyAlignment="1">
      <alignment horizontal="center" vertical="center"/>
    </xf>
    <xf numFmtId="164" fontId="1" fillId="3" borderId="4" xfId="0" applyNumberFormat="1" applyFont="1" applyFill="1" applyBorder="1" applyAlignment="1">
      <alignment horizontal="center" vertical="center"/>
    </xf>
    <xf numFmtId="165" fontId="1" fillId="3" borderId="4" xfId="0" applyNumberFormat="1" applyFont="1" applyFill="1" applyBorder="1" applyAlignment="1">
      <alignment horizontal="center" vertical="center"/>
    </xf>
    <xf numFmtId="166" fontId="1" fillId="3" borderId="4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 wrapText="1"/>
    </xf>
    <xf numFmtId="166" fontId="2" fillId="2" borderId="2" xfId="0" applyNumberFormat="1" applyFont="1" applyFill="1" applyBorder="1" applyAlignment="1">
      <alignment horizontal="center" vertical="center" wrapText="1"/>
    </xf>
    <xf numFmtId="0" fontId="5" fillId="0" borderId="0" xfId="0" applyFont="1"/>
    <xf numFmtId="49" fontId="2" fillId="2" borderId="6" xfId="0" applyNumberFormat="1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4" fontId="1" fillId="0" borderId="8" xfId="0" applyNumberFormat="1" applyFont="1" applyBorder="1" applyAlignment="1">
      <alignment horizontal="center" vertical="center"/>
    </xf>
    <xf numFmtId="49" fontId="3" fillId="8" borderId="7" xfId="0" applyNumberFormat="1" applyFont="1" applyFill="1" applyBorder="1" applyAlignment="1">
      <alignment horizontal="center" vertical="center" wrapText="1"/>
    </xf>
    <xf numFmtId="49" fontId="3" fillId="9" borderId="7" xfId="0" applyNumberFormat="1" applyFont="1" applyFill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4" fontId="1" fillId="0" borderId="9" xfId="0" applyNumberFormat="1" applyFont="1" applyBorder="1" applyAlignment="1">
      <alignment horizontal="center" vertical="center"/>
    </xf>
    <xf numFmtId="0" fontId="5" fillId="0" borderId="0" xfId="0" applyFont="1" applyAlignment="1"/>
    <xf numFmtId="0" fontId="5" fillId="0" borderId="0" xfId="0" applyFont="1" applyAlignment="1">
      <alignment horizontal="left" indent="1"/>
    </xf>
    <xf numFmtId="0" fontId="11" fillId="0" borderId="0" xfId="0" applyFont="1" applyFill="1" applyAlignment="1">
      <alignment vertical="center"/>
    </xf>
    <xf numFmtId="0" fontId="7" fillId="7" borderId="10" xfId="0" applyFont="1" applyFill="1" applyBorder="1" applyAlignment="1">
      <alignment horizontal="center" vertical="center"/>
    </xf>
    <xf numFmtId="164" fontId="1" fillId="12" borderId="8" xfId="0" applyNumberFormat="1" applyFont="1" applyFill="1" applyBorder="1" applyAlignment="1">
      <alignment horizontal="center" vertical="center"/>
    </xf>
    <xf numFmtId="165" fontId="1" fillId="12" borderId="8" xfId="0" applyNumberFormat="1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 vertical="center" wrapText="1"/>
    </xf>
    <xf numFmtId="166" fontId="1" fillId="12" borderId="8" xfId="0" applyNumberFormat="1" applyFont="1" applyFill="1" applyBorder="1" applyAlignment="1">
      <alignment horizontal="center" vertical="center"/>
    </xf>
    <xf numFmtId="4" fontId="1" fillId="12" borderId="8" xfId="0" applyNumberFormat="1" applyFont="1" applyFill="1" applyBorder="1" applyAlignment="1">
      <alignment horizontal="center" vertical="center"/>
    </xf>
    <xf numFmtId="3" fontId="1" fillId="12" borderId="8" xfId="0" applyNumberFormat="1" applyFont="1" applyFill="1" applyBorder="1" applyAlignment="1">
      <alignment horizontal="center" vertical="center"/>
    </xf>
    <xf numFmtId="164" fontId="1" fillId="13" borderId="8" xfId="0" applyNumberFormat="1" applyFont="1" applyFill="1" applyBorder="1" applyAlignment="1">
      <alignment horizontal="center" vertical="center"/>
    </xf>
    <xf numFmtId="165" fontId="1" fillId="13" borderId="8" xfId="0" applyNumberFormat="1" applyFont="1" applyFill="1" applyBorder="1" applyAlignment="1">
      <alignment horizontal="center" vertical="center"/>
    </xf>
    <xf numFmtId="0" fontId="1" fillId="13" borderId="8" xfId="0" applyFont="1" applyFill="1" applyBorder="1" applyAlignment="1">
      <alignment horizontal="center" vertical="center"/>
    </xf>
    <xf numFmtId="0" fontId="1" fillId="13" borderId="8" xfId="0" applyFont="1" applyFill="1" applyBorder="1" applyAlignment="1">
      <alignment horizontal="center" vertical="center" wrapText="1"/>
    </xf>
    <xf numFmtId="166" fontId="1" fillId="13" borderId="8" xfId="0" applyNumberFormat="1" applyFont="1" applyFill="1" applyBorder="1" applyAlignment="1">
      <alignment horizontal="center" vertical="center"/>
    </xf>
    <xf numFmtId="4" fontId="1" fillId="13" borderId="8" xfId="0" applyNumberFormat="1" applyFont="1" applyFill="1" applyBorder="1" applyAlignment="1">
      <alignment horizontal="center" vertical="center"/>
    </xf>
    <xf numFmtId="3" fontId="1" fillId="13" borderId="8" xfId="0" applyNumberFormat="1" applyFont="1" applyFill="1" applyBorder="1" applyAlignment="1">
      <alignment horizontal="center" vertical="center"/>
    </xf>
    <xf numFmtId="164" fontId="1" fillId="13" borderId="9" xfId="0" applyNumberFormat="1" applyFont="1" applyFill="1" applyBorder="1" applyAlignment="1">
      <alignment horizontal="center" vertical="center"/>
    </xf>
    <xf numFmtId="165" fontId="1" fillId="13" borderId="9" xfId="0" applyNumberFormat="1" applyFont="1" applyFill="1" applyBorder="1" applyAlignment="1">
      <alignment horizontal="center" vertical="center"/>
    </xf>
    <xf numFmtId="0" fontId="1" fillId="13" borderId="9" xfId="0" applyFont="1" applyFill="1" applyBorder="1" applyAlignment="1">
      <alignment horizontal="center" vertical="center"/>
    </xf>
    <xf numFmtId="0" fontId="1" fillId="13" borderId="9" xfId="0" applyFont="1" applyFill="1" applyBorder="1" applyAlignment="1">
      <alignment horizontal="center" vertical="center" wrapText="1"/>
    </xf>
    <xf numFmtId="166" fontId="1" fillId="13" borderId="9" xfId="0" applyNumberFormat="1" applyFont="1" applyFill="1" applyBorder="1" applyAlignment="1">
      <alignment horizontal="center" vertical="center"/>
    </xf>
    <xf numFmtId="4" fontId="1" fillId="13" borderId="9" xfId="0" applyNumberFormat="1" applyFont="1" applyFill="1" applyBorder="1" applyAlignment="1">
      <alignment horizontal="center" vertical="center"/>
    </xf>
    <xf numFmtId="3" fontId="1" fillId="13" borderId="9" xfId="0" applyNumberFormat="1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left" vertical="center" indent="1"/>
    </xf>
    <xf numFmtId="0" fontId="12" fillId="12" borderId="1" xfId="0" applyFont="1" applyFill="1" applyBorder="1" applyAlignment="1">
      <alignment horizontal="left" vertical="center" indent="1"/>
    </xf>
    <xf numFmtId="10" fontId="14" fillId="13" borderId="1" xfId="0" applyNumberFormat="1" applyFont="1" applyFill="1" applyBorder="1" applyAlignment="1">
      <alignment horizontal="center" vertical="center"/>
    </xf>
    <xf numFmtId="10" fontId="14" fillId="12" borderId="1" xfId="0" applyNumberFormat="1" applyFont="1" applyFill="1" applyBorder="1" applyAlignment="1">
      <alignment horizontal="center" vertical="center"/>
    </xf>
    <xf numFmtId="0" fontId="5" fillId="0" borderId="0" xfId="0" applyFont="1" applyFill="1"/>
    <xf numFmtId="0" fontId="16" fillId="0" borderId="0" xfId="0" applyFont="1" applyAlignment="1">
      <alignment horizontal="left" indent="1"/>
    </xf>
    <xf numFmtId="0" fontId="16" fillId="0" borderId="0" xfId="0" applyFont="1"/>
    <xf numFmtId="164" fontId="1" fillId="12" borderId="14" xfId="0" applyNumberFormat="1" applyFont="1" applyFill="1" applyBorder="1" applyAlignment="1">
      <alignment horizontal="center" vertical="center"/>
    </xf>
    <xf numFmtId="165" fontId="1" fillId="12" borderId="14" xfId="0" applyNumberFormat="1" applyFont="1" applyFill="1" applyBorder="1" applyAlignment="1">
      <alignment horizontal="center" vertical="center"/>
    </xf>
    <xf numFmtId="0" fontId="1" fillId="12" borderId="14" xfId="0" applyFont="1" applyFill="1" applyBorder="1" applyAlignment="1">
      <alignment horizontal="center" vertical="center"/>
    </xf>
    <xf numFmtId="0" fontId="1" fillId="12" borderId="14" xfId="0" applyFont="1" applyFill="1" applyBorder="1" applyAlignment="1">
      <alignment horizontal="center" vertical="center" wrapText="1"/>
    </xf>
    <xf numFmtId="166" fontId="1" fillId="12" borderId="14" xfId="0" applyNumberFormat="1" applyFont="1" applyFill="1" applyBorder="1" applyAlignment="1">
      <alignment horizontal="center" vertical="center"/>
    </xf>
    <xf numFmtId="4" fontId="1" fillId="12" borderId="14" xfId="0" applyNumberFormat="1" applyFont="1" applyFill="1" applyBorder="1" applyAlignment="1">
      <alignment horizontal="center" vertical="center"/>
    </xf>
    <xf numFmtId="3" fontId="1" fillId="12" borderId="14" xfId="0" applyNumberFormat="1" applyFont="1" applyFill="1" applyBorder="1" applyAlignment="1">
      <alignment horizontal="center" vertical="center"/>
    </xf>
    <xf numFmtId="49" fontId="1" fillId="0" borderId="14" xfId="0" applyNumberFormat="1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/>
    </xf>
    <xf numFmtId="14" fontId="1" fillId="0" borderId="14" xfId="0" applyNumberFormat="1" applyFont="1" applyBorder="1" applyAlignment="1">
      <alignment horizontal="center" vertical="center"/>
    </xf>
    <xf numFmtId="4" fontId="1" fillId="0" borderId="14" xfId="0" applyNumberFormat="1" applyFont="1" applyBorder="1" applyAlignment="1">
      <alignment horizontal="center" vertical="center"/>
    </xf>
    <xf numFmtId="164" fontId="1" fillId="13" borderId="13" xfId="0" applyNumberFormat="1" applyFont="1" applyFill="1" applyBorder="1" applyAlignment="1">
      <alignment horizontal="center" vertical="center"/>
    </xf>
    <xf numFmtId="165" fontId="1" fillId="13" borderId="13" xfId="0" applyNumberFormat="1" applyFont="1" applyFill="1" applyBorder="1" applyAlignment="1">
      <alignment horizontal="center" vertical="center"/>
    </xf>
    <xf numFmtId="0" fontId="1" fillId="13" borderId="13" xfId="0" applyFont="1" applyFill="1" applyBorder="1" applyAlignment="1">
      <alignment horizontal="center" vertical="center"/>
    </xf>
    <xf numFmtId="0" fontId="1" fillId="13" borderId="13" xfId="0" applyFont="1" applyFill="1" applyBorder="1" applyAlignment="1">
      <alignment horizontal="center" vertical="center" wrapText="1"/>
    </xf>
    <xf numFmtId="166" fontId="1" fillId="13" borderId="13" xfId="0" applyNumberFormat="1" applyFont="1" applyFill="1" applyBorder="1" applyAlignment="1">
      <alignment horizontal="center" vertical="center"/>
    </xf>
    <xf numFmtId="4" fontId="1" fillId="13" borderId="13" xfId="0" applyNumberFormat="1" applyFont="1" applyFill="1" applyBorder="1" applyAlignment="1">
      <alignment horizontal="center" vertical="center"/>
    </xf>
    <xf numFmtId="3" fontId="1" fillId="13" borderId="13" xfId="0" applyNumberFormat="1" applyFont="1" applyFill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/>
    </xf>
    <xf numFmtId="14" fontId="1" fillId="0" borderId="13" xfId="0" applyNumberFormat="1" applyFont="1" applyBorder="1" applyAlignment="1">
      <alignment horizontal="center" vertical="center"/>
    </xf>
    <xf numFmtId="4" fontId="1" fillId="0" borderId="13" xfId="0" applyNumberFormat="1" applyFont="1" applyBorder="1" applyAlignment="1">
      <alignment horizontal="center" vertical="center"/>
    </xf>
    <xf numFmtId="164" fontId="1" fillId="13" borderId="14" xfId="0" applyNumberFormat="1" applyFont="1" applyFill="1" applyBorder="1" applyAlignment="1">
      <alignment horizontal="center" vertical="center"/>
    </xf>
    <xf numFmtId="165" fontId="1" fillId="13" borderId="14" xfId="0" applyNumberFormat="1" applyFont="1" applyFill="1" applyBorder="1" applyAlignment="1">
      <alignment horizontal="center" vertical="center"/>
    </xf>
    <xf numFmtId="0" fontId="1" fillId="13" borderId="14" xfId="0" applyFont="1" applyFill="1" applyBorder="1" applyAlignment="1">
      <alignment horizontal="center" vertical="center"/>
    </xf>
    <xf numFmtId="0" fontId="1" fillId="13" borderId="14" xfId="0" applyFont="1" applyFill="1" applyBorder="1" applyAlignment="1">
      <alignment horizontal="center" vertical="center" wrapText="1"/>
    </xf>
    <xf numFmtId="166" fontId="1" fillId="13" borderId="14" xfId="0" applyNumberFormat="1" applyFont="1" applyFill="1" applyBorder="1" applyAlignment="1">
      <alignment horizontal="center" vertical="center"/>
    </xf>
    <xf numFmtId="4" fontId="1" fillId="13" borderId="14" xfId="0" applyNumberFormat="1" applyFont="1" applyFill="1" applyBorder="1" applyAlignment="1">
      <alignment horizontal="center" vertical="center"/>
    </xf>
    <xf numFmtId="3" fontId="1" fillId="13" borderId="14" xfId="0" applyNumberFormat="1" applyFont="1" applyFill="1" applyBorder="1" applyAlignment="1">
      <alignment horizontal="center" vertical="center"/>
    </xf>
    <xf numFmtId="164" fontId="1" fillId="12" borderId="13" xfId="0" applyNumberFormat="1" applyFont="1" applyFill="1" applyBorder="1" applyAlignment="1">
      <alignment horizontal="center" vertical="center"/>
    </xf>
    <xf numFmtId="165" fontId="1" fillId="12" borderId="13" xfId="0" applyNumberFormat="1" applyFont="1" applyFill="1" applyBorder="1" applyAlignment="1">
      <alignment horizontal="center" vertical="center"/>
    </xf>
    <xf numFmtId="0" fontId="1" fillId="12" borderId="13" xfId="0" applyFont="1" applyFill="1" applyBorder="1" applyAlignment="1">
      <alignment horizontal="center" vertical="center"/>
    </xf>
    <xf numFmtId="0" fontId="1" fillId="12" borderId="13" xfId="0" applyFont="1" applyFill="1" applyBorder="1" applyAlignment="1">
      <alignment horizontal="center" vertical="center" wrapText="1"/>
    </xf>
    <xf numFmtId="166" fontId="1" fillId="12" borderId="13" xfId="0" applyNumberFormat="1" applyFont="1" applyFill="1" applyBorder="1" applyAlignment="1">
      <alignment horizontal="center" vertical="center"/>
    </xf>
    <xf numFmtId="4" fontId="1" fillId="12" borderId="13" xfId="0" applyNumberFormat="1" applyFont="1" applyFill="1" applyBorder="1" applyAlignment="1">
      <alignment horizontal="center" vertical="center"/>
    </xf>
    <xf numFmtId="3" fontId="1" fillId="12" borderId="13" xfId="0" applyNumberFormat="1" applyFont="1" applyFill="1" applyBorder="1" applyAlignment="1">
      <alignment horizontal="center" vertical="center"/>
    </xf>
    <xf numFmtId="0" fontId="8" fillId="7" borderId="15" xfId="0" applyFont="1" applyFill="1" applyBorder="1" applyAlignment="1">
      <alignment horizontal="left" vertical="center" indent="1"/>
    </xf>
    <xf numFmtId="10" fontId="8" fillId="7" borderId="18" xfId="0" applyNumberFormat="1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left" vertical="center" indent="1"/>
    </xf>
    <xf numFmtId="49" fontId="1" fillId="0" borderId="14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0" fontId="16" fillId="0" borderId="0" xfId="0" applyNumberFormat="1" applyFont="1" applyAlignment="1">
      <alignment horizontal="center" vertical="center"/>
    </xf>
    <xf numFmtId="0" fontId="15" fillId="0" borderId="0" xfId="0" applyFont="1" applyFill="1" applyAlignment="1">
      <alignment vertical="center"/>
    </xf>
    <xf numFmtId="0" fontId="20" fillId="0" borderId="0" xfId="0" applyFont="1" applyFill="1" applyBorder="1" applyAlignment="1">
      <alignment horizontal="center" vertical="center"/>
    </xf>
    <xf numFmtId="0" fontId="21" fillId="14" borderId="0" xfId="0" applyFont="1" applyFill="1" applyAlignment="1">
      <alignment horizontal="center" wrapText="1"/>
    </xf>
    <xf numFmtId="0" fontId="20" fillId="0" borderId="0" xfId="0" applyFont="1" applyFill="1" applyBorder="1" applyAlignment="1">
      <alignment horizontal="left" vertical="center" indent="1"/>
    </xf>
    <xf numFmtId="179" fontId="7" fillId="0" borderId="0" xfId="0" applyNumberFormat="1" applyFont="1" applyFill="1" applyBorder="1" applyAlignment="1">
      <alignment vertical="center"/>
    </xf>
    <xf numFmtId="179" fontId="7" fillId="0" borderId="0" xfId="0" applyNumberFormat="1" applyFont="1" applyAlignment="1">
      <alignment vertical="center"/>
    </xf>
    <xf numFmtId="179" fontId="22" fillId="0" borderId="0" xfId="0" applyNumberFormat="1" applyFont="1" applyAlignment="1">
      <alignment horizontal="center"/>
    </xf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179" fontId="8" fillId="7" borderId="16" xfId="0" applyNumberFormat="1" applyFont="1" applyFill="1" applyBorder="1" applyAlignment="1">
      <alignment horizontal="center" vertical="center"/>
    </xf>
    <xf numFmtId="179" fontId="8" fillId="7" borderId="17" xfId="0" applyNumberFormat="1" applyFont="1" applyFill="1" applyBorder="1" applyAlignment="1">
      <alignment horizontal="center" vertical="center"/>
    </xf>
    <xf numFmtId="179" fontId="14" fillId="13" borderId="11" xfId="0" applyNumberFormat="1" applyFont="1" applyFill="1" applyBorder="1" applyAlignment="1">
      <alignment horizontal="center" vertical="center"/>
    </xf>
    <xf numFmtId="179" fontId="14" fillId="13" borderId="12" xfId="0" applyNumberFormat="1" applyFont="1" applyFill="1" applyBorder="1" applyAlignment="1">
      <alignment horizontal="center" vertical="center"/>
    </xf>
    <xf numFmtId="179" fontId="13" fillId="12" borderId="11" xfId="0" applyNumberFormat="1" applyFont="1" applyFill="1" applyBorder="1" applyAlignment="1">
      <alignment horizontal="center" vertical="center"/>
    </xf>
    <xf numFmtId="179" fontId="13" fillId="12" borderId="12" xfId="0" applyNumberFormat="1" applyFont="1" applyFill="1" applyBorder="1" applyAlignment="1">
      <alignment horizontal="center" vertical="center"/>
    </xf>
    <xf numFmtId="179" fontId="14" fillId="12" borderId="11" xfId="0" applyNumberFormat="1" applyFont="1" applyFill="1" applyBorder="1" applyAlignment="1">
      <alignment horizontal="center" vertical="center"/>
    </xf>
    <xf numFmtId="179" fontId="14" fillId="12" borderId="12" xfId="0" applyNumberFormat="1" applyFont="1" applyFill="1" applyBorder="1" applyAlignment="1">
      <alignment horizontal="center" vertical="center"/>
    </xf>
    <xf numFmtId="179" fontId="13" fillId="13" borderId="11" xfId="0" applyNumberFormat="1" applyFont="1" applyFill="1" applyBorder="1" applyAlignment="1">
      <alignment horizontal="center" vertical="center"/>
    </xf>
    <xf numFmtId="179" fontId="13" fillId="13" borderId="12" xfId="0" applyNumberFormat="1" applyFont="1" applyFill="1" applyBorder="1" applyAlignment="1">
      <alignment horizontal="center" vertical="center"/>
    </xf>
    <xf numFmtId="0" fontId="20" fillId="0" borderId="0" xfId="0" quotePrefix="1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9" fillId="10" borderId="8" xfId="0" applyFont="1" applyFill="1" applyBorder="1" applyAlignment="1">
      <alignment horizontal="center" vertical="center"/>
    </xf>
    <xf numFmtId="179" fontId="10" fillId="0" borderId="8" xfId="0" applyNumberFormat="1" applyFont="1" applyBorder="1" applyAlignment="1">
      <alignment horizontal="center" vertical="center"/>
    </xf>
    <xf numFmtId="10" fontId="10" fillId="0" borderId="8" xfId="0" applyNumberFormat="1" applyFont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15" fillId="11" borderId="0" xfId="0" applyFont="1" applyFill="1" applyAlignment="1">
      <alignment horizontal="left" vertical="center" indent="4"/>
    </xf>
    <xf numFmtId="179" fontId="7" fillId="0" borderId="0" xfId="0" applyNumberFormat="1" applyFont="1" applyFill="1" applyBorder="1" applyAlignment="1">
      <alignment horizontal="center" vertical="center"/>
    </xf>
    <xf numFmtId="10" fontId="7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left" vertical="center" indent="1"/>
    </xf>
    <xf numFmtId="0" fontId="0" fillId="15" borderId="0" xfId="0" applyFill="1" applyAlignment="1">
      <alignment horizontal="center" vertical="center" wrapText="1"/>
    </xf>
  </cellXfs>
  <cellStyles count="1">
    <cellStyle name="Normal" xfId="0" builtinId="0"/>
  </cellStyles>
  <dxfs count="6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" formatCode="#,##0"/>
      <fill>
        <patternFill patternType="solid">
          <fgColor indexed="64"/>
          <bgColor rgb="FFFFF9E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" formatCode="#,##0"/>
      <fill>
        <patternFill patternType="solid">
          <fgColor indexed="64"/>
          <bgColor rgb="FFFFF9E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" formatCode="#,##0"/>
      <fill>
        <patternFill patternType="solid">
          <fgColor indexed="64"/>
          <bgColor rgb="FFFFF9E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9E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fill>
        <patternFill patternType="solid">
          <fgColor indexed="64"/>
          <bgColor rgb="FFFFF9E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9E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0.000"/>
      <fill>
        <patternFill patternType="solid">
          <fgColor indexed="64"/>
          <bgColor rgb="FFFFF9E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9E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9E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9E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9E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9E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00&quot;-2026-MTC/21&quot;"/>
      <fill>
        <patternFill patternType="solid">
          <fgColor indexed="64"/>
          <bgColor rgb="FFFFF9E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&quot;CV_&quot;0"/>
      <fill>
        <patternFill patternType="solid">
          <fgColor indexed="64"/>
          <bgColor rgb="FFFFF9E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outline="0">
        <top style="thin">
          <color theme="0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30" formatCode="@"/>
      <fill>
        <patternFill patternType="solid">
          <fgColor theme="4" tint="0.79998168889431442"/>
          <bgColor rgb="FF6087CE"/>
        </patternFill>
      </fill>
      <alignment horizontal="center" vertical="center" textRotation="0" wrapText="1" indent="0" justifyLastLine="0" shrinkToFit="0" readingOrder="0"/>
    </dxf>
    <dxf>
      <font>
        <b/>
        <color rgb="FFC00000"/>
      </font>
    </dxf>
    <dxf>
      <font>
        <b/>
        <color rgb="FFC00000"/>
      </font>
    </dxf>
    <dxf>
      <font>
        <b/>
        <color rgb="FFC00000"/>
      </font>
    </dxf>
    <dxf>
      <font>
        <b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2000" b="1" i="0" u="none" strike="noStrike" baseline="0">
                <a:latin typeface="Arial Narrow" panose="020B0606020202030204" pitchFamily="34" charset="0"/>
              </a:rPr>
              <a:t>CURVA S MULTI-CAPAS / CONTROL FINANCIERO</a:t>
            </a:r>
            <a:endParaRPr lang="es-PE" sz="2000" b="1">
              <a:latin typeface="Arial Narrow" panose="020B0606020202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area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952245008"/>
        <c:axId val="952244592"/>
        <c:extLst>
          <c:ext xmlns:c15="http://schemas.microsoft.com/office/drawing/2012/chart" uri="{02D57815-91ED-43cb-92C2-25804820EDAC}">
            <c15:filteredAreaSeries>
              <c15:ser>
                <c:idx val="4"/>
                <c:order val="2"/>
                <c:tx>
                  <c:strRef>
                    <c:extLst>
                      <c:ext uri="{02D57815-91ED-43cb-92C2-25804820EDAC}">
                        <c15:formulaRef>
                          <c15:sqref>'Seg-Fi'!$F$38:$G$38</c15:sqref>
                        </c15:formulaRef>
                      </c:ext>
                    </c:extLst>
                    <c:strCache>
                      <c:ptCount val="1"/>
                      <c:pt idx="0">
                        <c:v>GIRADO ACUMULADO (S/)</c:v>
                      </c:pt>
                    </c:strCache>
                  </c:strRef>
                </c:tx>
                <c:spPr>
                  <a:solidFill>
                    <a:srgbClr val="92D050">
                      <a:alpha val="60000"/>
                    </a:srgbClr>
                  </a:solidFill>
                  <a:ln w="31750">
                    <a:solidFill>
                      <a:schemeClr val="accent6">
                        <a:lumMod val="50000"/>
                      </a:schemeClr>
                    </a:solidFill>
                  </a:ln>
                  <a:effectLst/>
                </c:spPr>
                <c:cat>
                  <c:strRef>
                    <c:extLst>
                      <c:ext uri="{02D57815-91ED-43cb-92C2-25804820EDAC}">
                        <c15:fullRef>
                          <c15:sqref>'Seg-Fi'!$A$39:$A$48</c15:sqref>
                        </c15:fullRef>
                        <c15:formulaRef>
                          <c15:sqref>'Seg-Fi'!$A$39:$A$45</c15:sqref>
                        </c15:formulaRef>
                      </c:ext>
                    </c:extLst>
                    <c:strCache>
                      <c:ptCount val="7"/>
                      <c:pt idx="0">
                        <c:v>MARZO</c:v>
                      </c:pt>
                      <c:pt idx="1">
                        <c:v>ABRIL</c:v>
                      </c:pt>
                      <c:pt idx="2">
                        <c:v>MAYO</c:v>
                      </c:pt>
                      <c:pt idx="3">
                        <c:v>JUNIO</c:v>
                      </c:pt>
                      <c:pt idx="4">
                        <c:v>JULIO</c:v>
                      </c:pt>
                      <c:pt idx="5">
                        <c:v>AGOSTO</c:v>
                      </c:pt>
                      <c:pt idx="6">
                        <c:v>SETIEMBRE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'Seg-Fi'!$F$38:$F$48</c15:sqref>
                        </c15:fullRef>
                        <c15:formulaRef>
                          <c15:sqref>('Seg-Fi'!$F$38:$F$44,'Seg-Fi'!$F$48)</c15:sqref>
                        </c15:formulaRef>
                      </c:ext>
                    </c:extLst>
                    <c:numCache>
                      <c:formatCode>"S/"#,##0.00</c:formatCode>
                      <c:ptCount val="8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421002.04</c:v>
                      </c:pt>
                      <c:pt idx="4">
                        <c:v>1014806.04</c:v>
                      </c:pt>
                      <c:pt idx="5">
                        <c:v>3368196.44</c:v>
                      </c:pt>
                      <c:pt idx="6">
                        <c:v>5995700.1799999997</c:v>
                      </c:pt>
                      <c:pt idx="7">
                        <c:v>8263178.1799999997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0744-4186-817B-AF220B2BB510}"/>
                  </c:ext>
                </c:extLst>
              </c15:ser>
            </c15:filteredAreaSeries>
          </c:ext>
        </c:extLst>
      </c:areaChart>
      <c:lineChart>
        <c:grouping val="standard"/>
        <c:varyColors val="0"/>
        <c:ser>
          <c:idx val="0"/>
          <c:order val="0"/>
          <c:tx>
            <c:strRef>
              <c:f>'Seg-Fi'!$B$38:$C$38</c:f>
              <c:strCache>
                <c:ptCount val="1"/>
                <c:pt idx="0">
                  <c:v>PROGRAMADO ACUMULADO (S/)</c:v>
                </c:pt>
              </c:strCache>
            </c:strRef>
          </c:tx>
          <c:spPr>
            <a:ln w="38100" cap="rnd">
              <a:solidFill>
                <a:srgbClr val="002060"/>
              </a:solidFill>
              <a:round/>
            </a:ln>
            <a:effectLst/>
          </c:spPr>
          <c:marker>
            <c:symbol val="diamond"/>
            <c:size val="12"/>
            <c:spPr>
              <a:solidFill>
                <a:srgbClr val="C0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'Seg-Fi'!$A$39:$A$48</c15:sqref>
                  </c15:fullRef>
                </c:ext>
              </c:extLst>
              <c:f>'Seg-Fi'!$A$39:$A$45</c:f>
              <c:strCache>
                <c:ptCount val="7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SETIEMBRE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'Seg-Fi'!$B$38:$B$48</c15:sqref>
                  </c15:fullRef>
                </c:ext>
              </c:extLst>
              <c:f>('Seg-Fi'!$B$38:$B$44,'Seg-Fi'!$B$48)</c:f>
              <c:numCache>
                <c:formatCode>"S/"#,##0.00</c:formatCode>
                <c:ptCount val="8"/>
                <c:pt idx="0" formatCode="General">
                  <c:v>0</c:v>
                </c:pt>
                <c:pt idx="1">
                  <c:v>26198.51</c:v>
                </c:pt>
                <c:pt idx="2">
                  <c:v>645999.19000000018</c:v>
                </c:pt>
                <c:pt idx="3">
                  <c:v>2388672.9400000004</c:v>
                </c:pt>
                <c:pt idx="4">
                  <c:v>4645954.41</c:v>
                </c:pt>
                <c:pt idx="5">
                  <c:v>7149565.3199999994</c:v>
                </c:pt>
                <c:pt idx="6">
                  <c:v>8703526.4299999997</c:v>
                </c:pt>
                <c:pt idx="7">
                  <c:v>8880848.25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744-4186-817B-AF220B2BB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245008"/>
        <c:axId val="952244592"/>
        <c:extLst>
          <c:ext xmlns:c15="http://schemas.microsoft.com/office/drawing/2012/chart" uri="{02D57815-91ED-43cb-92C2-25804820EDAC}">
            <c15:filteredLine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'Seg-Fi'!$D$38:$E$38</c15:sqref>
                        </c15:formulaRef>
                      </c:ext>
                    </c:extLst>
                    <c:strCache>
                      <c:ptCount val="1"/>
                      <c:pt idx="0">
                        <c:v>VALIDADO ACUMULADO (S/)</c:v>
                      </c:pt>
                    </c:strCache>
                  </c:strRef>
                </c:tx>
                <c:spPr>
                  <a:ln w="25400" cap="rnd">
                    <a:solidFill>
                      <a:srgbClr val="00B050"/>
                    </a:solidFill>
                    <a:prstDash val="dashDot"/>
                    <a:round/>
                  </a:ln>
                  <a:effectLst/>
                </c:spPr>
                <c:marker>
                  <c:symbol val="circle"/>
                  <c:size val="6"/>
                  <c:spPr>
                    <a:solidFill>
                      <a:srgbClr val="92D050">
                        <a:alpha val="60000"/>
                      </a:srgbClr>
                    </a:solidFill>
                    <a:ln w="9525">
                      <a:solidFill>
                        <a:srgbClr val="00B050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'Seg-Fi'!$A$39:$A$48</c15:sqref>
                        </c15:fullRef>
                        <c15:formulaRef>
                          <c15:sqref>'Seg-Fi'!$A$39:$A$45</c15:sqref>
                        </c15:formulaRef>
                      </c:ext>
                    </c:extLst>
                    <c:strCache>
                      <c:ptCount val="7"/>
                      <c:pt idx="0">
                        <c:v>MARZO</c:v>
                      </c:pt>
                      <c:pt idx="1">
                        <c:v>ABRIL</c:v>
                      </c:pt>
                      <c:pt idx="2">
                        <c:v>MAYO</c:v>
                      </c:pt>
                      <c:pt idx="3">
                        <c:v>JUNIO</c:v>
                      </c:pt>
                      <c:pt idx="4">
                        <c:v>JULIO</c:v>
                      </c:pt>
                      <c:pt idx="5">
                        <c:v>AGOSTO</c:v>
                      </c:pt>
                      <c:pt idx="6">
                        <c:v>SETIEMBRE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'Seg-Fi'!$D$38:$D$48</c15:sqref>
                        </c15:fullRef>
                        <c15:formulaRef>
                          <c15:sqref>('Seg-Fi'!$D$38:$D$44,'Seg-Fi'!$D$48)</c15:sqref>
                        </c15:formulaRef>
                      </c:ext>
                    </c:extLst>
                    <c:numCache>
                      <c:formatCode>"S/"#,##0.00</c:formatCode>
                      <c:ptCount val="8"/>
                      <c:pt idx="0" formatCode="General">
                        <c:v>0</c:v>
                      </c:pt>
                      <c:pt idx="1">
                        <c:v>26198.51</c:v>
                      </c:pt>
                      <c:pt idx="2">
                        <c:v>645999.19000000018</c:v>
                      </c:pt>
                      <c:pt idx="3">
                        <c:v>2388672.9400000004</c:v>
                      </c:pt>
                      <c:pt idx="4">
                        <c:v>4645954.41</c:v>
                      </c:pt>
                      <c:pt idx="5">
                        <c:v>7149565.3199999994</c:v>
                      </c:pt>
                      <c:pt idx="6">
                        <c:v>8703526.4299999997</c:v>
                      </c:pt>
                      <c:pt idx="7">
                        <c:v>8880848.25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744-4186-817B-AF220B2BB510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967104"/>
        <c:axId val="952970432"/>
        <c:extLst>
          <c:ext xmlns:c15="http://schemas.microsoft.com/office/drawing/2012/chart" uri="{02D57815-91ED-43cb-92C2-25804820EDAC}">
            <c15:filteredLineSeries>
              <c15:ser>
                <c:idx val="6"/>
                <c:order val="3"/>
                <c:tx>
                  <c:strRef>
                    <c:extLst>
                      <c:ext uri="{02D57815-91ED-43cb-92C2-25804820EDAC}">
                        <c15:formulaRef>
                          <c15:sqref>'Seg-Fi'!$H$38:$I$38</c15:sqref>
                        </c15:formulaRef>
                      </c:ext>
                    </c:extLst>
                    <c:strCache>
                      <c:ptCount val="1"/>
                      <c:pt idx="0">
                        <c:v>% DESFASE / BRECHA</c:v>
                      </c:pt>
                    </c:strCache>
                  </c:strRef>
                </c:tx>
                <c:spPr>
                  <a:ln w="317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triang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'Seg-Fi'!$A$39:$A$48</c15:sqref>
                        </c15:fullRef>
                        <c15:formulaRef>
                          <c15:sqref>'Seg-Fi'!$A$39:$A$45</c15:sqref>
                        </c15:formulaRef>
                      </c:ext>
                    </c:extLst>
                    <c:strCache>
                      <c:ptCount val="7"/>
                      <c:pt idx="0">
                        <c:v>MARZO</c:v>
                      </c:pt>
                      <c:pt idx="1">
                        <c:v>ABRIL</c:v>
                      </c:pt>
                      <c:pt idx="2">
                        <c:v>MAYO</c:v>
                      </c:pt>
                      <c:pt idx="3">
                        <c:v>JUNIO</c:v>
                      </c:pt>
                      <c:pt idx="4">
                        <c:v>JULIO</c:v>
                      </c:pt>
                      <c:pt idx="5">
                        <c:v>AGOSTO</c:v>
                      </c:pt>
                      <c:pt idx="6">
                        <c:v>SETIEMBRE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'Seg-Fi'!$H$38:$H$48</c15:sqref>
                        </c15:fullRef>
                        <c15:formulaRef>
                          <c15:sqref>('Seg-Fi'!$H$38:$H$44,'Seg-Fi'!$H$48)</c15:sqref>
                        </c15:formulaRef>
                      </c:ext>
                    </c:extLst>
                    <c:numCache>
                      <c:formatCode>0.00%</c:formatCode>
                      <c:ptCount val="8"/>
                      <c:pt idx="0" formatCode="General">
                        <c:v>0</c:v>
                      </c:pt>
                      <c:pt idx="1">
                        <c:v>2.9500008628117252E-3</c:v>
                      </c:pt>
                      <c:pt idx="2">
                        <c:v>7.2740708073691068E-2</c:v>
                      </c:pt>
                      <c:pt idx="3">
                        <c:v>0.22156339626679247</c:v>
                      </c:pt>
                      <c:pt idx="4">
                        <c:v>0.40887404758886631</c:v>
                      </c:pt>
                      <c:pt idx="5">
                        <c:v>0.42578915589510263</c:v>
                      </c:pt>
                      <c:pt idx="6">
                        <c:v>0.30490626275479932</c:v>
                      </c:pt>
                      <c:pt idx="7">
                        <c:v>6.9550796569460505E-2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0744-4186-817B-AF220B2BB510}"/>
                  </c:ext>
                </c:extLst>
              </c15:ser>
            </c15:filteredLineSeries>
            <c15:filteredLineSeries>
              <c15:ser>
                <c:idx val="1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'Seg-Fi'!$J$38:$K$38</c15:sqref>
                        </c15:formulaRef>
                      </c:ext>
                    </c:extLst>
                    <c:strCache>
                      <c:ptCount val="1"/>
                      <c:pt idx="0">
                        <c:v>+10 % TOLERANCIA SUPERIOR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'Seg-Fi'!$J$39:$J$44</c15:sqref>
                        </c15:fullRef>
                        <c15:formulaRef>
                          <c15:sqref>'Seg-Fi'!$J$39:$J$44</c15:sqref>
                        </c15:formulaRef>
                      </c:ext>
                    </c:extLst>
                    <c:numCache>
                      <c:formatCode>"S/"#,##0.00</c:formatCode>
                      <c:ptCount val="6"/>
                      <c:pt idx="0">
                        <c:v>28818.361000000001</c:v>
                      </c:pt>
                      <c:pt idx="1">
                        <c:v>681780.74800000025</c:v>
                      </c:pt>
                      <c:pt idx="2">
                        <c:v>1916941.1250000002</c:v>
                      </c:pt>
                      <c:pt idx="3">
                        <c:v>2483009.6170000001</c:v>
                      </c:pt>
                      <c:pt idx="4">
                        <c:v>2753972.0009999992</c:v>
                      </c:pt>
                      <c:pt idx="5">
                        <c:v>1709357.2209999997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0744-4186-817B-AF220B2BB510}"/>
                  </c:ext>
                </c:extLst>
              </c15:ser>
            </c15:filteredLineSeries>
          </c:ext>
        </c:extLst>
      </c:lineChart>
      <c:catAx>
        <c:axId val="95224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PE"/>
          </a:p>
        </c:txPr>
        <c:crossAx val="952244592"/>
        <c:crosses val="autoZero"/>
        <c:auto val="1"/>
        <c:lblAlgn val="ctr"/>
        <c:lblOffset val="100"/>
        <c:noMultiLvlLbl val="0"/>
      </c:catAx>
      <c:valAx>
        <c:axId val="95224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dashDot"/>
              <a:round/>
            </a:ln>
            <a:effectLst/>
          </c:spPr>
        </c:majorGridlines>
        <c:numFmt formatCode="_(&quot;S/&quot;* #,##0.00_);_(&quot;S/&quot;* \(#,##0.00\);_(&quot;S/&quot;* &quot;-&quot;?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PE"/>
          </a:p>
        </c:txPr>
        <c:crossAx val="952245008"/>
        <c:crosses val="autoZero"/>
        <c:crossBetween val="between"/>
      </c:valAx>
      <c:valAx>
        <c:axId val="952970432"/>
        <c:scaling>
          <c:orientation val="minMax"/>
          <c:max val="1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PE"/>
          </a:p>
        </c:txPr>
        <c:crossAx val="952967104"/>
        <c:crosses val="max"/>
        <c:crossBetween val="between"/>
      </c:valAx>
      <c:catAx>
        <c:axId val="952967104"/>
        <c:scaling>
          <c:orientation val="minMax"/>
        </c:scaling>
        <c:delete val="1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crossAx val="9529704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43541</xdr:colOff>
      <xdr:row>2</xdr:row>
      <xdr:rowOff>1</xdr:rowOff>
    </xdr:from>
    <xdr:to>
      <xdr:col>5</xdr:col>
      <xdr:colOff>1055912</xdr:colOff>
      <xdr:row>5</xdr:row>
      <xdr:rowOff>492471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PROVINCIA">
              <a:extLst>
                <a:ext uri="{FF2B5EF4-FFF2-40B4-BE49-F238E27FC236}">
                  <a16:creationId xmlns:a16="http://schemas.microsoft.com/office/drawing/2014/main" id="{FF2E4997-39CD-419F-994B-2D2A59E4FB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VINC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05198" y="881744"/>
              <a:ext cx="3320143" cy="143952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97971</xdr:colOff>
      <xdr:row>2</xdr:row>
      <xdr:rowOff>0</xdr:rowOff>
    </xdr:from>
    <xdr:to>
      <xdr:col>2</xdr:col>
      <xdr:colOff>1110343</xdr:colOff>
      <xdr:row>5</xdr:row>
      <xdr:rowOff>492470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DEPARTAMENTO">
              <a:extLst>
                <a:ext uri="{FF2B5EF4-FFF2-40B4-BE49-F238E27FC236}">
                  <a16:creationId xmlns:a16="http://schemas.microsoft.com/office/drawing/2014/main" id="{1794786C-F3F5-4869-9DE6-F47EC9F96B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AM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971" y="881743"/>
              <a:ext cx="3320143" cy="143952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6</xdr:col>
      <xdr:colOff>0</xdr:colOff>
      <xdr:row>2</xdr:row>
      <xdr:rowOff>10885</xdr:rowOff>
    </xdr:from>
    <xdr:to>
      <xdr:col>7</xdr:col>
      <xdr:colOff>1023257</xdr:colOff>
      <xdr:row>6</xdr:row>
      <xdr:rowOff>2612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TIPO DE SUPERFICIE">
              <a:extLst>
                <a:ext uri="{FF2B5EF4-FFF2-40B4-BE49-F238E27FC236}">
                  <a16:creationId xmlns:a16="http://schemas.microsoft.com/office/drawing/2014/main" id="{EB9BD4FF-C90F-4336-833F-BC38C421C7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SUPERFICI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12429" y="892628"/>
              <a:ext cx="2188028" cy="143952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>
    <xdr:from>
      <xdr:col>0</xdr:col>
      <xdr:colOff>87083</xdr:colOff>
      <xdr:row>6</xdr:row>
      <xdr:rowOff>76199</xdr:rowOff>
    </xdr:from>
    <xdr:to>
      <xdr:col>14</xdr:col>
      <xdr:colOff>0</xdr:colOff>
      <xdr:row>20</xdr:row>
      <xdr:rowOff>489857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04BD3B2-43F9-4B39-A03F-348D7A1C53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VINCIA" xr10:uid="{20AD0F28-C7D3-48B7-9430-DA6A3A623440}" sourceName="PROVINCIA">
  <extLst>
    <x:ext xmlns:x15="http://schemas.microsoft.com/office/spreadsheetml/2010/11/main" uri="{2F2917AC-EB37-4324-AD4E-5DD8C200BD13}">
      <x15:tableSlicerCache tableId="2" column="4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PARTAMENTO" xr10:uid="{686CD2C6-A873-4F85-890E-B52AEDA57F94}" sourceName="DEPARTAMENTO">
  <extLst>
    <x:ext xmlns:x15="http://schemas.microsoft.com/office/spreadsheetml/2010/11/main" uri="{2F2917AC-EB37-4324-AD4E-5DD8C200BD13}">
      <x15:tableSlicerCache tableId="2" column="3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DE_SUPERFICIE" xr10:uid="{ECBB8C78-24A7-44EA-A0BD-887AAAD4ED03}" sourceName="TIPO DE SUPERFICIE">
  <extLst>
    <x:ext xmlns:x15="http://schemas.microsoft.com/office/spreadsheetml/2010/11/main" uri="{2F2917AC-EB37-4324-AD4E-5DD8C200BD13}">
      <x15:tableSlicerCache tableId="2" column="9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VINCIA" xr10:uid="{D3819D8B-C676-413D-ABC2-4E9B36F1952B}" cache="SegmentaciónDeDatos_PROVINCIA" caption="PROVINCIA" startItem="3" rowHeight="234950"/>
  <slicer name="DEPARTAMENTO" xr10:uid="{2A918195-FBB5-43C3-9785-0BF141193E3A}" cache="SegmentaciónDeDatos_DEPARTAMENTO" caption="DEPARTAMENTO" rowHeight="234950"/>
  <slicer name="TIPO DE SUPERFICIE" xr10:uid="{E2EDD17B-4FFB-4809-B6AA-237CDA624AC3}" cache="SegmentaciónDeDatos_TIPO_DE_SUPERFICIE" caption="TIPO DE SUPERFICIE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C0A2C7-0D09-4887-8C0E-0BA2F59CE9BE}" name="TablaMaestra" displayName="TablaMaestra" ref="A1:BF176" totalsRowShown="0" headerRowDxfId="60" dataDxfId="59" tableBorderDxfId="58">
  <autoFilter ref="A1:BF176" xr:uid="{1DC0A2C7-0D09-4887-8C0E-0BA2F59CE9BE}"/>
  <tableColumns count="58">
    <tableColumn id="1" xr3:uid="{868816E0-1C2B-4BE8-B664-85979903C0F8}" name="IDENTIFICADOR" dataDxfId="57"/>
    <tableColumn id="2" xr3:uid="{1E75DE5D-5BF3-4EFC-8DA8-6C9BD6758564}" name="N° CONVENIO" dataDxfId="56"/>
    <tableColumn id="3" xr3:uid="{2D98F653-A87E-4C30-9CFB-D5B48BCD084A}" name="DEPARTAMENTO" dataDxfId="55"/>
    <tableColumn id="4" xr3:uid="{C03DC56E-936C-498F-8ED8-5B20F3809101}" name="PROVINCIA" dataDxfId="54"/>
    <tableColumn id="5" xr3:uid="{6E2FC159-28B2-441C-91E4-0C64981DCABA}" name="DISTRITO" dataDxfId="53"/>
    <tableColumn id="6" xr3:uid="{60EF9D42-988B-4265-A9CD-572F6D38E3BC}" name="CÓDIGO DE RUTA" dataDxfId="52"/>
    <tableColumn id="7" xr3:uid="{5FD618CB-D5F4-4421-94A9-AED0CD2A70AE}" name="DENOMINACION DE INTERVENCION" dataDxfId="51"/>
    <tableColumn id="8" xr3:uid="{0DC63930-F351-4842-81F5-888C84D35FD3}" name="LONGITUD TOTAL (km)" dataDxfId="50"/>
    <tableColumn id="9" xr3:uid="{DDE1DD81-34E9-476F-932D-06220D3858D1}" name="TIPO DE SUPERFICIE" dataDxfId="49"/>
    <tableColumn id="10" xr3:uid="{1DC8CD9E-44B3-4EC8-A6CA-4A0B88242763}" name="COSTO KM-MES" dataDxfId="48"/>
    <tableColumn id="11" xr3:uid="{C1FBD691-9DC0-499D-9473-09BCB8FBD10C}" name="PLAZO (dc)" dataDxfId="47"/>
    <tableColumn id="12" xr3:uid="{5D30869E-08D7-48BE-891F-BD477D059DF2}" name="EJECUCIÓN S/" dataDxfId="46"/>
    <tableColumn id="13" xr3:uid="{224BBA22-B9CA-4BE3-95A1-58252D2B73F4}" name="GG.OO S/" dataDxfId="45"/>
    <tableColumn id="14" xr3:uid="{6100C877-A82F-42FD-8F17-F50B6127D191}" name="TOTAL S/" dataDxfId="44"/>
    <tableColumn id="15" xr3:uid="{F2C56C5F-63F3-402E-A635-E2BCF3DDD980}" name="CONTRATO PRINCIPAL" dataDxfId="43"/>
    <tableColumn id="16" xr3:uid="{D5358B62-0EBD-4307-BE2C-0143F9CBCB65}" name="CONTRATISTA" dataDxfId="42"/>
    <tableColumn id="17" xr3:uid="{3EA636A1-7FDF-4F54-A26D-F0EFD8B07A8D}" name="PLAZO CONTRACTUAL (DC)" dataDxfId="41">
      <calculatedColumnFormula>+$K2</calculatedColumnFormula>
    </tableColumn>
    <tableColumn id="18" xr3:uid="{BC5FA4C9-C43B-4AAD-A29F-B5A2642F8742}" name="INICIO CONTRATO" dataDxfId="40"/>
    <tableColumn id="19" xr3:uid="{AF8E3957-82DC-4527-A888-09B02D84B8FB}" name="FIN CONTRATO" dataDxfId="39">
      <calculatedColumnFormula>IF(Q2+R2=0,"",Q2+R2-1)</calculatedColumnFormula>
    </tableColumn>
    <tableColumn id="20" xr3:uid="{C2808433-923A-4E42-8492-496F903481C9}" name="CONTRATO MANT S/" dataDxfId="38"/>
    <tableColumn id="21" xr3:uid="{26069A84-A2D0-4F63-A290-980C2213A837}" name="CONTRATO GG.OO S/" dataDxfId="37">
      <calculatedColumnFormula>+ROUND(T2*0.1,2)</calculatedColumnFormula>
    </tableColumn>
    <tableColumn id="22" xr3:uid="{77137F6F-6339-4AA7-A41A-0CA2A88B0DD9}" name="TOTAL CONTRATO S/" dataDxfId="36">
      <calculatedColumnFormula>+SUM(T2:U2)</calculatedColumnFormula>
    </tableColumn>
    <tableColumn id="23" xr3:uid="{75371D4B-AE91-42DF-B676-D2C9B55D00D0}" name="PLAZO DE ADENDA" dataDxfId="35"/>
    <tableColumn id="24" xr3:uid="{9866A01C-338F-4421-B51C-8E278102A1FE}" name="INICIO ADENDA" dataDxfId="34">
      <calculatedColumnFormula>+$R2</calculatedColumnFormula>
    </tableColumn>
    <tableColumn id="25" xr3:uid="{A8974A90-D1A7-45F5-B7DE-14A91B31A1CE}" name="FIN ADENDA" dataDxfId="33">
      <calculatedColumnFormula>IF(W2&gt;0,X2+W2-1,"")</calculatedColumnFormula>
    </tableColumn>
    <tableColumn id="26" xr3:uid="{8F224DB5-3F9F-4042-8E73-7EC73AD84CAD}" name="ADENDA MANT S/" dataDxfId="32"/>
    <tableColumn id="27" xr3:uid="{38455AB9-63A3-4D46-9F4D-A1DB7CA36212}" name="ADENDA GG.OO S/" dataDxfId="31">
      <calculatedColumnFormula>+ROUND(Z2*0.1,2)</calculatedColumnFormula>
    </tableColumn>
    <tableColumn id="28" xr3:uid="{F1B86656-88E5-4B3F-B4CC-C8E529BF0730}" name="TOTAL ADENDA S/" dataDxfId="30">
      <calculatedColumnFormula>+SUM(Z2:AA2)</calculatedColumnFormula>
    </tableColumn>
    <tableColumn id="29" xr3:uid="{E758C2EB-2221-4756-B709-A627A99FBBBE}" name="PROGRAMADO MARZO" dataDxfId="29"/>
    <tableColumn id="30" xr3:uid="{B5A3711F-F6EE-493D-AB2B-A2B4A8B8290A}" name="VALIDADO MARZO" dataDxfId="28"/>
    <tableColumn id="31" xr3:uid="{B1FDF75F-ED16-4E4A-9906-F95253AB1530}" name="GIRADO MARZO" dataDxfId="27"/>
    <tableColumn id="32" xr3:uid="{9547ED15-CA23-4FC4-841E-B24E28B55EFF}" name="PROGRAMADO ABRIL" dataDxfId="26"/>
    <tableColumn id="33" xr3:uid="{7CD732E5-20C0-4281-B411-96F2B62219C4}" name="VALIDADO ABRIL" dataDxfId="25"/>
    <tableColumn id="34" xr3:uid="{116E64D7-6FCB-4B34-848D-EFFF8635CDF2}" name="GIRADO ABRIL" dataDxfId="24"/>
    <tableColumn id="35" xr3:uid="{7036E3D5-156A-45B7-BE9A-78946682B68A}" name="PROGRAMADO MAYO" dataDxfId="23"/>
    <tableColumn id="36" xr3:uid="{B15C0CA1-3957-4D0F-A229-8CD9DB12CDBF}" name="VALIDADO MAYO" dataDxfId="22"/>
    <tableColumn id="37" xr3:uid="{7867C3EB-9B4D-4C2B-AF6C-24B95DEB7266}" name="GIRADO MAYO" dataDxfId="21"/>
    <tableColumn id="38" xr3:uid="{06914B19-0165-4DD6-98B5-8502C0F4D438}" name="PROGRAMADO JUNIO" dataDxfId="20"/>
    <tableColumn id="39" xr3:uid="{3B7275E5-5321-4403-A86F-FBD6A129E94C}" name="VALIDADO JUNIO" dataDxfId="19"/>
    <tableColumn id="40" xr3:uid="{EC6C8CF3-210D-4111-B357-A96CD39C13E0}" name="GIRADO JUNIO" dataDxfId="18"/>
    <tableColumn id="41" xr3:uid="{D8252979-F2C7-4227-B081-C537C4763DA0}" name="PROGRAMADO JULIO" dataDxfId="17"/>
    <tableColumn id="42" xr3:uid="{B2B1A10E-6A65-46EB-B7F5-AFD95046D96D}" name="VALIDADO JULIO" dataDxfId="16"/>
    <tableColumn id="43" xr3:uid="{4A119A7C-068C-4B73-ABC1-DCBA679D8847}" name="GIRADO JULIO" dataDxfId="15"/>
    <tableColumn id="44" xr3:uid="{693050AA-CCAE-48AA-B32A-3E18B8B77752}" name="PROGRAMADO AGOSTO" dataDxfId="14"/>
    <tableColumn id="45" xr3:uid="{8E6A5BFA-6818-42CC-9C22-9CE9440AA803}" name="VALIDADO AGOSTO" dataDxfId="13"/>
    <tableColumn id="46" xr3:uid="{A7E8DEC8-CD7A-4EF9-B4BC-D44E80EEE5A1}" name="GIRADO AGOSTO" dataDxfId="12"/>
    <tableColumn id="47" xr3:uid="{D5CC435E-66A1-46A9-B587-1857D60AC76F}" name="PROGRAMADO SETIEMBRE" dataDxfId="11"/>
    <tableColumn id="48" xr3:uid="{98CD05B5-FC7E-48EB-85B7-3997983C8455}" name="VALIDADO SETIEMBRE" dataDxfId="10"/>
    <tableColumn id="49" xr3:uid="{370ABAED-8FF7-460E-B4C7-CF423741F49E}" name="GIRADO SETIEMBRE" dataDxfId="9"/>
    <tableColumn id="50" xr3:uid="{64CBEE5D-59B0-4D01-84C2-9EA6A08EA791}" name="PROGRAMADO OCTUBRE" dataDxfId="8"/>
    <tableColumn id="51" xr3:uid="{330F5AD5-1B43-462A-80A8-271D323CF509}" name="VALIDADO OCTUBRE" dataDxfId="7"/>
    <tableColumn id="52" xr3:uid="{628E64B0-9C0E-4D2D-BEFA-9FB104516E34}" name="GIRADO OCTUBRE" dataDxfId="6"/>
    <tableColumn id="53" xr3:uid="{2712C19C-F8E2-44E2-8AB3-2BCE437BDF84}" name="PROGRAMADO NOVIEMBRE" dataDxfId="5"/>
    <tableColumn id="54" xr3:uid="{4CDAECEE-7B04-43C6-8AF7-6B62D615CB53}" name="VALIDADO NOVIEMBRE" dataDxfId="4"/>
    <tableColumn id="55" xr3:uid="{DD97730A-EF3C-4583-87E1-1A659FE66529}" name="GIRADO NOVIEMBRE" dataDxfId="3"/>
    <tableColumn id="56" xr3:uid="{270F41E4-84B6-4689-A915-024B3285BBA2}" name="PROGRAMADO DICIEMBRE" dataDxfId="2"/>
    <tableColumn id="57" xr3:uid="{4DB67B90-E37A-4F52-A7F5-D5FFB76AFABC}" name="VALIDADO DICIEMBRE" dataDxfId="1"/>
    <tableColumn id="58" xr3:uid="{971A06C5-0790-4F30-8A9B-2F453857B164}" name="GIRADO DICIEMB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CP51"/>
  <sheetViews>
    <sheetView showGridLines="0" zoomScale="70" zoomScaleNormal="70" workbookViewId="0">
      <pane ySplit="1" topLeftCell="A2" activePane="bottomLeft" state="frozenSplit"/>
      <selection pane="bottomLeft"/>
    </sheetView>
  </sheetViews>
  <sheetFormatPr baseColWidth="10" defaultColWidth="16.77734375" defaultRowHeight="13.2" x14ac:dyDescent="0.25"/>
  <cols>
    <col min="1" max="1" width="15.77734375" style="9" customWidth="1"/>
    <col min="2" max="3" width="16.77734375" style="9" customWidth="1"/>
    <col min="4" max="4" width="17.77734375" style="9" customWidth="1"/>
    <col min="5" max="6" width="16.77734375" style="9" customWidth="1"/>
    <col min="7" max="7" width="50.77734375" style="9" customWidth="1"/>
    <col min="8" max="28" width="16.77734375" style="9" customWidth="1"/>
    <col min="29" max="29" width="15.77734375" style="9" customWidth="1"/>
    <col min="30" max="84" width="20.77734375" style="9" customWidth="1"/>
    <col min="85" max="85" width="16.77734375" style="9" customWidth="1"/>
    <col min="86" max="16384" width="16.77734375" style="9"/>
  </cols>
  <sheetData>
    <row r="1" spans="1:94" ht="4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17</v>
      </c>
      <c r="Y1" s="11" t="s">
        <v>18</v>
      </c>
      <c r="Z1" s="11" t="s">
        <v>23</v>
      </c>
      <c r="AA1" s="11" t="s">
        <v>20</v>
      </c>
      <c r="AB1" s="11" t="s">
        <v>24</v>
      </c>
      <c r="AC1" s="12" t="s">
        <v>25</v>
      </c>
      <c r="AD1" s="17">
        <v>46112</v>
      </c>
      <c r="AE1" s="13" t="s">
        <v>26</v>
      </c>
      <c r="AF1" s="13" t="s">
        <v>27</v>
      </c>
      <c r="AG1" s="13" t="s">
        <v>13</v>
      </c>
      <c r="AH1" s="12" t="s">
        <v>25</v>
      </c>
      <c r="AI1" s="18">
        <v>46142</v>
      </c>
      <c r="AJ1" s="13" t="s">
        <v>26</v>
      </c>
      <c r="AK1" s="13" t="s">
        <v>27</v>
      </c>
      <c r="AL1" s="13" t="s">
        <v>13</v>
      </c>
      <c r="AM1" s="12" t="s">
        <v>25</v>
      </c>
      <c r="AN1" s="19">
        <v>46173</v>
      </c>
      <c r="AO1" s="13" t="s">
        <v>26</v>
      </c>
      <c r="AP1" s="13" t="s">
        <v>27</v>
      </c>
      <c r="AQ1" s="13" t="s">
        <v>13</v>
      </c>
      <c r="AR1" s="12" t="s">
        <v>25</v>
      </c>
      <c r="AS1" s="20">
        <v>46203</v>
      </c>
      <c r="AT1" s="13" t="s">
        <v>26</v>
      </c>
      <c r="AU1" s="13" t="s">
        <v>27</v>
      </c>
      <c r="AV1" s="13" t="s">
        <v>13</v>
      </c>
      <c r="AW1" s="12" t="s">
        <v>25</v>
      </c>
      <c r="AX1" s="21">
        <v>46234</v>
      </c>
      <c r="AY1" s="13" t="s">
        <v>26</v>
      </c>
      <c r="AZ1" s="13" t="s">
        <v>27</v>
      </c>
      <c r="BA1" s="13" t="s">
        <v>13</v>
      </c>
      <c r="BB1" s="12" t="s">
        <v>25</v>
      </c>
      <c r="BC1" s="22">
        <v>46265</v>
      </c>
      <c r="BD1" s="13" t="s">
        <v>26</v>
      </c>
      <c r="BE1" s="13" t="s">
        <v>27</v>
      </c>
      <c r="BF1" s="13" t="s">
        <v>13</v>
      </c>
      <c r="BG1" s="12" t="s">
        <v>25</v>
      </c>
      <c r="BH1" s="23">
        <v>46295</v>
      </c>
      <c r="BI1" s="13" t="s">
        <v>26</v>
      </c>
      <c r="BJ1" s="13" t="s">
        <v>27</v>
      </c>
      <c r="BK1" s="13" t="s">
        <v>13</v>
      </c>
      <c r="BL1" s="12" t="s">
        <v>25</v>
      </c>
      <c r="BM1" s="24">
        <v>46326</v>
      </c>
      <c r="BN1" s="13" t="s">
        <v>26</v>
      </c>
      <c r="BO1" s="13" t="s">
        <v>27</v>
      </c>
      <c r="BP1" s="13" t="s">
        <v>13</v>
      </c>
      <c r="BQ1" s="12" t="s">
        <v>25</v>
      </c>
      <c r="BR1" s="25">
        <v>46356</v>
      </c>
      <c r="BS1" s="13" t="s">
        <v>26</v>
      </c>
      <c r="BT1" s="13" t="s">
        <v>27</v>
      </c>
      <c r="BU1" s="13" t="s">
        <v>13</v>
      </c>
      <c r="BV1" s="12" t="s">
        <v>25</v>
      </c>
      <c r="BW1" s="26">
        <v>46387</v>
      </c>
      <c r="BX1" s="13" t="s">
        <v>26</v>
      </c>
      <c r="BY1" s="13" t="s">
        <v>27</v>
      </c>
      <c r="BZ1" s="13" t="s">
        <v>13</v>
      </c>
      <c r="CA1" s="12" t="s">
        <v>28</v>
      </c>
      <c r="CB1" s="12" t="s">
        <v>26</v>
      </c>
      <c r="CC1" s="12" t="s">
        <v>27</v>
      </c>
      <c r="CD1" s="12" t="s">
        <v>13</v>
      </c>
      <c r="CE1" s="12" t="s">
        <v>29</v>
      </c>
      <c r="CF1" s="12" t="s">
        <v>30</v>
      </c>
      <c r="CG1" s="27" t="s">
        <v>31</v>
      </c>
      <c r="CH1" s="27" t="s">
        <v>32</v>
      </c>
      <c r="CI1" s="27" t="s">
        <v>33</v>
      </c>
      <c r="CJ1" s="27" t="s">
        <v>34</v>
      </c>
      <c r="CK1" s="27" t="s">
        <v>35</v>
      </c>
      <c r="CL1" s="27" t="s">
        <v>36</v>
      </c>
      <c r="CM1" s="27" t="s">
        <v>37</v>
      </c>
      <c r="CN1" s="27" t="s">
        <v>38</v>
      </c>
      <c r="CO1" s="27" t="s">
        <v>39</v>
      </c>
      <c r="CP1" s="27" t="s">
        <v>40</v>
      </c>
    </row>
    <row r="2" spans="1:94" ht="40.049999999999997" customHeight="1" x14ac:dyDescent="0.25">
      <c r="A2" s="62">
        <v>1</v>
      </c>
      <c r="B2" s="63">
        <v>236</v>
      </c>
      <c r="C2" s="1" t="s">
        <v>41</v>
      </c>
      <c r="D2" s="2" t="s">
        <v>42</v>
      </c>
      <c r="E2" s="2" t="s">
        <v>43</v>
      </c>
      <c r="F2" s="1" t="s">
        <v>44</v>
      </c>
      <c r="G2" s="2" t="s">
        <v>45</v>
      </c>
      <c r="H2" s="64">
        <v>8.125</v>
      </c>
      <c r="I2" s="1" t="s">
        <v>46</v>
      </c>
      <c r="J2" s="3">
        <v>735</v>
      </c>
      <c r="K2" s="1">
        <v>240</v>
      </c>
      <c r="L2" s="4">
        <v>47775</v>
      </c>
      <c r="M2" s="4">
        <v>4777</v>
      </c>
      <c r="N2" s="4">
        <v>52552</v>
      </c>
      <c r="O2" s="15"/>
      <c r="P2" s="31"/>
      <c r="Q2" s="35">
        <f t="shared" ref="Q2:Q7" si="0">+$K2</f>
        <v>240</v>
      </c>
      <c r="R2" s="14"/>
      <c r="S2" s="14">
        <f t="shared" ref="S2:S33" si="1">IF(Q2+R2=0,"",Q2+R2-1)</f>
        <v>239</v>
      </c>
      <c r="T2" s="34"/>
      <c r="U2" s="34">
        <f t="shared" ref="U2:U33" si="2">+ROUND(T2*0.1,2)</f>
        <v>0</v>
      </c>
      <c r="V2" s="34">
        <f t="shared" ref="V2:V33" si="3">+SUM(T2:U2)</f>
        <v>0</v>
      </c>
      <c r="W2" s="35"/>
      <c r="X2" s="14">
        <f t="shared" ref="X2:X33" si="4">+$R2</f>
        <v>0</v>
      </c>
      <c r="Y2" s="14" t="str">
        <f t="shared" ref="Y2:Y33" si="5">IF(W2&gt;0,X2+W2-1,"")</f>
        <v/>
      </c>
      <c r="Z2" s="34"/>
      <c r="AA2" s="34">
        <f t="shared" ref="AA2:AA33" si="6">+ROUND(Z2*0.1,2)</f>
        <v>0</v>
      </c>
      <c r="AB2" s="34">
        <f t="shared" ref="AB2:AB33" si="7">+SUM(Z2:AA2)</f>
        <v>0</v>
      </c>
      <c r="AC2" s="15"/>
      <c r="AD2" s="35">
        <f t="shared" ref="AD2:AD33" si="8">MAX(0,MIN(IF($Y2&lt;&gt;"",$Y2,$S2),AD$1)-MAX($R2,EOMONTH(AD$1,-1)+1)+1)</f>
        <v>0</v>
      </c>
      <c r="AE2" s="34">
        <f t="shared" ref="AE2:AE33" si="9">ROUND(IF($Z2="",$T2,$Z2)*(AD2/IF($W2="",$Q2,$W2)),2)</f>
        <v>0</v>
      </c>
      <c r="AF2" s="34">
        <f t="shared" ref="AF2:AF33" si="10">+ROUND(AE2*0.1,2)</f>
        <v>0</v>
      </c>
      <c r="AG2" s="34">
        <f t="shared" ref="AG2:AG33" si="11">+SUM(AE2:AF2)</f>
        <v>0</v>
      </c>
      <c r="AH2" s="15"/>
      <c r="AI2" s="35">
        <f t="shared" ref="AI2:AI33" si="12">MAX(0,MIN(IF($Y2&lt;&gt;"",$Y2,$S2),AI$1)-MAX($R2,EOMONTH(AI$1,-1)+1)+1)</f>
        <v>0</v>
      </c>
      <c r="AJ2" s="34">
        <f t="shared" ref="AJ2:AJ33" si="13">ROUND(IF($Z2="",$T2,$Z2)*(AI2/IF($W2="",$Q2,$W2)),2)</f>
        <v>0</v>
      </c>
      <c r="AK2" s="34">
        <f t="shared" ref="AK2:AK33" si="14">+ROUND(AJ2*0.1,2)</f>
        <v>0</v>
      </c>
      <c r="AL2" s="34">
        <f t="shared" ref="AL2:AL33" si="15">+SUM(AJ2:AK2)</f>
        <v>0</v>
      </c>
      <c r="AM2" s="15"/>
      <c r="AN2" s="35">
        <f t="shared" ref="AN2:AN33" si="16">MAX(0,MIN(IF($Y2&lt;&gt;"",$Y2,$S2),AN$1)-MAX($R2,EOMONTH(AN$1,-1)+1)+1)</f>
        <v>0</v>
      </c>
      <c r="AO2" s="34">
        <f t="shared" ref="AO2:AO10" si="17">ROUND(IF($Z2="",$T2,$Z2)*(AN2/IF($W2="",$Q2,$W2)),2)</f>
        <v>0</v>
      </c>
      <c r="AP2" s="34">
        <f t="shared" ref="AP2:AP33" si="18">+ROUND(AO2*0.1,2)</f>
        <v>0</v>
      </c>
      <c r="AQ2" s="34">
        <f t="shared" ref="AQ2:AQ33" si="19">+SUM(AO2:AP2)</f>
        <v>0</v>
      </c>
      <c r="AR2" s="15"/>
      <c r="AS2" s="35">
        <f t="shared" ref="AS2:AS33" si="20">MAX(0,MIN(IF($Y2&lt;&gt;"",$Y2,$S2),AS$1)-MAX($R2,EOMONTH(AS$1,-1)+1)+1)</f>
        <v>0</v>
      </c>
      <c r="AT2" s="34">
        <f t="shared" ref="AT2:AT10" si="21">ROUND(IF($Z2="",$T2,$Z2)*(AS2/IF($W2="",$Q2,$W2)),2)</f>
        <v>0</v>
      </c>
      <c r="AU2" s="34">
        <f t="shared" ref="AU2:AU33" si="22">+ROUND(AT2*0.1,2)</f>
        <v>0</v>
      </c>
      <c r="AV2" s="34">
        <f t="shared" ref="AV2:AV33" si="23">+SUM(AT2:AU2)</f>
        <v>0</v>
      </c>
      <c r="AW2" s="15"/>
      <c r="AX2" s="35">
        <f t="shared" ref="AX2:AX33" si="24">MAX(0,MIN(IF($Y2&lt;&gt;"",$Y2,$S2),AX$1)-MAX($R2,EOMONTH(AX$1,-1)+1)+1)</f>
        <v>0</v>
      </c>
      <c r="AY2" s="34">
        <f t="shared" ref="AY2:AY33" si="25">ROUND(IF($Z2="",$T2,$Z2)*(AX2/IF($W2="",$Q2,$W2)),2)</f>
        <v>0</v>
      </c>
      <c r="AZ2" s="34">
        <f t="shared" ref="AZ2:AZ33" si="26">+ROUND(AY2*0.1,2)</f>
        <v>0</v>
      </c>
      <c r="BA2" s="34">
        <f t="shared" ref="BA2:BA33" si="27">+SUM(AY2:AZ2)</f>
        <v>0</v>
      </c>
      <c r="BB2" s="15"/>
      <c r="BC2" s="35">
        <f t="shared" ref="BC2:BC33" si="28">MAX(0,MIN(IF($Y2&lt;&gt;"",$Y2,$S2),BC$1)-MAX($R2,EOMONTH(BC$1,-1)+1)+1)</f>
        <v>0</v>
      </c>
      <c r="BD2" s="34">
        <f t="shared" ref="BD2:BD33" si="29">ROUND(IF($Z2="",$T2,$Z2)*(BC2/IF($W2="",$Q2,$W2)),2)</f>
        <v>0</v>
      </c>
      <c r="BE2" s="34">
        <f t="shared" ref="BE2:BE33" si="30">+ROUND(BD2*0.1,2)</f>
        <v>0</v>
      </c>
      <c r="BF2" s="34">
        <f t="shared" ref="BF2:BF33" si="31">+SUM(BD2:BE2)</f>
        <v>0</v>
      </c>
      <c r="BG2" s="15"/>
      <c r="BH2" s="35">
        <f t="shared" ref="BH2:BH33" si="32">MAX(0,MIN(IF($Y2&lt;&gt;"",$Y2,$S2),BH$1)-MAX($R2,EOMONTH(BH$1,-1)+1)+1)</f>
        <v>0</v>
      </c>
      <c r="BI2" s="34">
        <f t="shared" ref="BI2:BI33" si="33">ROUND(IF($Z2="",$T2,$Z2)*(BH2/IF($W2="",$Q2,$W2)),2)</f>
        <v>0</v>
      </c>
      <c r="BJ2" s="34">
        <f t="shared" ref="BJ2:BJ33" si="34">+ROUND(BI2*0.1,2)</f>
        <v>0</v>
      </c>
      <c r="BK2" s="34">
        <f t="shared" ref="BK2:BK33" si="35">+SUM(BI2:BJ2)</f>
        <v>0</v>
      </c>
      <c r="BL2" s="15"/>
      <c r="BM2" s="35">
        <f t="shared" ref="BM2:BM33" si="36">MAX(0,MIN(IF($Y2&lt;&gt;"",$Y2,$S2),BM$1)-MAX($R2,EOMONTH(BM$1,-1)+1)+1)</f>
        <v>0</v>
      </c>
      <c r="BN2" s="34">
        <f t="shared" ref="BN2:BN33" si="37">ROUND(IF($Z2="",$T2,$Z2)*(BM2/IF($W2="",$Q2,$W2)),2)</f>
        <v>0</v>
      </c>
      <c r="BO2" s="34">
        <f t="shared" ref="BO2:BO33" si="38">+ROUND(BN2*0.1,2)</f>
        <v>0</v>
      </c>
      <c r="BP2" s="34">
        <f t="shared" ref="BP2:BP33" si="39">+SUM(BN2:BO2)</f>
        <v>0</v>
      </c>
      <c r="BQ2" s="15"/>
      <c r="BR2" s="35">
        <f t="shared" ref="BR2:BR33" si="40">MAX(0,MIN(IF($Y2&lt;&gt;"",$Y2,$S2),BR$1)-MAX($R2,EOMONTH(BR$1,-1)+1)+1)</f>
        <v>0</v>
      </c>
      <c r="BS2" s="34">
        <f t="shared" ref="BS2:BS33" si="41">ROUND(IF($Z2="",$T2,$Z2)*(BR2/IF($W2="",$Q2,$W2)),2)</f>
        <v>0</v>
      </c>
      <c r="BT2" s="34">
        <f t="shared" ref="BT2:BT33" si="42">+ROUND(BS2*0.1,2)</f>
        <v>0</v>
      </c>
      <c r="BU2" s="34">
        <f t="shared" ref="BU2:BU33" si="43">+SUM(BS2:BT2)</f>
        <v>0</v>
      </c>
      <c r="BV2" s="15"/>
      <c r="BW2" s="35">
        <f t="shared" ref="BW2:BW33" si="44">MAX(0,MIN(IF($Y2&lt;&gt;"",$Y2,$S2),BW$1)-MAX($R2,EOMONTH(BW$1,-1)+1)+1)</f>
        <v>0</v>
      </c>
      <c r="BX2" s="34">
        <f t="shared" ref="BX2:BX33" si="45">ROUND(IF($Z2="",$T2,$Z2)*(BW2/IF($W2="",$Q2,$W2)),2)</f>
        <v>0</v>
      </c>
      <c r="BY2" s="34">
        <f t="shared" ref="BY2:BY33" si="46">+ROUND(BX2*0.1,2)</f>
        <v>0</v>
      </c>
      <c r="BZ2" s="34">
        <f t="shared" ref="BZ2:BZ33" si="47">+SUM(BX2:BY2)</f>
        <v>0</v>
      </c>
      <c r="CA2" s="35">
        <f t="shared" ref="CA2:CA33" si="48">+AD2+AI2+AN2+AS2+AX2+BC2+BH2+BM2+BR2+BW2</f>
        <v>0</v>
      </c>
      <c r="CB2" s="34">
        <f t="shared" ref="CB2:CB33" si="49">+AE2+AJ2+AO2+AT2+AY2+BD2+BI2+BN2+BS2+BX2</f>
        <v>0</v>
      </c>
      <c r="CC2" s="34">
        <f t="shared" ref="CC2:CC33" si="50">+AF2+AK2+AP2+AU2+AZ2+BE2+BJ2+BO2+BT2+BY2</f>
        <v>0</v>
      </c>
      <c r="CD2" s="34">
        <f t="shared" ref="CD2:CD33" si="51">+SUM(CB2:CC2)</f>
        <v>0</v>
      </c>
      <c r="CE2" s="16">
        <f t="shared" ref="CE2:CE33" si="52">ROUND(IF($Y2&lt;&gt;"",$Z2,$T2)-CB2,2)</f>
        <v>0</v>
      </c>
      <c r="CF2" s="16">
        <f t="shared" ref="CF2:CF33" si="53">ROUND(IF($Y2&lt;&gt;"",$AA2,$U2)-CC2,2)</f>
        <v>0</v>
      </c>
      <c r="CG2" s="30" t="s">
        <v>47</v>
      </c>
      <c r="CH2" s="31" t="s">
        <v>48</v>
      </c>
      <c r="CI2" s="31" t="s">
        <v>49</v>
      </c>
      <c r="CJ2" s="31" t="s">
        <v>50</v>
      </c>
      <c r="CK2" s="31"/>
      <c r="CL2" s="31"/>
      <c r="CM2" s="29"/>
      <c r="CN2" s="28"/>
      <c r="CO2" s="28"/>
      <c r="CP2" s="28"/>
    </row>
    <row r="3" spans="1:94" ht="40.049999999999997" customHeight="1" x14ac:dyDescent="0.25">
      <c r="A3" s="62">
        <v>2</v>
      </c>
      <c r="B3" s="63">
        <v>236</v>
      </c>
      <c r="C3" s="1" t="s">
        <v>41</v>
      </c>
      <c r="D3" s="2" t="s">
        <v>42</v>
      </c>
      <c r="E3" s="2" t="s">
        <v>43</v>
      </c>
      <c r="F3" s="1" t="s">
        <v>51</v>
      </c>
      <c r="G3" s="2" t="s">
        <v>52</v>
      </c>
      <c r="H3" s="64">
        <v>6.3129999999999997</v>
      </c>
      <c r="I3" s="1" t="s">
        <v>46</v>
      </c>
      <c r="J3" s="3">
        <v>735</v>
      </c>
      <c r="K3" s="1">
        <v>240</v>
      </c>
      <c r="L3" s="4">
        <v>37120</v>
      </c>
      <c r="M3" s="4">
        <v>3712</v>
      </c>
      <c r="N3" s="4">
        <v>40832</v>
      </c>
      <c r="O3" s="15"/>
      <c r="P3" s="31"/>
      <c r="Q3" s="35">
        <f t="shared" si="0"/>
        <v>240</v>
      </c>
      <c r="R3" s="14"/>
      <c r="S3" s="14">
        <f t="shared" si="1"/>
        <v>239</v>
      </c>
      <c r="T3" s="34"/>
      <c r="U3" s="34">
        <f t="shared" si="2"/>
        <v>0</v>
      </c>
      <c r="V3" s="34">
        <f t="shared" si="3"/>
        <v>0</v>
      </c>
      <c r="W3" s="35"/>
      <c r="X3" s="14">
        <f t="shared" si="4"/>
        <v>0</v>
      </c>
      <c r="Y3" s="14" t="str">
        <f t="shared" si="5"/>
        <v/>
      </c>
      <c r="Z3" s="34"/>
      <c r="AA3" s="34">
        <f t="shared" si="6"/>
        <v>0</v>
      </c>
      <c r="AB3" s="34">
        <f t="shared" si="7"/>
        <v>0</v>
      </c>
      <c r="AC3" s="15"/>
      <c r="AD3" s="35">
        <f t="shared" si="8"/>
        <v>0</v>
      </c>
      <c r="AE3" s="34">
        <f t="shared" si="9"/>
        <v>0</v>
      </c>
      <c r="AF3" s="34">
        <f t="shared" si="10"/>
        <v>0</v>
      </c>
      <c r="AG3" s="34">
        <f t="shared" si="11"/>
        <v>0</v>
      </c>
      <c r="AH3" s="15"/>
      <c r="AI3" s="35">
        <f t="shared" si="12"/>
        <v>0</v>
      </c>
      <c r="AJ3" s="34">
        <f t="shared" si="13"/>
        <v>0</v>
      </c>
      <c r="AK3" s="34">
        <f t="shared" si="14"/>
        <v>0</v>
      </c>
      <c r="AL3" s="34">
        <f t="shared" si="15"/>
        <v>0</v>
      </c>
      <c r="AM3" s="15"/>
      <c r="AN3" s="35">
        <f t="shared" si="16"/>
        <v>0</v>
      </c>
      <c r="AO3" s="34">
        <f t="shared" si="17"/>
        <v>0</v>
      </c>
      <c r="AP3" s="34">
        <f t="shared" si="18"/>
        <v>0</v>
      </c>
      <c r="AQ3" s="34">
        <f t="shared" si="19"/>
        <v>0</v>
      </c>
      <c r="AR3" s="15"/>
      <c r="AS3" s="35">
        <f t="shared" si="20"/>
        <v>0</v>
      </c>
      <c r="AT3" s="34">
        <f t="shared" si="21"/>
        <v>0</v>
      </c>
      <c r="AU3" s="34">
        <f t="shared" si="22"/>
        <v>0</v>
      </c>
      <c r="AV3" s="34">
        <f t="shared" si="23"/>
        <v>0</v>
      </c>
      <c r="AW3" s="15"/>
      <c r="AX3" s="35">
        <f t="shared" si="24"/>
        <v>0</v>
      </c>
      <c r="AY3" s="34">
        <f t="shared" si="25"/>
        <v>0</v>
      </c>
      <c r="AZ3" s="34">
        <f t="shared" si="26"/>
        <v>0</v>
      </c>
      <c r="BA3" s="34">
        <f t="shared" si="27"/>
        <v>0</v>
      </c>
      <c r="BB3" s="15"/>
      <c r="BC3" s="35">
        <f t="shared" si="28"/>
        <v>0</v>
      </c>
      <c r="BD3" s="34">
        <f t="shared" si="29"/>
        <v>0</v>
      </c>
      <c r="BE3" s="34">
        <f t="shared" si="30"/>
        <v>0</v>
      </c>
      <c r="BF3" s="34">
        <f t="shared" si="31"/>
        <v>0</v>
      </c>
      <c r="BG3" s="15"/>
      <c r="BH3" s="35">
        <f t="shared" si="32"/>
        <v>0</v>
      </c>
      <c r="BI3" s="34">
        <f t="shared" si="33"/>
        <v>0</v>
      </c>
      <c r="BJ3" s="34">
        <f t="shared" si="34"/>
        <v>0</v>
      </c>
      <c r="BK3" s="34">
        <f t="shared" si="35"/>
        <v>0</v>
      </c>
      <c r="BL3" s="15"/>
      <c r="BM3" s="35">
        <f t="shared" si="36"/>
        <v>0</v>
      </c>
      <c r="BN3" s="34">
        <f t="shared" si="37"/>
        <v>0</v>
      </c>
      <c r="BO3" s="34">
        <f t="shared" si="38"/>
        <v>0</v>
      </c>
      <c r="BP3" s="34">
        <f t="shared" si="39"/>
        <v>0</v>
      </c>
      <c r="BQ3" s="15"/>
      <c r="BR3" s="35">
        <f t="shared" si="40"/>
        <v>0</v>
      </c>
      <c r="BS3" s="34">
        <f t="shared" si="41"/>
        <v>0</v>
      </c>
      <c r="BT3" s="34">
        <f t="shared" si="42"/>
        <v>0</v>
      </c>
      <c r="BU3" s="34">
        <f t="shared" si="43"/>
        <v>0</v>
      </c>
      <c r="BV3" s="15"/>
      <c r="BW3" s="35">
        <f t="shared" si="44"/>
        <v>0</v>
      </c>
      <c r="BX3" s="34">
        <f t="shared" si="45"/>
        <v>0</v>
      </c>
      <c r="BY3" s="34">
        <f t="shared" si="46"/>
        <v>0</v>
      </c>
      <c r="BZ3" s="34">
        <f t="shared" si="47"/>
        <v>0</v>
      </c>
      <c r="CA3" s="35">
        <f t="shared" si="48"/>
        <v>0</v>
      </c>
      <c r="CB3" s="34">
        <f t="shared" si="49"/>
        <v>0</v>
      </c>
      <c r="CC3" s="34">
        <f t="shared" si="50"/>
        <v>0</v>
      </c>
      <c r="CD3" s="34">
        <f t="shared" si="51"/>
        <v>0</v>
      </c>
      <c r="CE3" s="16">
        <f t="shared" si="52"/>
        <v>0</v>
      </c>
      <c r="CF3" s="16">
        <f t="shared" si="53"/>
        <v>0</v>
      </c>
      <c r="CG3" s="31" t="s">
        <v>47</v>
      </c>
      <c r="CH3" s="31" t="s">
        <v>48</v>
      </c>
      <c r="CI3" s="31" t="s">
        <v>49</v>
      </c>
      <c r="CJ3" s="31" t="s">
        <v>50</v>
      </c>
      <c r="CK3" s="31"/>
      <c r="CL3" s="31"/>
      <c r="CM3" s="29"/>
      <c r="CN3" s="28"/>
      <c r="CO3" s="28"/>
      <c r="CP3" s="28"/>
    </row>
    <row r="4" spans="1:94" ht="40.049999999999997" customHeight="1" x14ac:dyDescent="0.25">
      <c r="A4" s="62">
        <v>3</v>
      </c>
      <c r="B4" s="63">
        <v>236</v>
      </c>
      <c r="C4" s="1" t="s">
        <v>41</v>
      </c>
      <c r="D4" s="2" t="s">
        <v>42</v>
      </c>
      <c r="E4" s="2" t="s">
        <v>53</v>
      </c>
      <c r="F4" s="1" t="s">
        <v>44</v>
      </c>
      <c r="G4" s="2" t="s">
        <v>54</v>
      </c>
      <c r="H4" s="64">
        <v>13.6</v>
      </c>
      <c r="I4" s="1" t="s">
        <v>55</v>
      </c>
      <c r="J4" s="3">
        <v>880</v>
      </c>
      <c r="K4" s="1">
        <v>240</v>
      </c>
      <c r="L4" s="4">
        <v>95744</v>
      </c>
      <c r="M4" s="4">
        <v>9574</v>
      </c>
      <c r="N4" s="4">
        <v>105318</v>
      </c>
      <c r="O4" s="15"/>
      <c r="P4" s="31"/>
      <c r="Q4" s="35">
        <f t="shared" si="0"/>
        <v>240</v>
      </c>
      <c r="R4" s="14"/>
      <c r="S4" s="14">
        <f t="shared" si="1"/>
        <v>239</v>
      </c>
      <c r="T4" s="34"/>
      <c r="U4" s="34">
        <f t="shared" si="2"/>
        <v>0</v>
      </c>
      <c r="V4" s="34">
        <f t="shared" si="3"/>
        <v>0</v>
      </c>
      <c r="W4" s="35"/>
      <c r="X4" s="14">
        <f t="shared" si="4"/>
        <v>0</v>
      </c>
      <c r="Y4" s="14" t="str">
        <f t="shared" si="5"/>
        <v/>
      </c>
      <c r="Z4" s="34"/>
      <c r="AA4" s="34">
        <f t="shared" si="6"/>
        <v>0</v>
      </c>
      <c r="AB4" s="34">
        <f t="shared" si="7"/>
        <v>0</v>
      </c>
      <c r="AC4" s="15"/>
      <c r="AD4" s="35">
        <f t="shared" si="8"/>
        <v>0</v>
      </c>
      <c r="AE4" s="34">
        <f t="shared" si="9"/>
        <v>0</v>
      </c>
      <c r="AF4" s="34">
        <f t="shared" si="10"/>
        <v>0</v>
      </c>
      <c r="AG4" s="34">
        <f t="shared" si="11"/>
        <v>0</v>
      </c>
      <c r="AH4" s="15"/>
      <c r="AI4" s="35">
        <f t="shared" si="12"/>
        <v>0</v>
      </c>
      <c r="AJ4" s="34">
        <f t="shared" si="13"/>
        <v>0</v>
      </c>
      <c r="AK4" s="34">
        <f t="shared" si="14"/>
        <v>0</v>
      </c>
      <c r="AL4" s="34">
        <f t="shared" si="15"/>
        <v>0</v>
      </c>
      <c r="AM4" s="15"/>
      <c r="AN4" s="35">
        <f t="shared" si="16"/>
        <v>0</v>
      </c>
      <c r="AO4" s="34">
        <f t="shared" si="17"/>
        <v>0</v>
      </c>
      <c r="AP4" s="34">
        <f t="shared" si="18"/>
        <v>0</v>
      </c>
      <c r="AQ4" s="34">
        <f t="shared" si="19"/>
        <v>0</v>
      </c>
      <c r="AR4" s="15"/>
      <c r="AS4" s="35">
        <f t="shared" si="20"/>
        <v>0</v>
      </c>
      <c r="AT4" s="34">
        <f t="shared" si="21"/>
        <v>0</v>
      </c>
      <c r="AU4" s="34">
        <f t="shared" si="22"/>
        <v>0</v>
      </c>
      <c r="AV4" s="34">
        <f t="shared" si="23"/>
        <v>0</v>
      </c>
      <c r="AW4" s="15"/>
      <c r="AX4" s="35">
        <f t="shared" si="24"/>
        <v>0</v>
      </c>
      <c r="AY4" s="34">
        <f t="shared" si="25"/>
        <v>0</v>
      </c>
      <c r="AZ4" s="34">
        <f t="shared" si="26"/>
        <v>0</v>
      </c>
      <c r="BA4" s="34">
        <f t="shared" si="27"/>
        <v>0</v>
      </c>
      <c r="BB4" s="15"/>
      <c r="BC4" s="35">
        <f t="shared" si="28"/>
        <v>0</v>
      </c>
      <c r="BD4" s="34">
        <f t="shared" si="29"/>
        <v>0</v>
      </c>
      <c r="BE4" s="34">
        <f t="shared" si="30"/>
        <v>0</v>
      </c>
      <c r="BF4" s="34">
        <f t="shared" si="31"/>
        <v>0</v>
      </c>
      <c r="BG4" s="15"/>
      <c r="BH4" s="35">
        <f t="shared" si="32"/>
        <v>0</v>
      </c>
      <c r="BI4" s="34">
        <f t="shared" si="33"/>
        <v>0</v>
      </c>
      <c r="BJ4" s="34">
        <f t="shared" si="34"/>
        <v>0</v>
      </c>
      <c r="BK4" s="34">
        <f t="shared" si="35"/>
        <v>0</v>
      </c>
      <c r="BL4" s="15"/>
      <c r="BM4" s="35">
        <f t="shared" si="36"/>
        <v>0</v>
      </c>
      <c r="BN4" s="34">
        <f t="shared" si="37"/>
        <v>0</v>
      </c>
      <c r="BO4" s="34">
        <f t="shared" si="38"/>
        <v>0</v>
      </c>
      <c r="BP4" s="34">
        <f t="shared" si="39"/>
        <v>0</v>
      </c>
      <c r="BQ4" s="15"/>
      <c r="BR4" s="35">
        <f t="shared" si="40"/>
        <v>0</v>
      </c>
      <c r="BS4" s="34">
        <f t="shared" si="41"/>
        <v>0</v>
      </c>
      <c r="BT4" s="34">
        <f t="shared" si="42"/>
        <v>0</v>
      </c>
      <c r="BU4" s="34">
        <f t="shared" si="43"/>
        <v>0</v>
      </c>
      <c r="BV4" s="15"/>
      <c r="BW4" s="35">
        <f t="shared" si="44"/>
        <v>0</v>
      </c>
      <c r="BX4" s="34">
        <f t="shared" si="45"/>
        <v>0</v>
      </c>
      <c r="BY4" s="34">
        <f t="shared" si="46"/>
        <v>0</v>
      </c>
      <c r="BZ4" s="34">
        <f t="shared" si="47"/>
        <v>0</v>
      </c>
      <c r="CA4" s="35">
        <f t="shared" si="48"/>
        <v>0</v>
      </c>
      <c r="CB4" s="34">
        <f t="shared" si="49"/>
        <v>0</v>
      </c>
      <c r="CC4" s="34">
        <f t="shared" si="50"/>
        <v>0</v>
      </c>
      <c r="CD4" s="34">
        <f t="shared" si="51"/>
        <v>0</v>
      </c>
      <c r="CE4" s="16">
        <f t="shared" si="52"/>
        <v>0</v>
      </c>
      <c r="CF4" s="16">
        <f t="shared" si="53"/>
        <v>0</v>
      </c>
      <c r="CG4" s="31" t="s">
        <v>47</v>
      </c>
      <c r="CH4" s="31" t="s">
        <v>48</v>
      </c>
      <c r="CI4" s="31" t="s">
        <v>49</v>
      </c>
      <c r="CJ4" s="31" t="s">
        <v>50</v>
      </c>
      <c r="CK4" s="31"/>
      <c r="CL4" s="31"/>
      <c r="CM4" s="29"/>
      <c r="CN4" s="28"/>
      <c r="CO4" s="28"/>
      <c r="CP4" s="28"/>
    </row>
    <row r="5" spans="1:94" ht="40.049999999999997" customHeight="1" x14ac:dyDescent="0.25">
      <c r="A5" s="62">
        <v>4</v>
      </c>
      <c r="B5" s="63">
        <v>236</v>
      </c>
      <c r="C5" s="1" t="s">
        <v>41</v>
      </c>
      <c r="D5" s="2" t="s">
        <v>42</v>
      </c>
      <c r="E5" s="2" t="s">
        <v>53</v>
      </c>
      <c r="F5" s="1" t="s">
        <v>56</v>
      </c>
      <c r="G5" s="2" t="s">
        <v>57</v>
      </c>
      <c r="H5" s="64">
        <v>5.3890000000000002</v>
      </c>
      <c r="I5" s="1" t="s">
        <v>55</v>
      </c>
      <c r="J5" s="3">
        <v>880</v>
      </c>
      <c r="K5" s="1">
        <v>240</v>
      </c>
      <c r="L5" s="4">
        <v>37939</v>
      </c>
      <c r="M5" s="4">
        <v>3793</v>
      </c>
      <c r="N5" s="4">
        <v>41732</v>
      </c>
      <c r="O5" s="15"/>
      <c r="P5" s="31"/>
      <c r="Q5" s="35">
        <f t="shared" si="0"/>
        <v>240</v>
      </c>
      <c r="R5" s="14"/>
      <c r="S5" s="14">
        <f t="shared" si="1"/>
        <v>239</v>
      </c>
      <c r="T5" s="34"/>
      <c r="U5" s="34">
        <f t="shared" si="2"/>
        <v>0</v>
      </c>
      <c r="V5" s="34">
        <f t="shared" si="3"/>
        <v>0</v>
      </c>
      <c r="W5" s="35"/>
      <c r="X5" s="14">
        <f t="shared" si="4"/>
        <v>0</v>
      </c>
      <c r="Y5" s="14" t="str">
        <f t="shared" si="5"/>
        <v/>
      </c>
      <c r="Z5" s="34"/>
      <c r="AA5" s="34">
        <f t="shared" si="6"/>
        <v>0</v>
      </c>
      <c r="AB5" s="34">
        <f t="shared" si="7"/>
        <v>0</v>
      </c>
      <c r="AC5" s="15"/>
      <c r="AD5" s="35">
        <f t="shared" si="8"/>
        <v>0</v>
      </c>
      <c r="AE5" s="34">
        <f t="shared" si="9"/>
        <v>0</v>
      </c>
      <c r="AF5" s="34">
        <f t="shared" si="10"/>
        <v>0</v>
      </c>
      <c r="AG5" s="34">
        <f t="shared" si="11"/>
        <v>0</v>
      </c>
      <c r="AH5" s="15"/>
      <c r="AI5" s="35">
        <f t="shared" si="12"/>
        <v>0</v>
      </c>
      <c r="AJ5" s="34">
        <f t="shared" si="13"/>
        <v>0</v>
      </c>
      <c r="AK5" s="34">
        <f t="shared" si="14"/>
        <v>0</v>
      </c>
      <c r="AL5" s="34">
        <f t="shared" si="15"/>
        <v>0</v>
      </c>
      <c r="AM5" s="15"/>
      <c r="AN5" s="35">
        <f t="shared" si="16"/>
        <v>0</v>
      </c>
      <c r="AO5" s="34">
        <f t="shared" si="17"/>
        <v>0</v>
      </c>
      <c r="AP5" s="34">
        <f t="shared" si="18"/>
        <v>0</v>
      </c>
      <c r="AQ5" s="34">
        <f t="shared" si="19"/>
        <v>0</v>
      </c>
      <c r="AR5" s="15"/>
      <c r="AS5" s="35">
        <f t="shared" si="20"/>
        <v>0</v>
      </c>
      <c r="AT5" s="34">
        <f t="shared" si="21"/>
        <v>0</v>
      </c>
      <c r="AU5" s="34">
        <f t="shared" si="22"/>
        <v>0</v>
      </c>
      <c r="AV5" s="34">
        <f t="shared" si="23"/>
        <v>0</v>
      </c>
      <c r="AW5" s="15"/>
      <c r="AX5" s="35">
        <f t="shared" si="24"/>
        <v>0</v>
      </c>
      <c r="AY5" s="34">
        <f t="shared" si="25"/>
        <v>0</v>
      </c>
      <c r="AZ5" s="34">
        <f t="shared" si="26"/>
        <v>0</v>
      </c>
      <c r="BA5" s="34">
        <f t="shared" si="27"/>
        <v>0</v>
      </c>
      <c r="BB5" s="15"/>
      <c r="BC5" s="35">
        <f t="shared" si="28"/>
        <v>0</v>
      </c>
      <c r="BD5" s="34">
        <f t="shared" si="29"/>
        <v>0</v>
      </c>
      <c r="BE5" s="34">
        <f t="shared" si="30"/>
        <v>0</v>
      </c>
      <c r="BF5" s="34">
        <f t="shared" si="31"/>
        <v>0</v>
      </c>
      <c r="BG5" s="15"/>
      <c r="BH5" s="35">
        <f t="shared" si="32"/>
        <v>0</v>
      </c>
      <c r="BI5" s="34">
        <f t="shared" si="33"/>
        <v>0</v>
      </c>
      <c r="BJ5" s="34">
        <f t="shared" si="34"/>
        <v>0</v>
      </c>
      <c r="BK5" s="34">
        <f t="shared" si="35"/>
        <v>0</v>
      </c>
      <c r="BL5" s="15"/>
      <c r="BM5" s="35">
        <f t="shared" si="36"/>
        <v>0</v>
      </c>
      <c r="BN5" s="34">
        <f t="shared" si="37"/>
        <v>0</v>
      </c>
      <c r="BO5" s="34">
        <f t="shared" si="38"/>
        <v>0</v>
      </c>
      <c r="BP5" s="34">
        <f t="shared" si="39"/>
        <v>0</v>
      </c>
      <c r="BQ5" s="15"/>
      <c r="BR5" s="35">
        <f t="shared" si="40"/>
        <v>0</v>
      </c>
      <c r="BS5" s="34">
        <f t="shared" si="41"/>
        <v>0</v>
      </c>
      <c r="BT5" s="34">
        <f t="shared" si="42"/>
        <v>0</v>
      </c>
      <c r="BU5" s="34">
        <f t="shared" si="43"/>
        <v>0</v>
      </c>
      <c r="BV5" s="15"/>
      <c r="BW5" s="35">
        <f t="shared" si="44"/>
        <v>0</v>
      </c>
      <c r="BX5" s="34">
        <f t="shared" si="45"/>
        <v>0</v>
      </c>
      <c r="BY5" s="34">
        <f t="shared" si="46"/>
        <v>0</v>
      </c>
      <c r="BZ5" s="34">
        <f t="shared" si="47"/>
        <v>0</v>
      </c>
      <c r="CA5" s="35">
        <f t="shared" si="48"/>
        <v>0</v>
      </c>
      <c r="CB5" s="34">
        <f t="shared" si="49"/>
        <v>0</v>
      </c>
      <c r="CC5" s="34">
        <f t="shared" si="50"/>
        <v>0</v>
      </c>
      <c r="CD5" s="34">
        <f t="shared" si="51"/>
        <v>0</v>
      </c>
      <c r="CE5" s="16">
        <f t="shared" si="52"/>
        <v>0</v>
      </c>
      <c r="CF5" s="16">
        <f t="shared" si="53"/>
        <v>0</v>
      </c>
      <c r="CG5" s="31" t="s">
        <v>47</v>
      </c>
      <c r="CH5" s="31" t="s">
        <v>48</v>
      </c>
      <c r="CI5" s="31" t="s">
        <v>49</v>
      </c>
      <c r="CJ5" s="31" t="s">
        <v>50</v>
      </c>
      <c r="CK5" s="31"/>
      <c r="CL5" s="31"/>
      <c r="CM5" s="29"/>
      <c r="CN5" s="28"/>
      <c r="CO5" s="28"/>
      <c r="CP5" s="28"/>
    </row>
    <row r="6" spans="1:94" ht="40.049999999999997" customHeight="1" thickBot="1" x14ac:dyDescent="0.3">
      <c r="A6" s="65">
        <v>5</v>
      </c>
      <c r="B6" s="66">
        <v>236</v>
      </c>
      <c r="C6" s="46" t="s">
        <v>41</v>
      </c>
      <c r="D6" s="47" t="s">
        <v>42</v>
      </c>
      <c r="E6" s="47" t="s">
        <v>42</v>
      </c>
      <c r="F6" s="46" t="s">
        <v>58</v>
      </c>
      <c r="G6" s="47" t="s">
        <v>59</v>
      </c>
      <c r="H6" s="67">
        <v>4.7080000000000002</v>
      </c>
      <c r="I6" s="46" t="s">
        <v>55</v>
      </c>
      <c r="J6" s="48">
        <v>880</v>
      </c>
      <c r="K6" s="46">
        <v>270</v>
      </c>
      <c r="L6" s="49">
        <v>37287</v>
      </c>
      <c r="M6" s="49">
        <v>3729</v>
      </c>
      <c r="N6" s="49">
        <v>41016</v>
      </c>
      <c r="O6" s="51" t="s">
        <v>60</v>
      </c>
      <c r="P6" s="53"/>
      <c r="Q6" s="60">
        <f t="shared" si="0"/>
        <v>270</v>
      </c>
      <c r="R6" s="50"/>
      <c r="S6" s="50">
        <f t="shared" si="1"/>
        <v>269</v>
      </c>
      <c r="T6" s="58"/>
      <c r="U6" s="58">
        <f t="shared" si="2"/>
        <v>0</v>
      </c>
      <c r="V6" s="58">
        <f t="shared" si="3"/>
        <v>0</v>
      </c>
      <c r="W6" s="60"/>
      <c r="X6" s="50">
        <f t="shared" si="4"/>
        <v>0</v>
      </c>
      <c r="Y6" s="50" t="str">
        <f t="shared" si="5"/>
        <v/>
      </c>
      <c r="Z6" s="58"/>
      <c r="AA6" s="58">
        <f t="shared" si="6"/>
        <v>0</v>
      </c>
      <c r="AB6" s="58">
        <f t="shared" si="7"/>
        <v>0</v>
      </c>
      <c r="AC6" s="51"/>
      <c r="AD6" s="60">
        <f t="shared" si="8"/>
        <v>0</v>
      </c>
      <c r="AE6" s="58">
        <f t="shared" si="9"/>
        <v>0</v>
      </c>
      <c r="AF6" s="58">
        <f t="shared" si="10"/>
        <v>0</v>
      </c>
      <c r="AG6" s="58">
        <f t="shared" si="11"/>
        <v>0</v>
      </c>
      <c r="AH6" s="51"/>
      <c r="AI6" s="60">
        <f t="shared" si="12"/>
        <v>0</v>
      </c>
      <c r="AJ6" s="58">
        <f t="shared" si="13"/>
        <v>0</v>
      </c>
      <c r="AK6" s="58">
        <f t="shared" si="14"/>
        <v>0</v>
      </c>
      <c r="AL6" s="58">
        <f t="shared" si="15"/>
        <v>0</v>
      </c>
      <c r="AM6" s="51"/>
      <c r="AN6" s="60">
        <f t="shared" si="16"/>
        <v>0</v>
      </c>
      <c r="AO6" s="58">
        <f t="shared" si="17"/>
        <v>0</v>
      </c>
      <c r="AP6" s="58">
        <f t="shared" si="18"/>
        <v>0</v>
      </c>
      <c r="AQ6" s="58">
        <f t="shared" si="19"/>
        <v>0</v>
      </c>
      <c r="AR6" s="51"/>
      <c r="AS6" s="60">
        <f t="shared" si="20"/>
        <v>0</v>
      </c>
      <c r="AT6" s="58">
        <f t="shared" si="21"/>
        <v>0</v>
      </c>
      <c r="AU6" s="58">
        <f t="shared" si="22"/>
        <v>0</v>
      </c>
      <c r="AV6" s="58">
        <f t="shared" si="23"/>
        <v>0</v>
      </c>
      <c r="AW6" s="51"/>
      <c r="AX6" s="60">
        <f t="shared" si="24"/>
        <v>0</v>
      </c>
      <c r="AY6" s="58">
        <f t="shared" si="25"/>
        <v>0</v>
      </c>
      <c r="AZ6" s="58">
        <f t="shared" si="26"/>
        <v>0</v>
      </c>
      <c r="BA6" s="58">
        <f t="shared" si="27"/>
        <v>0</v>
      </c>
      <c r="BB6" s="51"/>
      <c r="BC6" s="60">
        <f t="shared" si="28"/>
        <v>0</v>
      </c>
      <c r="BD6" s="58">
        <f t="shared" si="29"/>
        <v>0</v>
      </c>
      <c r="BE6" s="58">
        <f t="shared" si="30"/>
        <v>0</v>
      </c>
      <c r="BF6" s="58">
        <f t="shared" si="31"/>
        <v>0</v>
      </c>
      <c r="BG6" s="51"/>
      <c r="BH6" s="60">
        <f t="shared" si="32"/>
        <v>0</v>
      </c>
      <c r="BI6" s="58">
        <f t="shared" si="33"/>
        <v>0</v>
      </c>
      <c r="BJ6" s="58">
        <f t="shared" si="34"/>
        <v>0</v>
      </c>
      <c r="BK6" s="58">
        <f t="shared" si="35"/>
        <v>0</v>
      </c>
      <c r="BL6" s="51"/>
      <c r="BM6" s="60">
        <f t="shared" si="36"/>
        <v>0</v>
      </c>
      <c r="BN6" s="58">
        <f t="shared" si="37"/>
        <v>0</v>
      </c>
      <c r="BO6" s="58">
        <f t="shared" si="38"/>
        <v>0</v>
      </c>
      <c r="BP6" s="58">
        <f t="shared" si="39"/>
        <v>0</v>
      </c>
      <c r="BQ6" s="51"/>
      <c r="BR6" s="60">
        <f t="shared" si="40"/>
        <v>0</v>
      </c>
      <c r="BS6" s="58">
        <f t="shared" si="41"/>
        <v>0</v>
      </c>
      <c r="BT6" s="58">
        <f t="shared" si="42"/>
        <v>0</v>
      </c>
      <c r="BU6" s="58">
        <f t="shared" si="43"/>
        <v>0</v>
      </c>
      <c r="BV6" s="51"/>
      <c r="BW6" s="60">
        <f t="shared" si="44"/>
        <v>0</v>
      </c>
      <c r="BX6" s="58">
        <f t="shared" si="45"/>
        <v>0</v>
      </c>
      <c r="BY6" s="58">
        <f t="shared" si="46"/>
        <v>0</v>
      </c>
      <c r="BZ6" s="58">
        <f t="shared" si="47"/>
        <v>0</v>
      </c>
      <c r="CA6" s="60">
        <f t="shared" si="48"/>
        <v>0</v>
      </c>
      <c r="CB6" s="58">
        <f t="shared" si="49"/>
        <v>0</v>
      </c>
      <c r="CC6" s="58">
        <f t="shared" si="50"/>
        <v>0</v>
      </c>
      <c r="CD6" s="58">
        <f t="shared" si="51"/>
        <v>0</v>
      </c>
      <c r="CE6" s="52">
        <f t="shared" si="52"/>
        <v>0</v>
      </c>
      <c r="CF6" s="52">
        <f t="shared" si="53"/>
        <v>0</v>
      </c>
      <c r="CG6" s="53" t="s">
        <v>47</v>
      </c>
      <c r="CH6" s="53" t="s">
        <v>48</v>
      </c>
      <c r="CI6" s="53" t="s">
        <v>49</v>
      </c>
      <c r="CJ6" s="53" t="s">
        <v>50</v>
      </c>
      <c r="CK6" s="53"/>
      <c r="CL6" s="53"/>
      <c r="CM6" s="54"/>
      <c r="CN6" s="55"/>
      <c r="CO6" s="55"/>
      <c r="CP6" s="55"/>
    </row>
    <row r="7" spans="1:94" ht="40.049999999999997" customHeight="1" thickTop="1" x14ac:dyDescent="0.25">
      <c r="A7" s="68">
        <v>6</v>
      </c>
      <c r="B7" s="69">
        <v>49</v>
      </c>
      <c r="C7" s="36" t="s">
        <v>41</v>
      </c>
      <c r="D7" s="37" t="s">
        <v>61</v>
      </c>
      <c r="E7" s="37" t="s">
        <v>62</v>
      </c>
      <c r="F7" s="36" t="s">
        <v>63</v>
      </c>
      <c r="G7" s="37" t="s">
        <v>64</v>
      </c>
      <c r="H7" s="70">
        <v>51.6</v>
      </c>
      <c r="I7" s="36" t="s">
        <v>46</v>
      </c>
      <c r="J7" s="38">
        <v>735</v>
      </c>
      <c r="K7" s="36">
        <v>247</v>
      </c>
      <c r="L7" s="39">
        <v>312257</v>
      </c>
      <c r="M7" s="39">
        <v>31226</v>
      </c>
      <c r="N7" s="39">
        <v>343483</v>
      </c>
      <c r="O7" s="41"/>
      <c r="P7" s="43"/>
      <c r="Q7" s="61">
        <f t="shared" si="0"/>
        <v>247</v>
      </c>
      <c r="R7" s="40"/>
      <c r="S7" s="40">
        <f t="shared" si="1"/>
        <v>246</v>
      </c>
      <c r="T7" s="56"/>
      <c r="U7" s="56">
        <f t="shared" si="2"/>
        <v>0</v>
      </c>
      <c r="V7" s="56">
        <f t="shared" si="3"/>
        <v>0</v>
      </c>
      <c r="W7" s="61"/>
      <c r="X7" s="40">
        <f t="shared" si="4"/>
        <v>0</v>
      </c>
      <c r="Y7" s="40" t="str">
        <f t="shared" si="5"/>
        <v/>
      </c>
      <c r="Z7" s="56"/>
      <c r="AA7" s="56">
        <f t="shared" si="6"/>
        <v>0</v>
      </c>
      <c r="AB7" s="56">
        <f t="shared" si="7"/>
        <v>0</v>
      </c>
      <c r="AC7" s="41"/>
      <c r="AD7" s="61">
        <f t="shared" si="8"/>
        <v>0</v>
      </c>
      <c r="AE7" s="56">
        <f t="shared" si="9"/>
        <v>0</v>
      </c>
      <c r="AF7" s="56">
        <f t="shared" si="10"/>
        <v>0</v>
      </c>
      <c r="AG7" s="56">
        <f t="shared" si="11"/>
        <v>0</v>
      </c>
      <c r="AH7" s="41"/>
      <c r="AI7" s="61">
        <f t="shared" si="12"/>
        <v>0</v>
      </c>
      <c r="AJ7" s="56">
        <f t="shared" si="13"/>
        <v>0</v>
      </c>
      <c r="AK7" s="56">
        <f t="shared" si="14"/>
        <v>0</v>
      </c>
      <c r="AL7" s="56">
        <f t="shared" si="15"/>
        <v>0</v>
      </c>
      <c r="AM7" s="41"/>
      <c r="AN7" s="61">
        <f t="shared" si="16"/>
        <v>0</v>
      </c>
      <c r="AO7" s="56">
        <f t="shared" si="17"/>
        <v>0</v>
      </c>
      <c r="AP7" s="56">
        <f t="shared" si="18"/>
        <v>0</v>
      </c>
      <c r="AQ7" s="56">
        <f t="shared" si="19"/>
        <v>0</v>
      </c>
      <c r="AR7" s="41"/>
      <c r="AS7" s="61">
        <f t="shared" si="20"/>
        <v>0</v>
      </c>
      <c r="AT7" s="56">
        <f t="shared" si="21"/>
        <v>0</v>
      </c>
      <c r="AU7" s="56">
        <f t="shared" si="22"/>
        <v>0</v>
      </c>
      <c r="AV7" s="56">
        <f t="shared" si="23"/>
        <v>0</v>
      </c>
      <c r="AW7" s="41"/>
      <c r="AX7" s="61">
        <f t="shared" si="24"/>
        <v>0</v>
      </c>
      <c r="AY7" s="56">
        <f t="shared" si="25"/>
        <v>0</v>
      </c>
      <c r="AZ7" s="56">
        <f t="shared" si="26"/>
        <v>0</v>
      </c>
      <c r="BA7" s="56">
        <f t="shared" si="27"/>
        <v>0</v>
      </c>
      <c r="BB7" s="41"/>
      <c r="BC7" s="61">
        <f t="shared" si="28"/>
        <v>0</v>
      </c>
      <c r="BD7" s="56">
        <f t="shared" si="29"/>
        <v>0</v>
      </c>
      <c r="BE7" s="56">
        <f t="shared" si="30"/>
        <v>0</v>
      </c>
      <c r="BF7" s="56">
        <f t="shared" si="31"/>
        <v>0</v>
      </c>
      <c r="BG7" s="41"/>
      <c r="BH7" s="61">
        <f t="shared" si="32"/>
        <v>0</v>
      </c>
      <c r="BI7" s="56">
        <f t="shared" si="33"/>
        <v>0</v>
      </c>
      <c r="BJ7" s="56">
        <f t="shared" si="34"/>
        <v>0</v>
      </c>
      <c r="BK7" s="56">
        <f t="shared" si="35"/>
        <v>0</v>
      </c>
      <c r="BL7" s="41"/>
      <c r="BM7" s="61">
        <f t="shared" si="36"/>
        <v>0</v>
      </c>
      <c r="BN7" s="56">
        <f t="shared" si="37"/>
        <v>0</v>
      </c>
      <c r="BO7" s="56">
        <f t="shared" si="38"/>
        <v>0</v>
      </c>
      <c r="BP7" s="56">
        <f t="shared" si="39"/>
        <v>0</v>
      </c>
      <c r="BQ7" s="41"/>
      <c r="BR7" s="61">
        <f t="shared" si="40"/>
        <v>0</v>
      </c>
      <c r="BS7" s="56">
        <f t="shared" si="41"/>
        <v>0</v>
      </c>
      <c r="BT7" s="56">
        <f t="shared" si="42"/>
        <v>0</v>
      </c>
      <c r="BU7" s="56">
        <f t="shared" si="43"/>
        <v>0</v>
      </c>
      <c r="BV7" s="41"/>
      <c r="BW7" s="61">
        <f t="shared" si="44"/>
        <v>0</v>
      </c>
      <c r="BX7" s="56">
        <f t="shared" si="45"/>
        <v>0</v>
      </c>
      <c r="BY7" s="56">
        <f t="shared" si="46"/>
        <v>0</v>
      </c>
      <c r="BZ7" s="56">
        <f t="shared" si="47"/>
        <v>0</v>
      </c>
      <c r="CA7" s="61">
        <f t="shared" si="48"/>
        <v>0</v>
      </c>
      <c r="CB7" s="56">
        <f t="shared" si="49"/>
        <v>0</v>
      </c>
      <c r="CC7" s="56">
        <f t="shared" si="50"/>
        <v>0</v>
      </c>
      <c r="CD7" s="56">
        <f t="shared" si="51"/>
        <v>0</v>
      </c>
      <c r="CE7" s="42">
        <f t="shared" si="52"/>
        <v>0</v>
      </c>
      <c r="CF7" s="42">
        <f t="shared" si="53"/>
        <v>0</v>
      </c>
      <c r="CG7" s="43" t="s">
        <v>65</v>
      </c>
      <c r="CH7" s="43" t="s">
        <v>66</v>
      </c>
      <c r="CI7" s="43" t="s">
        <v>49</v>
      </c>
      <c r="CJ7" s="43" t="s">
        <v>67</v>
      </c>
      <c r="CK7" s="43"/>
      <c r="CL7" s="43"/>
      <c r="CM7" s="44"/>
      <c r="CN7" s="45"/>
      <c r="CO7" s="45"/>
      <c r="CP7" s="45"/>
    </row>
    <row r="8" spans="1:94" ht="40.049999999999997" customHeight="1" x14ac:dyDescent="0.25">
      <c r="A8" s="62">
        <v>7</v>
      </c>
      <c r="B8" s="63">
        <v>49</v>
      </c>
      <c r="C8" s="1" t="s">
        <v>41</v>
      </c>
      <c r="D8" s="2" t="s">
        <v>61</v>
      </c>
      <c r="E8" s="2" t="s">
        <v>68</v>
      </c>
      <c r="F8" s="1" t="s">
        <v>69</v>
      </c>
      <c r="G8" s="2" t="s">
        <v>70</v>
      </c>
      <c r="H8" s="64">
        <v>5.4850000000000003</v>
      </c>
      <c r="I8" s="1" t="s">
        <v>46</v>
      </c>
      <c r="J8" s="3">
        <v>735</v>
      </c>
      <c r="K8" s="1">
        <v>271</v>
      </c>
      <c r="L8" s="4">
        <v>36418</v>
      </c>
      <c r="M8" s="4">
        <v>3642</v>
      </c>
      <c r="N8" s="4">
        <v>40060</v>
      </c>
      <c r="O8" s="15" t="s">
        <v>71</v>
      </c>
      <c r="P8" s="31" t="s">
        <v>72</v>
      </c>
      <c r="Q8" s="35">
        <v>240</v>
      </c>
      <c r="R8" s="14">
        <v>46144</v>
      </c>
      <c r="S8" s="14">
        <f t="shared" si="1"/>
        <v>46383</v>
      </c>
      <c r="T8" s="34">
        <v>32251.8</v>
      </c>
      <c r="U8" s="34">
        <f t="shared" si="2"/>
        <v>3225.18</v>
      </c>
      <c r="V8" s="34">
        <f t="shared" si="3"/>
        <v>35476.979999999996</v>
      </c>
      <c r="W8" s="35"/>
      <c r="X8" s="14">
        <f t="shared" si="4"/>
        <v>46144</v>
      </c>
      <c r="Y8" s="14" t="str">
        <f t="shared" si="5"/>
        <v/>
      </c>
      <c r="Z8" s="34"/>
      <c r="AA8" s="34">
        <f t="shared" si="6"/>
        <v>0</v>
      </c>
      <c r="AB8" s="34">
        <f t="shared" si="7"/>
        <v>0</v>
      </c>
      <c r="AC8" s="15"/>
      <c r="AD8" s="35">
        <f t="shared" si="8"/>
        <v>0</v>
      </c>
      <c r="AE8" s="34">
        <f t="shared" si="9"/>
        <v>0</v>
      </c>
      <c r="AF8" s="34">
        <f t="shared" si="10"/>
        <v>0</v>
      </c>
      <c r="AG8" s="34">
        <f t="shared" si="11"/>
        <v>0</v>
      </c>
      <c r="AH8" s="15"/>
      <c r="AI8" s="35">
        <f t="shared" si="12"/>
        <v>0</v>
      </c>
      <c r="AJ8" s="34">
        <f t="shared" si="13"/>
        <v>0</v>
      </c>
      <c r="AK8" s="34">
        <f t="shared" si="14"/>
        <v>0</v>
      </c>
      <c r="AL8" s="34">
        <f t="shared" si="15"/>
        <v>0</v>
      </c>
      <c r="AM8" s="15"/>
      <c r="AN8" s="35">
        <f t="shared" si="16"/>
        <v>30</v>
      </c>
      <c r="AO8" s="34">
        <f t="shared" si="17"/>
        <v>4031.48</v>
      </c>
      <c r="AP8" s="34">
        <f t="shared" si="18"/>
        <v>403.15</v>
      </c>
      <c r="AQ8" s="34">
        <f t="shared" si="19"/>
        <v>4434.63</v>
      </c>
      <c r="AR8" s="15"/>
      <c r="AS8" s="35">
        <f t="shared" si="20"/>
        <v>30</v>
      </c>
      <c r="AT8" s="34">
        <f t="shared" si="21"/>
        <v>4031.48</v>
      </c>
      <c r="AU8" s="34">
        <f t="shared" si="22"/>
        <v>403.15</v>
      </c>
      <c r="AV8" s="34">
        <f t="shared" si="23"/>
        <v>4434.63</v>
      </c>
      <c r="AW8" s="15"/>
      <c r="AX8" s="35">
        <f t="shared" si="24"/>
        <v>31</v>
      </c>
      <c r="AY8" s="34">
        <f t="shared" si="25"/>
        <v>4165.8599999999997</v>
      </c>
      <c r="AZ8" s="34">
        <f t="shared" si="26"/>
        <v>416.59</v>
      </c>
      <c r="BA8" s="34">
        <f t="shared" si="27"/>
        <v>4582.45</v>
      </c>
      <c r="BB8" s="15"/>
      <c r="BC8" s="35">
        <f t="shared" si="28"/>
        <v>31</v>
      </c>
      <c r="BD8" s="34">
        <f t="shared" si="29"/>
        <v>4165.8599999999997</v>
      </c>
      <c r="BE8" s="34">
        <f t="shared" si="30"/>
        <v>416.59</v>
      </c>
      <c r="BF8" s="34">
        <f t="shared" si="31"/>
        <v>4582.45</v>
      </c>
      <c r="BG8" s="15"/>
      <c r="BH8" s="35">
        <f t="shared" si="32"/>
        <v>30</v>
      </c>
      <c r="BI8" s="34">
        <f t="shared" si="33"/>
        <v>4031.48</v>
      </c>
      <c r="BJ8" s="34">
        <f t="shared" si="34"/>
        <v>403.15</v>
      </c>
      <c r="BK8" s="34">
        <f t="shared" si="35"/>
        <v>4434.63</v>
      </c>
      <c r="BL8" s="15"/>
      <c r="BM8" s="35">
        <f t="shared" si="36"/>
        <v>31</v>
      </c>
      <c r="BN8" s="34">
        <f t="shared" si="37"/>
        <v>4165.8599999999997</v>
      </c>
      <c r="BO8" s="34">
        <f t="shared" si="38"/>
        <v>416.59</v>
      </c>
      <c r="BP8" s="34">
        <f t="shared" si="39"/>
        <v>4582.45</v>
      </c>
      <c r="BQ8" s="15"/>
      <c r="BR8" s="35">
        <f t="shared" si="40"/>
        <v>30</v>
      </c>
      <c r="BS8" s="34">
        <f t="shared" si="41"/>
        <v>4031.48</v>
      </c>
      <c r="BT8" s="34">
        <f t="shared" si="42"/>
        <v>403.15</v>
      </c>
      <c r="BU8" s="34">
        <f t="shared" si="43"/>
        <v>4434.63</v>
      </c>
      <c r="BV8" s="15"/>
      <c r="BW8" s="35">
        <f t="shared" si="44"/>
        <v>27</v>
      </c>
      <c r="BX8" s="34">
        <f t="shared" si="45"/>
        <v>3628.33</v>
      </c>
      <c r="BY8" s="34">
        <f t="shared" si="46"/>
        <v>362.83</v>
      </c>
      <c r="BZ8" s="34">
        <f t="shared" si="47"/>
        <v>3991.16</v>
      </c>
      <c r="CA8" s="35">
        <f t="shared" si="48"/>
        <v>240</v>
      </c>
      <c r="CB8" s="34">
        <f t="shared" si="49"/>
        <v>32251.83</v>
      </c>
      <c r="CC8" s="34">
        <f t="shared" si="50"/>
        <v>3225.2</v>
      </c>
      <c r="CD8" s="34">
        <f t="shared" si="51"/>
        <v>35477.03</v>
      </c>
      <c r="CE8" s="16">
        <f t="shared" si="52"/>
        <v>-0.03</v>
      </c>
      <c r="CF8" s="16">
        <f t="shared" si="53"/>
        <v>-0.02</v>
      </c>
      <c r="CG8" s="31" t="s">
        <v>65</v>
      </c>
      <c r="CH8" s="31" t="s">
        <v>66</v>
      </c>
      <c r="CI8" s="31" t="s">
        <v>49</v>
      </c>
      <c r="CJ8" s="31" t="s">
        <v>67</v>
      </c>
      <c r="CK8" s="31"/>
      <c r="CL8" s="31"/>
      <c r="CM8" s="29"/>
      <c r="CN8" s="28"/>
      <c r="CO8" s="28"/>
      <c r="CP8" s="28"/>
    </row>
    <row r="9" spans="1:94" ht="40.049999999999997" customHeight="1" x14ac:dyDescent="0.25">
      <c r="A9" s="62">
        <v>8</v>
      </c>
      <c r="B9" s="63">
        <v>49</v>
      </c>
      <c r="C9" s="1" t="s">
        <v>41</v>
      </c>
      <c r="D9" s="2" t="s">
        <v>61</v>
      </c>
      <c r="E9" s="2" t="s">
        <v>68</v>
      </c>
      <c r="F9" s="1" t="s">
        <v>73</v>
      </c>
      <c r="G9" s="2" t="s">
        <v>74</v>
      </c>
      <c r="H9" s="64">
        <v>5.0999999999999996</v>
      </c>
      <c r="I9" s="1" t="s">
        <v>46</v>
      </c>
      <c r="J9" s="3">
        <v>735</v>
      </c>
      <c r="K9" s="1">
        <v>271</v>
      </c>
      <c r="L9" s="4">
        <v>33861</v>
      </c>
      <c r="M9" s="4">
        <v>3386</v>
      </c>
      <c r="N9" s="4">
        <v>37247</v>
      </c>
      <c r="O9" s="15" t="s">
        <v>75</v>
      </c>
      <c r="P9" s="31" t="s">
        <v>72</v>
      </c>
      <c r="Q9" s="35">
        <v>240</v>
      </c>
      <c r="R9" s="14">
        <v>46144</v>
      </c>
      <c r="S9" s="14">
        <f t="shared" si="1"/>
        <v>46383</v>
      </c>
      <c r="T9" s="34">
        <v>29988</v>
      </c>
      <c r="U9" s="34">
        <f t="shared" si="2"/>
        <v>2998.8</v>
      </c>
      <c r="V9" s="34">
        <f t="shared" si="3"/>
        <v>32986.800000000003</v>
      </c>
      <c r="W9" s="35"/>
      <c r="X9" s="14">
        <f t="shared" si="4"/>
        <v>46144</v>
      </c>
      <c r="Y9" s="14" t="str">
        <f t="shared" si="5"/>
        <v/>
      </c>
      <c r="Z9" s="34"/>
      <c r="AA9" s="34">
        <f t="shared" si="6"/>
        <v>0</v>
      </c>
      <c r="AB9" s="34">
        <f t="shared" si="7"/>
        <v>0</v>
      </c>
      <c r="AC9" s="15"/>
      <c r="AD9" s="35">
        <f t="shared" si="8"/>
        <v>0</v>
      </c>
      <c r="AE9" s="34">
        <f t="shared" si="9"/>
        <v>0</v>
      </c>
      <c r="AF9" s="34">
        <f t="shared" si="10"/>
        <v>0</v>
      </c>
      <c r="AG9" s="34">
        <f t="shared" si="11"/>
        <v>0</v>
      </c>
      <c r="AH9" s="15"/>
      <c r="AI9" s="35">
        <f t="shared" si="12"/>
        <v>0</v>
      </c>
      <c r="AJ9" s="34">
        <f t="shared" si="13"/>
        <v>0</v>
      </c>
      <c r="AK9" s="34">
        <f t="shared" si="14"/>
        <v>0</v>
      </c>
      <c r="AL9" s="34">
        <f t="shared" si="15"/>
        <v>0</v>
      </c>
      <c r="AM9" s="15"/>
      <c r="AN9" s="35">
        <f t="shared" si="16"/>
        <v>30</v>
      </c>
      <c r="AO9" s="34">
        <f t="shared" si="17"/>
        <v>3748.5</v>
      </c>
      <c r="AP9" s="34">
        <f t="shared" si="18"/>
        <v>374.85</v>
      </c>
      <c r="AQ9" s="34">
        <f t="shared" si="19"/>
        <v>4123.3500000000004</v>
      </c>
      <c r="AR9" s="15"/>
      <c r="AS9" s="35">
        <f t="shared" si="20"/>
        <v>30</v>
      </c>
      <c r="AT9" s="34">
        <f t="shared" si="21"/>
        <v>3748.5</v>
      </c>
      <c r="AU9" s="34">
        <f t="shared" si="22"/>
        <v>374.85</v>
      </c>
      <c r="AV9" s="34">
        <f t="shared" si="23"/>
        <v>4123.3500000000004</v>
      </c>
      <c r="AW9" s="15"/>
      <c r="AX9" s="35">
        <f t="shared" si="24"/>
        <v>31</v>
      </c>
      <c r="AY9" s="34">
        <f t="shared" si="25"/>
        <v>3873.45</v>
      </c>
      <c r="AZ9" s="34">
        <f t="shared" si="26"/>
        <v>387.35</v>
      </c>
      <c r="BA9" s="34">
        <f t="shared" si="27"/>
        <v>4260.8</v>
      </c>
      <c r="BB9" s="15"/>
      <c r="BC9" s="35">
        <f t="shared" si="28"/>
        <v>31</v>
      </c>
      <c r="BD9" s="34">
        <f t="shared" si="29"/>
        <v>3873.45</v>
      </c>
      <c r="BE9" s="34">
        <f t="shared" si="30"/>
        <v>387.35</v>
      </c>
      <c r="BF9" s="34">
        <f t="shared" si="31"/>
        <v>4260.8</v>
      </c>
      <c r="BG9" s="15"/>
      <c r="BH9" s="35">
        <f t="shared" si="32"/>
        <v>30</v>
      </c>
      <c r="BI9" s="34">
        <f t="shared" si="33"/>
        <v>3748.5</v>
      </c>
      <c r="BJ9" s="34">
        <f t="shared" si="34"/>
        <v>374.85</v>
      </c>
      <c r="BK9" s="34">
        <f t="shared" si="35"/>
        <v>4123.3500000000004</v>
      </c>
      <c r="BL9" s="15"/>
      <c r="BM9" s="35">
        <f t="shared" si="36"/>
        <v>31</v>
      </c>
      <c r="BN9" s="34">
        <f t="shared" si="37"/>
        <v>3873.45</v>
      </c>
      <c r="BO9" s="34">
        <f t="shared" si="38"/>
        <v>387.35</v>
      </c>
      <c r="BP9" s="34">
        <f t="shared" si="39"/>
        <v>4260.8</v>
      </c>
      <c r="BQ9" s="15"/>
      <c r="BR9" s="35">
        <f t="shared" si="40"/>
        <v>30</v>
      </c>
      <c r="BS9" s="34">
        <f t="shared" si="41"/>
        <v>3748.5</v>
      </c>
      <c r="BT9" s="34">
        <f t="shared" si="42"/>
        <v>374.85</v>
      </c>
      <c r="BU9" s="34">
        <f t="shared" si="43"/>
        <v>4123.3500000000004</v>
      </c>
      <c r="BV9" s="15"/>
      <c r="BW9" s="35">
        <f t="shared" si="44"/>
        <v>27</v>
      </c>
      <c r="BX9" s="34">
        <f t="shared" si="45"/>
        <v>3373.65</v>
      </c>
      <c r="BY9" s="34">
        <f t="shared" si="46"/>
        <v>337.37</v>
      </c>
      <c r="BZ9" s="34">
        <f t="shared" si="47"/>
        <v>3711.02</v>
      </c>
      <c r="CA9" s="35">
        <f t="shared" si="48"/>
        <v>240</v>
      </c>
      <c r="CB9" s="34">
        <f t="shared" si="49"/>
        <v>29988.000000000004</v>
      </c>
      <c r="CC9" s="34">
        <f t="shared" si="50"/>
        <v>2998.8199999999997</v>
      </c>
      <c r="CD9" s="34">
        <f t="shared" si="51"/>
        <v>32986.820000000007</v>
      </c>
      <c r="CE9" s="16">
        <f t="shared" si="52"/>
        <v>0</v>
      </c>
      <c r="CF9" s="16">
        <f t="shared" si="53"/>
        <v>-0.02</v>
      </c>
      <c r="CG9" s="31" t="s">
        <v>65</v>
      </c>
      <c r="CH9" s="31" t="s">
        <v>66</v>
      </c>
      <c r="CI9" s="31" t="s">
        <v>49</v>
      </c>
      <c r="CJ9" s="31" t="s">
        <v>67</v>
      </c>
      <c r="CK9" s="31"/>
      <c r="CL9" s="31"/>
      <c r="CM9" s="29"/>
      <c r="CN9" s="28"/>
      <c r="CO9" s="28"/>
      <c r="CP9" s="28"/>
    </row>
    <row r="10" spans="1:94" ht="40.049999999999997" customHeight="1" x14ac:dyDescent="0.25">
      <c r="A10" s="62">
        <v>9</v>
      </c>
      <c r="B10" s="63">
        <v>49</v>
      </c>
      <c r="C10" s="1" t="s">
        <v>41</v>
      </c>
      <c r="D10" s="2" t="s">
        <v>61</v>
      </c>
      <c r="E10" s="2" t="s">
        <v>41</v>
      </c>
      <c r="F10" s="1" t="s">
        <v>76</v>
      </c>
      <c r="G10" s="2" t="s">
        <v>77</v>
      </c>
      <c r="H10" s="64">
        <v>7</v>
      </c>
      <c r="I10" s="1" t="s">
        <v>55</v>
      </c>
      <c r="J10" s="3">
        <v>887.5</v>
      </c>
      <c r="K10" s="1">
        <v>248</v>
      </c>
      <c r="L10" s="4">
        <v>51357</v>
      </c>
      <c r="M10" s="4">
        <v>5136</v>
      </c>
      <c r="N10" s="4">
        <v>56493</v>
      </c>
      <c r="O10" s="15" t="s">
        <v>78</v>
      </c>
      <c r="P10" s="31" t="s">
        <v>72</v>
      </c>
      <c r="Q10" s="35">
        <v>180</v>
      </c>
      <c r="R10" s="14">
        <v>46205</v>
      </c>
      <c r="S10" s="14">
        <f t="shared" si="1"/>
        <v>46384</v>
      </c>
      <c r="T10" s="34">
        <v>37275</v>
      </c>
      <c r="U10" s="34">
        <f t="shared" si="2"/>
        <v>3727.5</v>
      </c>
      <c r="V10" s="34">
        <f t="shared" si="3"/>
        <v>41002.5</v>
      </c>
      <c r="W10" s="35"/>
      <c r="X10" s="14">
        <f t="shared" si="4"/>
        <v>46205</v>
      </c>
      <c r="Y10" s="14" t="str">
        <f t="shared" si="5"/>
        <v/>
      </c>
      <c r="Z10" s="34"/>
      <c r="AA10" s="34">
        <f t="shared" si="6"/>
        <v>0</v>
      </c>
      <c r="AB10" s="34">
        <f t="shared" si="7"/>
        <v>0</v>
      </c>
      <c r="AC10" s="15"/>
      <c r="AD10" s="35">
        <f t="shared" si="8"/>
        <v>0</v>
      </c>
      <c r="AE10" s="34">
        <f t="shared" si="9"/>
        <v>0</v>
      </c>
      <c r="AF10" s="34">
        <f t="shared" si="10"/>
        <v>0</v>
      </c>
      <c r="AG10" s="34">
        <f t="shared" si="11"/>
        <v>0</v>
      </c>
      <c r="AH10" s="15"/>
      <c r="AI10" s="35">
        <f t="shared" si="12"/>
        <v>0</v>
      </c>
      <c r="AJ10" s="34">
        <f t="shared" si="13"/>
        <v>0</v>
      </c>
      <c r="AK10" s="34">
        <f t="shared" si="14"/>
        <v>0</v>
      </c>
      <c r="AL10" s="34">
        <f t="shared" si="15"/>
        <v>0</v>
      </c>
      <c r="AM10" s="15"/>
      <c r="AN10" s="35">
        <f t="shared" si="16"/>
        <v>0</v>
      </c>
      <c r="AO10" s="34">
        <f t="shared" si="17"/>
        <v>0</v>
      </c>
      <c r="AP10" s="34">
        <f t="shared" si="18"/>
        <v>0</v>
      </c>
      <c r="AQ10" s="34">
        <f t="shared" si="19"/>
        <v>0</v>
      </c>
      <c r="AR10" s="15"/>
      <c r="AS10" s="35">
        <f t="shared" si="20"/>
        <v>0</v>
      </c>
      <c r="AT10" s="34">
        <f t="shared" si="21"/>
        <v>0</v>
      </c>
      <c r="AU10" s="34">
        <f t="shared" si="22"/>
        <v>0</v>
      </c>
      <c r="AV10" s="34">
        <f t="shared" si="23"/>
        <v>0</v>
      </c>
      <c r="AW10" s="15"/>
      <c r="AX10" s="35">
        <f t="shared" si="24"/>
        <v>30</v>
      </c>
      <c r="AY10" s="34">
        <f t="shared" si="25"/>
        <v>6212.5</v>
      </c>
      <c r="AZ10" s="34">
        <f t="shared" si="26"/>
        <v>621.25</v>
      </c>
      <c r="BA10" s="34">
        <f t="shared" si="27"/>
        <v>6833.75</v>
      </c>
      <c r="BB10" s="15"/>
      <c r="BC10" s="35">
        <f t="shared" si="28"/>
        <v>31</v>
      </c>
      <c r="BD10" s="34">
        <f t="shared" si="29"/>
        <v>6419.58</v>
      </c>
      <c r="BE10" s="34">
        <f t="shared" si="30"/>
        <v>641.96</v>
      </c>
      <c r="BF10" s="34">
        <f t="shared" si="31"/>
        <v>7061.54</v>
      </c>
      <c r="BG10" s="15"/>
      <c r="BH10" s="35">
        <f t="shared" si="32"/>
        <v>30</v>
      </c>
      <c r="BI10" s="34">
        <f t="shared" si="33"/>
        <v>6212.5</v>
      </c>
      <c r="BJ10" s="34">
        <f t="shared" si="34"/>
        <v>621.25</v>
      </c>
      <c r="BK10" s="34">
        <f t="shared" si="35"/>
        <v>6833.75</v>
      </c>
      <c r="BL10" s="15"/>
      <c r="BM10" s="35">
        <f t="shared" si="36"/>
        <v>31</v>
      </c>
      <c r="BN10" s="34">
        <f t="shared" si="37"/>
        <v>6419.58</v>
      </c>
      <c r="BO10" s="34">
        <f t="shared" si="38"/>
        <v>641.96</v>
      </c>
      <c r="BP10" s="34">
        <f t="shared" si="39"/>
        <v>7061.54</v>
      </c>
      <c r="BQ10" s="15"/>
      <c r="BR10" s="35">
        <f t="shared" si="40"/>
        <v>30</v>
      </c>
      <c r="BS10" s="34">
        <f t="shared" si="41"/>
        <v>6212.5</v>
      </c>
      <c r="BT10" s="34">
        <f t="shared" si="42"/>
        <v>621.25</v>
      </c>
      <c r="BU10" s="34">
        <f t="shared" si="43"/>
        <v>6833.75</v>
      </c>
      <c r="BV10" s="15"/>
      <c r="BW10" s="35">
        <f t="shared" si="44"/>
        <v>28</v>
      </c>
      <c r="BX10" s="34">
        <f t="shared" si="45"/>
        <v>5798.33</v>
      </c>
      <c r="BY10" s="34">
        <f t="shared" si="46"/>
        <v>579.83000000000004</v>
      </c>
      <c r="BZ10" s="34">
        <f t="shared" si="47"/>
        <v>6378.16</v>
      </c>
      <c r="CA10" s="35">
        <f t="shared" si="48"/>
        <v>180</v>
      </c>
      <c r="CB10" s="34">
        <f t="shared" si="49"/>
        <v>37274.990000000005</v>
      </c>
      <c r="CC10" s="34">
        <f t="shared" si="50"/>
        <v>3727.5</v>
      </c>
      <c r="CD10" s="34">
        <f t="shared" si="51"/>
        <v>41002.490000000005</v>
      </c>
      <c r="CE10" s="16">
        <f t="shared" si="52"/>
        <v>0.01</v>
      </c>
      <c r="CF10" s="16">
        <f t="shared" si="53"/>
        <v>0</v>
      </c>
      <c r="CG10" s="31" t="s">
        <v>65</v>
      </c>
      <c r="CH10" s="31" t="s">
        <v>66</v>
      </c>
      <c r="CI10" s="31" t="s">
        <v>49</v>
      </c>
      <c r="CJ10" s="31" t="s">
        <v>67</v>
      </c>
      <c r="CK10" s="31"/>
      <c r="CL10" s="31"/>
      <c r="CM10" s="29"/>
      <c r="CN10" s="28"/>
      <c r="CO10" s="28"/>
      <c r="CP10" s="28"/>
    </row>
    <row r="11" spans="1:94" ht="40.049999999999997" customHeight="1" thickBot="1" x14ac:dyDescent="0.3">
      <c r="A11" s="65">
        <v>10</v>
      </c>
      <c r="B11" s="66">
        <v>49</v>
      </c>
      <c r="C11" s="46" t="s">
        <v>41</v>
      </c>
      <c r="D11" s="47" t="s">
        <v>61</v>
      </c>
      <c r="E11" s="47" t="s">
        <v>79</v>
      </c>
      <c r="F11" s="46" t="s">
        <v>80</v>
      </c>
      <c r="G11" s="47" t="s">
        <v>81</v>
      </c>
      <c r="H11" s="67">
        <v>3.524</v>
      </c>
      <c r="I11" s="46" t="s">
        <v>55</v>
      </c>
      <c r="J11" s="48">
        <v>887.5</v>
      </c>
      <c r="K11" s="46">
        <v>270</v>
      </c>
      <c r="L11" s="49">
        <v>28148</v>
      </c>
      <c r="M11" s="49">
        <v>2815</v>
      </c>
      <c r="N11" s="49">
        <v>30963</v>
      </c>
      <c r="O11" s="51" t="s">
        <v>82</v>
      </c>
      <c r="P11" s="53" t="s">
        <v>72</v>
      </c>
      <c r="Q11" s="60">
        <v>240</v>
      </c>
      <c r="R11" s="50">
        <v>46144</v>
      </c>
      <c r="S11" s="50">
        <f t="shared" si="1"/>
        <v>46383</v>
      </c>
      <c r="T11" s="58">
        <v>25020.400000000001</v>
      </c>
      <c r="U11" s="58">
        <f t="shared" si="2"/>
        <v>2502.04</v>
      </c>
      <c r="V11" s="58">
        <f t="shared" si="3"/>
        <v>27522.440000000002</v>
      </c>
      <c r="W11" s="60"/>
      <c r="X11" s="50">
        <f t="shared" si="4"/>
        <v>46144</v>
      </c>
      <c r="Y11" s="50" t="str">
        <f t="shared" si="5"/>
        <v/>
      </c>
      <c r="Z11" s="58"/>
      <c r="AA11" s="58">
        <f t="shared" si="6"/>
        <v>0</v>
      </c>
      <c r="AB11" s="58">
        <f t="shared" si="7"/>
        <v>0</v>
      </c>
      <c r="AC11" s="51"/>
      <c r="AD11" s="60">
        <f t="shared" si="8"/>
        <v>0</v>
      </c>
      <c r="AE11" s="58">
        <f t="shared" si="9"/>
        <v>0</v>
      </c>
      <c r="AF11" s="58">
        <f t="shared" si="10"/>
        <v>0</v>
      </c>
      <c r="AG11" s="58">
        <f t="shared" si="11"/>
        <v>0</v>
      </c>
      <c r="AH11" s="51"/>
      <c r="AI11" s="60">
        <f t="shared" si="12"/>
        <v>0</v>
      </c>
      <c r="AJ11" s="58">
        <f t="shared" si="13"/>
        <v>0</v>
      </c>
      <c r="AK11" s="58">
        <f t="shared" si="14"/>
        <v>0</v>
      </c>
      <c r="AL11" s="58">
        <f t="shared" si="15"/>
        <v>0</v>
      </c>
      <c r="AM11" s="51"/>
      <c r="AN11" s="60">
        <f t="shared" si="16"/>
        <v>30</v>
      </c>
      <c r="AO11" s="58">
        <v>2223.5500000000002</v>
      </c>
      <c r="AP11" s="58">
        <f t="shared" si="18"/>
        <v>222.36</v>
      </c>
      <c r="AQ11" s="58">
        <f t="shared" si="19"/>
        <v>2445.9100000000003</v>
      </c>
      <c r="AR11" s="51"/>
      <c r="AS11" s="60">
        <f t="shared" si="20"/>
        <v>30</v>
      </c>
      <c r="AT11" s="58">
        <v>2728.27</v>
      </c>
      <c r="AU11" s="58">
        <f t="shared" si="22"/>
        <v>272.83</v>
      </c>
      <c r="AV11" s="58">
        <f t="shared" si="23"/>
        <v>3001.1</v>
      </c>
      <c r="AW11" s="51"/>
      <c r="AX11" s="60">
        <f t="shared" si="24"/>
        <v>31</v>
      </c>
      <c r="AY11" s="58">
        <f t="shared" si="25"/>
        <v>3231.8</v>
      </c>
      <c r="AZ11" s="58">
        <f t="shared" si="26"/>
        <v>323.18</v>
      </c>
      <c r="BA11" s="58">
        <f t="shared" si="27"/>
        <v>3554.98</v>
      </c>
      <c r="BB11" s="51"/>
      <c r="BC11" s="60">
        <f t="shared" si="28"/>
        <v>31</v>
      </c>
      <c r="BD11" s="58">
        <f t="shared" si="29"/>
        <v>3231.8</v>
      </c>
      <c r="BE11" s="58">
        <f t="shared" si="30"/>
        <v>323.18</v>
      </c>
      <c r="BF11" s="58">
        <f t="shared" si="31"/>
        <v>3554.98</v>
      </c>
      <c r="BG11" s="51"/>
      <c r="BH11" s="60">
        <f t="shared" si="32"/>
        <v>30</v>
      </c>
      <c r="BI11" s="58">
        <f t="shared" si="33"/>
        <v>3127.55</v>
      </c>
      <c r="BJ11" s="58">
        <f t="shared" si="34"/>
        <v>312.76</v>
      </c>
      <c r="BK11" s="58">
        <f t="shared" si="35"/>
        <v>3440.3100000000004</v>
      </c>
      <c r="BL11" s="51"/>
      <c r="BM11" s="60">
        <f t="shared" si="36"/>
        <v>31</v>
      </c>
      <c r="BN11" s="58">
        <f t="shared" si="37"/>
        <v>3231.8</v>
      </c>
      <c r="BO11" s="58">
        <f t="shared" si="38"/>
        <v>323.18</v>
      </c>
      <c r="BP11" s="58">
        <f t="shared" si="39"/>
        <v>3554.98</v>
      </c>
      <c r="BQ11" s="51"/>
      <c r="BR11" s="60">
        <f t="shared" si="40"/>
        <v>30</v>
      </c>
      <c r="BS11" s="58">
        <f t="shared" si="41"/>
        <v>3127.55</v>
      </c>
      <c r="BT11" s="58">
        <f t="shared" si="42"/>
        <v>312.76</v>
      </c>
      <c r="BU11" s="58">
        <f t="shared" si="43"/>
        <v>3440.3100000000004</v>
      </c>
      <c r="BV11" s="51"/>
      <c r="BW11" s="60">
        <f t="shared" si="44"/>
        <v>27</v>
      </c>
      <c r="BX11" s="58">
        <f t="shared" si="45"/>
        <v>2814.8</v>
      </c>
      <c r="BY11" s="58">
        <f t="shared" si="46"/>
        <v>281.48</v>
      </c>
      <c r="BZ11" s="58">
        <f t="shared" si="47"/>
        <v>3096.28</v>
      </c>
      <c r="CA11" s="60">
        <f t="shared" si="48"/>
        <v>240</v>
      </c>
      <c r="CB11" s="58">
        <f t="shared" si="49"/>
        <v>23717.119999999999</v>
      </c>
      <c r="CC11" s="58">
        <f t="shared" si="50"/>
        <v>2371.73</v>
      </c>
      <c r="CD11" s="58">
        <f t="shared" si="51"/>
        <v>26088.85</v>
      </c>
      <c r="CE11" s="52">
        <f t="shared" si="52"/>
        <v>1303.28</v>
      </c>
      <c r="CF11" s="52">
        <f t="shared" si="53"/>
        <v>130.31</v>
      </c>
      <c r="CG11" s="53" t="s">
        <v>65</v>
      </c>
      <c r="CH11" s="53" t="s">
        <v>66</v>
      </c>
      <c r="CI11" s="53" t="s">
        <v>49</v>
      </c>
      <c r="CJ11" s="53" t="s">
        <v>67</v>
      </c>
      <c r="CK11" s="53"/>
      <c r="CL11" s="53"/>
      <c r="CM11" s="54"/>
      <c r="CN11" s="55"/>
      <c r="CO11" s="55"/>
      <c r="CP11" s="55"/>
    </row>
    <row r="12" spans="1:94" ht="40.049999999999997" customHeight="1" thickTop="1" x14ac:dyDescent="0.25">
      <c r="A12" s="68">
        <v>11</v>
      </c>
      <c r="B12" s="69">
        <v>48</v>
      </c>
      <c r="C12" s="36" t="s">
        <v>41</v>
      </c>
      <c r="D12" s="37" t="s">
        <v>83</v>
      </c>
      <c r="E12" s="37" t="s">
        <v>84</v>
      </c>
      <c r="F12" s="36" t="s">
        <v>85</v>
      </c>
      <c r="G12" s="37" t="s">
        <v>86</v>
      </c>
      <c r="H12" s="70">
        <v>13.406000000000001</v>
      </c>
      <c r="I12" s="36" t="s">
        <v>46</v>
      </c>
      <c r="J12" s="38">
        <v>735</v>
      </c>
      <c r="K12" s="36">
        <v>240</v>
      </c>
      <c r="L12" s="39">
        <v>78827</v>
      </c>
      <c r="M12" s="39">
        <v>7882</v>
      </c>
      <c r="N12" s="39">
        <v>86709</v>
      </c>
      <c r="O12" s="41" t="s">
        <v>87</v>
      </c>
      <c r="P12" s="43" t="s">
        <v>88</v>
      </c>
      <c r="Q12" s="61">
        <f t="shared" ref="Q12:Q51" si="54">+$K12</f>
        <v>240</v>
      </c>
      <c r="R12" s="40">
        <v>46190</v>
      </c>
      <c r="S12" s="40">
        <f t="shared" si="1"/>
        <v>46429</v>
      </c>
      <c r="T12" s="56">
        <v>74872.83</v>
      </c>
      <c r="U12" s="56">
        <f t="shared" si="2"/>
        <v>7487.28</v>
      </c>
      <c r="V12" s="56">
        <f t="shared" si="3"/>
        <v>82360.11</v>
      </c>
      <c r="W12" s="61">
        <v>198</v>
      </c>
      <c r="X12" s="40">
        <f t="shared" si="4"/>
        <v>46190</v>
      </c>
      <c r="Y12" s="40">
        <f t="shared" si="5"/>
        <v>46387</v>
      </c>
      <c r="Z12" s="56">
        <v>61770.06</v>
      </c>
      <c r="AA12" s="56">
        <f t="shared" si="6"/>
        <v>6177.01</v>
      </c>
      <c r="AB12" s="56">
        <f t="shared" si="7"/>
        <v>67947.069999999992</v>
      </c>
      <c r="AC12" s="41"/>
      <c r="AD12" s="61">
        <f t="shared" si="8"/>
        <v>0</v>
      </c>
      <c r="AE12" s="56">
        <f t="shared" si="9"/>
        <v>0</v>
      </c>
      <c r="AF12" s="56">
        <f t="shared" si="10"/>
        <v>0</v>
      </c>
      <c r="AG12" s="56">
        <f t="shared" si="11"/>
        <v>0</v>
      </c>
      <c r="AH12" s="41"/>
      <c r="AI12" s="61">
        <f t="shared" si="12"/>
        <v>0</v>
      </c>
      <c r="AJ12" s="56">
        <f t="shared" si="13"/>
        <v>0</v>
      </c>
      <c r="AK12" s="56">
        <f t="shared" si="14"/>
        <v>0</v>
      </c>
      <c r="AL12" s="56">
        <f t="shared" si="15"/>
        <v>0</v>
      </c>
      <c r="AM12" s="41"/>
      <c r="AN12" s="61">
        <f t="shared" si="16"/>
        <v>0</v>
      </c>
      <c r="AO12" s="56">
        <f t="shared" ref="AO12:AO51" si="55">ROUND(IF($Z12="",$T12,$Z12)*(AN12/IF($W12="",$Q12,$W12)),2)</f>
        <v>0</v>
      </c>
      <c r="AP12" s="56">
        <f t="shared" si="18"/>
        <v>0</v>
      </c>
      <c r="AQ12" s="56">
        <f t="shared" si="19"/>
        <v>0</v>
      </c>
      <c r="AR12" s="41"/>
      <c r="AS12" s="61">
        <f t="shared" si="20"/>
        <v>14</v>
      </c>
      <c r="AT12" s="56">
        <f t="shared" ref="AT12:AT51" si="56">ROUND(IF($Z12="",$T12,$Z12)*(AS12/IF($W12="",$Q12,$W12)),2)</f>
        <v>4367.58</v>
      </c>
      <c r="AU12" s="56">
        <f t="shared" si="22"/>
        <v>436.76</v>
      </c>
      <c r="AV12" s="56">
        <f t="shared" si="23"/>
        <v>4804.34</v>
      </c>
      <c r="AW12" s="41"/>
      <c r="AX12" s="61">
        <f t="shared" si="24"/>
        <v>31</v>
      </c>
      <c r="AY12" s="56">
        <f t="shared" si="25"/>
        <v>9671.07</v>
      </c>
      <c r="AZ12" s="56">
        <f t="shared" si="26"/>
        <v>967.11</v>
      </c>
      <c r="BA12" s="56">
        <f t="shared" si="27"/>
        <v>10638.18</v>
      </c>
      <c r="BB12" s="41"/>
      <c r="BC12" s="61">
        <f t="shared" si="28"/>
        <v>31</v>
      </c>
      <c r="BD12" s="56">
        <f t="shared" si="29"/>
        <v>9671.07</v>
      </c>
      <c r="BE12" s="56">
        <f t="shared" si="30"/>
        <v>967.11</v>
      </c>
      <c r="BF12" s="56">
        <f t="shared" si="31"/>
        <v>10638.18</v>
      </c>
      <c r="BG12" s="41"/>
      <c r="BH12" s="61">
        <f t="shared" si="32"/>
        <v>30</v>
      </c>
      <c r="BI12" s="56">
        <f t="shared" si="33"/>
        <v>9359.1</v>
      </c>
      <c r="BJ12" s="56">
        <f t="shared" si="34"/>
        <v>935.91</v>
      </c>
      <c r="BK12" s="56">
        <f t="shared" si="35"/>
        <v>10295.01</v>
      </c>
      <c r="BL12" s="41"/>
      <c r="BM12" s="61">
        <f t="shared" si="36"/>
        <v>31</v>
      </c>
      <c r="BN12" s="56">
        <f t="shared" si="37"/>
        <v>9671.07</v>
      </c>
      <c r="BO12" s="56">
        <f t="shared" si="38"/>
        <v>967.11</v>
      </c>
      <c r="BP12" s="56">
        <f t="shared" si="39"/>
        <v>10638.18</v>
      </c>
      <c r="BQ12" s="41"/>
      <c r="BR12" s="61">
        <f t="shared" si="40"/>
        <v>30</v>
      </c>
      <c r="BS12" s="56">
        <f t="shared" si="41"/>
        <v>9359.1</v>
      </c>
      <c r="BT12" s="56">
        <f t="shared" si="42"/>
        <v>935.91</v>
      </c>
      <c r="BU12" s="56">
        <f t="shared" si="43"/>
        <v>10295.01</v>
      </c>
      <c r="BV12" s="41"/>
      <c r="BW12" s="61">
        <f t="shared" si="44"/>
        <v>31</v>
      </c>
      <c r="BX12" s="56">
        <f t="shared" si="45"/>
        <v>9671.07</v>
      </c>
      <c r="BY12" s="56">
        <f t="shared" si="46"/>
        <v>967.11</v>
      </c>
      <c r="BZ12" s="56">
        <f t="shared" si="47"/>
        <v>10638.18</v>
      </c>
      <c r="CA12" s="61">
        <f t="shared" si="48"/>
        <v>198</v>
      </c>
      <c r="CB12" s="56">
        <f t="shared" si="49"/>
        <v>61770.06</v>
      </c>
      <c r="CC12" s="56">
        <f t="shared" si="50"/>
        <v>6177.0199999999995</v>
      </c>
      <c r="CD12" s="56">
        <f t="shared" si="51"/>
        <v>67947.08</v>
      </c>
      <c r="CE12" s="42">
        <f t="shared" si="52"/>
        <v>0</v>
      </c>
      <c r="CF12" s="42">
        <f t="shared" si="53"/>
        <v>-0.01</v>
      </c>
      <c r="CG12" s="43" t="s">
        <v>89</v>
      </c>
      <c r="CH12" s="43" t="s">
        <v>90</v>
      </c>
      <c r="CI12" s="43" t="s">
        <v>49</v>
      </c>
      <c r="CJ12" s="43" t="s">
        <v>91</v>
      </c>
      <c r="CK12" s="43" t="s">
        <v>90</v>
      </c>
      <c r="CL12" s="57" t="s">
        <v>92</v>
      </c>
      <c r="CM12" s="44">
        <v>46112</v>
      </c>
      <c r="CN12" s="45" t="s">
        <v>91</v>
      </c>
      <c r="CO12" s="45"/>
      <c r="CP12" s="45"/>
    </row>
    <row r="13" spans="1:94" ht="40.049999999999997" customHeight="1" x14ac:dyDescent="0.25">
      <c r="A13" s="62">
        <v>12</v>
      </c>
      <c r="B13" s="63">
        <v>48</v>
      </c>
      <c r="C13" s="1" t="s">
        <v>41</v>
      </c>
      <c r="D13" s="2" t="s">
        <v>83</v>
      </c>
      <c r="E13" s="2" t="s">
        <v>84</v>
      </c>
      <c r="F13" s="1" t="s">
        <v>93</v>
      </c>
      <c r="G13" s="2" t="s">
        <v>94</v>
      </c>
      <c r="H13" s="64">
        <v>13.406000000000001</v>
      </c>
      <c r="I13" s="1" t="s">
        <v>46</v>
      </c>
      <c r="J13" s="3">
        <v>735</v>
      </c>
      <c r="K13" s="1">
        <v>261</v>
      </c>
      <c r="L13" s="4">
        <v>29402</v>
      </c>
      <c r="M13" s="4">
        <v>2940</v>
      </c>
      <c r="N13" s="4">
        <v>32342</v>
      </c>
      <c r="O13" s="15" t="s">
        <v>95</v>
      </c>
      <c r="P13" s="31" t="s">
        <v>96</v>
      </c>
      <c r="Q13" s="35">
        <f t="shared" si="54"/>
        <v>261</v>
      </c>
      <c r="R13" s="14">
        <v>46104</v>
      </c>
      <c r="S13" s="14">
        <f t="shared" si="1"/>
        <v>46364</v>
      </c>
      <c r="T13" s="34">
        <v>28250</v>
      </c>
      <c r="U13" s="34">
        <f t="shared" si="2"/>
        <v>2825</v>
      </c>
      <c r="V13" s="34">
        <f t="shared" si="3"/>
        <v>31075</v>
      </c>
      <c r="W13" s="35"/>
      <c r="X13" s="14">
        <f t="shared" si="4"/>
        <v>46104</v>
      </c>
      <c r="Y13" s="14" t="str">
        <f t="shared" si="5"/>
        <v/>
      </c>
      <c r="Z13" s="34"/>
      <c r="AA13" s="34">
        <f t="shared" si="6"/>
        <v>0</v>
      </c>
      <c r="AB13" s="34">
        <f t="shared" si="7"/>
        <v>0</v>
      </c>
      <c r="AC13" s="15"/>
      <c r="AD13" s="35">
        <f t="shared" si="8"/>
        <v>9</v>
      </c>
      <c r="AE13" s="34">
        <f t="shared" si="9"/>
        <v>974.14</v>
      </c>
      <c r="AF13" s="34">
        <f t="shared" si="10"/>
        <v>97.41</v>
      </c>
      <c r="AG13" s="34">
        <f t="shared" si="11"/>
        <v>1071.55</v>
      </c>
      <c r="AH13" s="15"/>
      <c r="AI13" s="35">
        <f t="shared" si="12"/>
        <v>30</v>
      </c>
      <c r="AJ13" s="34">
        <f t="shared" si="13"/>
        <v>3247.13</v>
      </c>
      <c r="AK13" s="34">
        <f t="shared" si="14"/>
        <v>324.70999999999998</v>
      </c>
      <c r="AL13" s="34">
        <f t="shared" si="15"/>
        <v>3571.84</v>
      </c>
      <c r="AM13" s="15"/>
      <c r="AN13" s="35">
        <f t="shared" si="16"/>
        <v>31</v>
      </c>
      <c r="AO13" s="34">
        <f t="shared" si="55"/>
        <v>3355.36</v>
      </c>
      <c r="AP13" s="34">
        <f t="shared" si="18"/>
        <v>335.54</v>
      </c>
      <c r="AQ13" s="34">
        <f t="shared" si="19"/>
        <v>3690.9</v>
      </c>
      <c r="AR13" s="15"/>
      <c r="AS13" s="35">
        <f t="shared" si="20"/>
        <v>30</v>
      </c>
      <c r="AT13" s="34">
        <f t="shared" si="56"/>
        <v>3247.13</v>
      </c>
      <c r="AU13" s="34">
        <f t="shared" si="22"/>
        <v>324.70999999999998</v>
      </c>
      <c r="AV13" s="34">
        <f t="shared" si="23"/>
        <v>3571.84</v>
      </c>
      <c r="AW13" s="15"/>
      <c r="AX13" s="35">
        <f t="shared" si="24"/>
        <v>31</v>
      </c>
      <c r="AY13" s="34">
        <f t="shared" si="25"/>
        <v>3355.36</v>
      </c>
      <c r="AZ13" s="34">
        <f t="shared" si="26"/>
        <v>335.54</v>
      </c>
      <c r="BA13" s="34">
        <f t="shared" si="27"/>
        <v>3690.9</v>
      </c>
      <c r="BB13" s="15"/>
      <c r="BC13" s="35">
        <f t="shared" si="28"/>
        <v>31</v>
      </c>
      <c r="BD13" s="34">
        <f t="shared" si="29"/>
        <v>3355.36</v>
      </c>
      <c r="BE13" s="34">
        <f t="shared" si="30"/>
        <v>335.54</v>
      </c>
      <c r="BF13" s="34">
        <f t="shared" si="31"/>
        <v>3690.9</v>
      </c>
      <c r="BG13" s="15"/>
      <c r="BH13" s="35">
        <f t="shared" si="32"/>
        <v>30</v>
      </c>
      <c r="BI13" s="34">
        <f t="shared" si="33"/>
        <v>3247.13</v>
      </c>
      <c r="BJ13" s="34">
        <f t="shared" si="34"/>
        <v>324.70999999999998</v>
      </c>
      <c r="BK13" s="34">
        <f t="shared" si="35"/>
        <v>3571.84</v>
      </c>
      <c r="BL13" s="15"/>
      <c r="BM13" s="35">
        <f t="shared" si="36"/>
        <v>31</v>
      </c>
      <c r="BN13" s="34">
        <f t="shared" si="37"/>
        <v>3355.36</v>
      </c>
      <c r="BO13" s="34">
        <f t="shared" si="38"/>
        <v>335.54</v>
      </c>
      <c r="BP13" s="34">
        <f t="shared" si="39"/>
        <v>3690.9</v>
      </c>
      <c r="BQ13" s="15"/>
      <c r="BR13" s="35">
        <f t="shared" si="40"/>
        <v>30</v>
      </c>
      <c r="BS13" s="34">
        <f t="shared" si="41"/>
        <v>3247.13</v>
      </c>
      <c r="BT13" s="34">
        <f t="shared" si="42"/>
        <v>324.70999999999998</v>
      </c>
      <c r="BU13" s="34">
        <f t="shared" si="43"/>
        <v>3571.84</v>
      </c>
      <c r="BV13" s="15"/>
      <c r="BW13" s="35">
        <f t="shared" si="44"/>
        <v>8</v>
      </c>
      <c r="BX13" s="34">
        <f t="shared" si="45"/>
        <v>865.9</v>
      </c>
      <c r="BY13" s="34">
        <f t="shared" si="46"/>
        <v>86.59</v>
      </c>
      <c r="BZ13" s="34">
        <f t="shared" si="47"/>
        <v>952.49</v>
      </c>
      <c r="CA13" s="35">
        <f t="shared" si="48"/>
        <v>261</v>
      </c>
      <c r="CB13" s="34">
        <f t="shared" si="49"/>
        <v>28250.000000000007</v>
      </c>
      <c r="CC13" s="34">
        <f t="shared" si="50"/>
        <v>2825</v>
      </c>
      <c r="CD13" s="34">
        <f t="shared" si="51"/>
        <v>31075.000000000007</v>
      </c>
      <c r="CE13" s="16">
        <f t="shared" si="52"/>
        <v>0</v>
      </c>
      <c r="CF13" s="16">
        <f t="shared" si="53"/>
        <v>0</v>
      </c>
      <c r="CG13" s="31" t="s">
        <v>89</v>
      </c>
      <c r="CH13" s="31" t="s">
        <v>90</v>
      </c>
      <c r="CI13" s="31" t="s">
        <v>49</v>
      </c>
      <c r="CJ13" s="31" t="s">
        <v>91</v>
      </c>
      <c r="CK13" s="31" t="s">
        <v>90</v>
      </c>
      <c r="CL13" s="30" t="s">
        <v>92</v>
      </c>
      <c r="CM13" s="29">
        <v>46112</v>
      </c>
      <c r="CN13" s="28" t="s">
        <v>91</v>
      </c>
      <c r="CO13" s="28"/>
      <c r="CP13" s="28"/>
    </row>
    <row r="14" spans="1:94" ht="40.049999999999997" customHeight="1" x14ac:dyDescent="0.25">
      <c r="A14" s="62">
        <v>13</v>
      </c>
      <c r="B14" s="63">
        <v>48</v>
      </c>
      <c r="C14" s="1" t="s">
        <v>41</v>
      </c>
      <c r="D14" s="2" t="s">
        <v>83</v>
      </c>
      <c r="E14" s="2" t="s">
        <v>84</v>
      </c>
      <c r="F14" s="1" t="s">
        <v>97</v>
      </c>
      <c r="G14" s="2" t="s">
        <v>98</v>
      </c>
      <c r="H14" s="64">
        <v>4.0780000000000003</v>
      </c>
      <c r="I14" s="1" t="s">
        <v>46</v>
      </c>
      <c r="J14" s="3">
        <v>735</v>
      </c>
      <c r="K14" s="1">
        <v>261</v>
      </c>
      <c r="L14" s="4">
        <v>26077</v>
      </c>
      <c r="M14" s="4">
        <v>2608</v>
      </c>
      <c r="N14" s="4">
        <v>28685</v>
      </c>
      <c r="O14" s="15" t="s">
        <v>99</v>
      </c>
      <c r="P14" s="31" t="s">
        <v>100</v>
      </c>
      <c r="Q14" s="35">
        <f t="shared" si="54"/>
        <v>261</v>
      </c>
      <c r="R14" s="14">
        <v>46105</v>
      </c>
      <c r="S14" s="14">
        <f t="shared" si="1"/>
        <v>46365</v>
      </c>
      <c r="T14" s="34">
        <v>25000</v>
      </c>
      <c r="U14" s="34">
        <f t="shared" si="2"/>
        <v>2500</v>
      </c>
      <c r="V14" s="34">
        <f t="shared" si="3"/>
        <v>27500</v>
      </c>
      <c r="W14" s="35"/>
      <c r="X14" s="14">
        <f t="shared" si="4"/>
        <v>46105</v>
      </c>
      <c r="Y14" s="14" t="str">
        <f t="shared" si="5"/>
        <v/>
      </c>
      <c r="Z14" s="34"/>
      <c r="AA14" s="34">
        <f t="shared" si="6"/>
        <v>0</v>
      </c>
      <c r="AB14" s="34">
        <f t="shared" si="7"/>
        <v>0</v>
      </c>
      <c r="AC14" s="15"/>
      <c r="AD14" s="35">
        <f t="shared" si="8"/>
        <v>8</v>
      </c>
      <c r="AE14" s="34">
        <f t="shared" si="9"/>
        <v>766.28</v>
      </c>
      <c r="AF14" s="34">
        <f t="shared" si="10"/>
        <v>76.63</v>
      </c>
      <c r="AG14" s="34">
        <f t="shared" si="11"/>
        <v>842.91</v>
      </c>
      <c r="AH14" s="15"/>
      <c r="AI14" s="35">
        <f t="shared" si="12"/>
        <v>30</v>
      </c>
      <c r="AJ14" s="34">
        <f t="shared" si="13"/>
        <v>2873.56</v>
      </c>
      <c r="AK14" s="34">
        <f t="shared" si="14"/>
        <v>287.36</v>
      </c>
      <c r="AL14" s="34">
        <f t="shared" si="15"/>
        <v>3160.92</v>
      </c>
      <c r="AM14" s="15"/>
      <c r="AN14" s="35">
        <f t="shared" si="16"/>
        <v>31</v>
      </c>
      <c r="AO14" s="34">
        <f t="shared" si="55"/>
        <v>2969.35</v>
      </c>
      <c r="AP14" s="34">
        <f t="shared" si="18"/>
        <v>296.94</v>
      </c>
      <c r="AQ14" s="34">
        <f t="shared" si="19"/>
        <v>3266.29</v>
      </c>
      <c r="AR14" s="15"/>
      <c r="AS14" s="35">
        <f t="shared" si="20"/>
        <v>30</v>
      </c>
      <c r="AT14" s="34">
        <f t="shared" si="56"/>
        <v>2873.56</v>
      </c>
      <c r="AU14" s="34">
        <f t="shared" si="22"/>
        <v>287.36</v>
      </c>
      <c r="AV14" s="34">
        <f t="shared" si="23"/>
        <v>3160.92</v>
      </c>
      <c r="AW14" s="15"/>
      <c r="AX14" s="35">
        <f t="shared" si="24"/>
        <v>31</v>
      </c>
      <c r="AY14" s="34">
        <f t="shared" si="25"/>
        <v>2969.35</v>
      </c>
      <c r="AZ14" s="34">
        <f t="shared" si="26"/>
        <v>296.94</v>
      </c>
      <c r="BA14" s="34">
        <f t="shared" si="27"/>
        <v>3266.29</v>
      </c>
      <c r="BB14" s="15"/>
      <c r="BC14" s="35">
        <f t="shared" si="28"/>
        <v>31</v>
      </c>
      <c r="BD14" s="34">
        <f t="shared" si="29"/>
        <v>2969.35</v>
      </c>
      <c r="BE14" s="34">
        <f t="shared" si="30"/>
        <v>296.94</v>
      </c>
      <c r="BF14" s="34">
        <f t="shared" si="31"/>
        <v>3266.29</v>
      </c>
      <c r="BG14" s="15"/>
      <c r="BH14" s="35">
        <f t="shared" si="32"/>
        <v>30</v>
      </c>
      <c r="BI14" s="34">
        <f t="shared" si="33"/>
        <v>2873.56</v>
      </c>
      <c r="BJ14" s="34">
        <f t="shared" si="34"/>
        <v>287.36</v>
      </c>
      <c r="BK14" s="34">
        <f t="shared" si="35"/>
        <v>3160.92</v>
      </c>
      <c r="BL14" s="15"/>
      <c r="BM14" s="35">
        <f t="shared" si="36"/>
        <v>31</v>
      </c>
      <c r="BN14" s="34">
        <f t="shared" si="37"/>
        <v>2969.35</v>
      </c>
      <c r="BO14" s="34">
        <f t="shared" si="38"/>
        <v>296.94</v>
      </c>
      <c r="BP14" s="34">
        <f t="shared" si="39"/>
        <v>3266.29</v>
      </c>
      <c r="BQ14" s="15"/>
      <c r="BR14" s="35">
        <f t="shared" si="40"/>
        <v>30</v>
      </c>
      <c r="BS14" s="34">
        <f t="shared" si="41"/>
        <v>2873.56</v>
      </c>
      <c r="BT14" s="34">
        <f t="shared" si="42"/>
        <v>287.36</v>
      </c>
      <c r="BU14" s="34">
        <f t="shared" si="43"/>
        <v>3160.92</v>
      </c>
      <c r="BV14" s="15"/>
      <c r="BW14" s="35">
        <f t="shared" si="44"/>
        <v>9</v>
      </c>
      <c r="BX14" s="34">
        <f t="shared" si="45"/>
        <v>862.07</v>
      </c>
      <c r="BY14" s="34">
        <f t="shared" si="46"/>
        <v>86.21</v>
      </c>
      <c r="BZ14" s="34">
        <f t="shared" si="47"/>
        <v>948.28000000000009</v>
      </c>
      <c r="CA14" s="35">
        <f t="shared" si="48"/>
        <v>261</v>
      </c>
      <c r="CB14" s="34">
        <f t="shared" si="49"/>
        <v>24999.99</v>
      </c>
      <c r="CC14" s="34">
        <f t="shared" si="50"/>
        <v>2500.0400000000004</v>
      </c>
      <c r="CD14" s="34">
        <f t="shared" si="51"/>
        <v>27500.030000000002</v>
      </c>
      <c r="CE14" s="16">
        <f t="shared" si="52"/>
        <v>0.01</v>
      </c>
      <c r="CF14" s="16">
        <f t="shared" si="53"/>
        <v>-0.04</v>
      </c>
      <c r="CG14" s="31" t="s">
        <v>89</v>
      </c>
      <c r="CH14" s="31" t="s">
        <v>90</v>
      </c>
      <c r="CI14" s="31" t="s">
        <v>49</v>
      </c>
      <c r="CJ14" s="31" t="s">
        <v>91</v>
      </c>
      <c r="CK14" s="31" t="s">
        <v>90</v>
      </c>
      <c r="CL14" s="30" t="s">
        <v>92</v>
      </c>
      <c r="CM14" s="29">
        <v>46112</v>
      </c>
      <c r="CN14" s="28" t="s">
        <v>91</v>
      </c>
      <c r="CO14" s="28"/>
      <c r="CP14" s="28"/>
    </row>
    <row r="15" spans="1:94" ht="40.049999999999997" customHeight="1" x14ac:dyDescent="0.25">
      <c r="A15" s="62">
        <v>14</v>
      </c>
      <c r="B15" s="63">
        <v>48</v>
      </c>
      <c r="C15" s="1" t="s">
        <v>41</v>
      </c>
      <c r="D15" s="2" t="s">
        <v>83</v>
      </c>
      <c r="E15" s="2" t="s">
        <v>101</v>
      </c>
      <c r="F15" s="1" t="s">
        <v>102</v>
      </c>
      <c r="G15" s="2" t="s">
        <v>103</v>
      </c>
      <c r="H15" s="64">
        <v>9.2159999999999993</v>
      </c>
      <c r="I15" s="1" t="s">
        <v>46</v>
      </c>
      <c r="J15" s="3">
        <v>735</v>
      </c>
      <c r="K15" s="1">
        <v>240</v>
      </c>
      <c r="L15" s="4">
        <v>54190</v>
      </c>
      <c r="M15" s="4">
        <v>5419</v>
      </c>
      <c r="N15" s="4">
        <v>59609</v>
      </c>
      <c r="O15" s="15" t="s">
        <v>104</v>
      </c>
      <c r="P15" s="31" t="s">
        <v>88</v>
      </c>
      <c r="Q15" s="35">
        <f t="shared" si="54"/>
        <v>240</v>
      </c>
      <c r="R15" s="14">
        <v>46190</v>
      </c>
      <c r="S15" s="14">
        <f t="shared" si="1"/>
        <v>46429</v>
      </c>
      <c r="T15" s="34">
        <v>51442.5</v>
      </c>
      <c r="U15" s="34">
        <f t="shared" si="2"/>
        <v>5144.25</v>
      </c>
      <c r="V15" s="34">
        <f t="shared" si="3"/>
        <v>56586.75</v>
      </c>
      <c r="W15" s="35">
        <v>198</v>
      </c>
      <c r="X15" s="14">
        <f t="shared" si="4"/>
        <v>46190</v>
      </c>
      <c r="Y15" s="14">
        <f t="shared" si="5"/>
        <v>46387</v>
      </c>
      <c r="Z15" s="34">
        <v>42440.07</v>
      </c>
      <c r="AA15" s="34">
        <f t="shared" si="6"/>
        <v>4244.01</v>
      </c>
      <c r="AB15" s="34">
        <f t="shared" si="7"/>
        <v>46684.08</v>
      </c>
      <c r="AC15" s="15"/>
      <c r="AD15" s="35">
        <f t="shared" si="8"/>
        <v>0</v>
      </c>
      <c r="AE15" s="34">
        <f t="shared" si="9"/>
        <v>0</v>
      </c>
      <c r="AF15" s="34">
        <f t="shared" si="10"/>
        <v>0</v>
      </c>
      <c r="AG15" s="34">
        <f t="shared" si="11"/>
        <v>0</v>
      </c>
      <c r="AH15" s="15"/>
      <c r="AI15" s="35">
        <f t="shared" si="12"/>
        <v>0</v>
      </c>
      <c r="AJ15" s="34">
        <f t="shared" si="13"/>
        <v>0</v>
      </c>
      <c r="AK15" s="34">
        <f t="shared" si="14"/>
        <v>0</v>
      </c>
      <c r="AL15" s="34">
        <f t="shared" si="15"/>
        <v>0</v>
      </c>
      <c r="AM15" s="15"/>
      <c r="AN15" s="35">
        <f t="shared" si="16"/>
        <v>0</v>
      </c>
      <c r="AO15" s="34">
        <f t="shared" si="55"/>
        <v>0</v>
      </c>
      <c r="AP15" s="34">
        <f t="shared" si="18"/>
        <v>0</v>
      </c>
      <c r="AQ15" s="34">
        <f t="shared" si="19"/>
        <v>0</v>
      </c>
      <c r="AR15" s="15"/>
      <c r="AS15" s="35">
        <f t="shared" si="20"/>
        <v>14</v>
      </c>
      <c r="AT15" s="34">
        <f t="shared" si="56"/>
        <v>3000.81</v>
      </c>
      <c r="AU15" s="34">
        <f t="shared" si="22"/>
        <v>300.08</v>
      </c>
      <c r="AV15" s="34">
        <f t="shared" si="23"/>
        <v>3300.89</v>
      </c>
      <c r="AW15" s="15"/>
      <c r="AX15" s="35">
        <f t="shared" si="24"/>
        <v>31</v>
      </c>
      <c r="AY15" s="34">
        <f t="shared" si="25"/>
        <v>6644.66</v>
      </c>
      <c r="AZ15" s="34">
        <f t="shared" si="26"/>
        <v>664.47</v>
      </c>
      <c r="BA15" s="34">
        <f t="shared" si="27"/>
        <v>7309.13</v>
      </c>
      <c r="BB15" s="15"/>
      <c r="BC15" s="35">
        <f t="shared" si="28"/>
        <v>31</v>
      </c>
      <c r="BD15" s="34">
        <f t="shared" si="29"/>
        <v>6644.66</v>
      </c>
      <c r="BE15" s="34">
        <f t="shared" si="30"/>
        <v>664.47</v>
      </c>
      <c r="BF15" s="34">
        <f t="shared" si="31"/>
        <v>7309.13</v>
      </c>
      <c r="BG15" s="15"/>
      <c r="BH15" s="35">
        <f t="shared" si="32"/>
        <v>30</v>
      </c>
      <c r="BI15" s="34">
        <f t="shared" si="33"/>
        <v>6430.31</v>
      </c>
      <c r="BJ15" s="34">
        <f t="shared" si="34"/>
        <v>643.03</v>
      </c>
      <c r="BK15" s="34">
        <f t="shared" si="35"/>
        <v>7073.34</v>
      </c>
      <c r="BL15" s="15"/>
      <c r="BM15" s="35">
        <f t="shared" si="36"/>
        <v>31</v>
      </c>
      <c r="BN15" s="34">
        <f t="shared" si="37"/>
        <v>6644.66</v>
      </c>
      <c r="BO15" s="34">
        <f t="shared" si="38"/>
        <v>664.47</v>
      </c>
      <c r="BP15" s="34">
        <f t="shared" si="39"/>
        <v>7309.13</v>
      </c>
      <c r="BQ15" s="15"/>
      <c r="BR15" s="35">
        <f t="shared" si="40"/>
        <v>30</v>
      </c>
      <c r="BS15" s="34">
        <f t="shared" si="41"/>
        <v>6430.31</v>
      </c>
      <c r="BT15" s="34">
        <f t="shared" si="42"/>
        <v>643.03</v>
      </c>
      <c r="BU15" s="34">
        <f t="shared" si="43"/>
        <v>7073.34</v>
      </c>
      <c r="BV15" s="15"/>
      <c r="BW15" s="35">
        <f t="shared" si="44"/>
        <v>31</v>
      </c>
      <c r="BX15" s="34">
        <f t="shared" si="45"/>
        <v>6644.66</v>
      </c>
      <c r="BY15" s="34">
        <f t="shared" si="46"/>
        <v>664.47</v>
      </c>
      <c r="BZ15" s="34">
        <f t="shared" si="47"/>
        <v>7309.13</v>
      </c>
      <c r="CA15" s="35">
        <f t="shared" si="48"/>
        <v>198</v>
      </c>
      <c r="CB15" s="34">
        <f t="shared" si="49"/>
        <v>42440.069999999992</v>
      </c>
      <c r="CC15" s="34">
        <f t="shared" si="50"/>
        <v>4244.0200000000004</v>
      </c>
      <c r="CD15" s="34">
        <f t="shared" si="51"/>
        <v>46684.09</v>
      </c>
      <c r="CE15" s="16">
        <f t="shared" si="52"/>
        <v>0</v>
      </c>
      <c r="CF15" s="16">
        <f t="shared" si="53"/>
        <v>-0.01</v>
      </c>
      <c r="CG15" s="31" t="s">
        <v>89</v>
      </c>
      <c r="CH15" s="31" t="s">
        <v>90</v>
      </c>
      <c r="CI15" s="31" t="s">
        <v>49</v>
      </c>
      <c r="CJ15" s="31" t="s">
        <v>91</v>
      </c>
      <c r="CK15" s="31" t="s">
        <v>90</v>
      </c>
      <c r="CL15" s="30" t="s">
        <v>92</v>
      </c>
      <c r="CM15" s="29">
        <v>46112</v>
      </c>
      <c r="CN15" s="28" t="s">
        <v>91</v>
      </c>
      <c r="CO15" s="28"/>
      <c r="CP15" s="28"/>
    </row>
    <row r="16" spans="1:94" ht="40.049999999999997" customHeight="1" x14ac:dyDescent="0.25">
      <c r="A16" s="62">
        <v>15</v>
      </c>
      <c r="B16" s="63">
        <v>48</v>
      </c>
      <c r="C16" s="1" t="s">
        <v>41</v>
      </c>
      <c r="D16" s="2" t="s">
        <v>83</v>
      </c>
      <c r="E16" s="2" t="s">
        <v>105</v>
      </c>
      <c r="F16" s="1" t="s">
        <v>106</v>
      </c>
      <c r="G16" s="2" t="s">
        <v>107</v>
      </c>
      <c r="H16" s="64">
        <v>14.875999999999999</v>
      </c>
      <c r="I16" s="1" t="s">
        <v>46</v>
      </c>
      <c r="J16" s="3">
        <v>735</v>
      </c>
      <c r="K16" s="1">
        <v>240</v>
      </c>
      <c r="L16" s="4">
        <v>87471</v>
      </c>
      <c r="M16" s="4">
        <v>8746</v>
      </c>
      <c r="N16" s="4">
        <v>96217</v>
      </c>
      <c r="O16" s="15" t="s">
        <v>108</v>
      </c>
      <c r="P16" s="31" t="s">
        <v>109</v>
      </c>
      <c r="Q16" s="35">
        <f t="shared" si="54"/>
        <v>240</v>
      </c>
      <c r="R16" s="14">
        <v>46190</v>
      </c>
      <c r="S16" s="14">
        <f t="shared" si="1"/>
        <v>46429</v>
      </c>
      <c r="T16" s="34">
        <v>83097.45</v>
      </c>
      <c r="U16" s="34">
        <f t="shared" si="2"/>
        <v>8309.75</v>
      </c>
      <c r="V16" s="34">
        <f t="shared" si="3"/>
        <v>91407.2</v>
      </c>
      <c r="W16" s="35">
        <v>198</v>
      </c>
      <c r="X16" s="14">
        <f t="shared" si="4"/>
        <v>46190</v>
      </c>
      <c r="Y16" s="14">
        <f t="shared" si="5"/>
        <v>46387</v>
      </c>
      <c r="Z16" s="34">
        <v>68555.39</v>
      </c>
      <c r="AA16" s="34">
        <f t="shared" si="6"/>
        <v>6855.54</v>
      </c>
      <c r="AB16" s="34">
        <f t="shared" si="7"/>
        <v>75410.929999999993</v>
      </c>
      <c r="AC16" s="15"/>
      <c r="AD16" s="35">
        <f t="shared" si="8"/>
        <v>0</v>
      </c>
      <c r="AE16" s="34">
        <f t="shared" si="9"/>
        <v>0</v>
      </c>
      <c r="AF16" s="34">
        <f t="shared" si="10"/>
        <v>0</v>
      </c>
      <c r="AG16" s="34">
        <f t="shared" si="11"/>
        <v>0</v>
      </c>
      <c r="AH16" s="15"/>
      <c r="AI16" s="35">
        <f t="shared" si="12"/>
        <v>0</v>
      </c>
      <c r="AJ16" s="34">
        <f t="shared" si="13"/>
        <v>0</v>
      </c>
      <c r="AK16" s="34">
        <f t="shared" si="14"/>
        <v>0</v>
      </c>
      <c r="AL16" s="34">
        <f t="shared" si="15"/>
        <v>0</v>
      </c>
      <c r="AM16" s="15"/>
      <c r="AN16" s="35">
        <f t="shared" si="16"/>
        <v>0</v>
      </c>
      <c r="AO16" s="34">
        <f t="shared" si="55"/>
        <v>0</v>
      </c>
      <c r="AP16" s="34">
        <f t="shared" si="18"/>
        <v>0</v>
      </c>
      <c r="AQ16" s="34">
        <f t="shared" si="19"/>
        <v>0</v>
      </c>
      <c r="AR16" s="15"/>
      <c r="AS16" s="35">
        <f t="shared" si="20"/>
        <v>14</v>
      </c>
      <c r="AT16" s="34">
        <f t="shared" si="56"/>
        <v>4847.3500000000004</v>
      </c>
      <c r="AU16" s="34">
        <f t="shared" si="22"/>
        <v>484.74</v>
      </c>
      <c r="AV16" s="34">
        <f t="shared" si="23"/>
        <v>5332.09</v>
      </c>
      <c r="AW16" s="15"/>
      <c r="AX16" s="35">
        <f t="shared" si="24"/>
        <v>31</v>
      </c>
      <c r="AY16" s="34">
        <f t="shared" si="25"/>
        <v>10733.42</v>
      </c>
      <c r="AZ16" s="34">
        <f t="shared" si="26"/>
        <v>1073.3399999999999</v>
      </c>
      <c r="BA16" s="34">
        <f t="shared" si="27"/>
        <v>11806.76</v>
      </c>
      <c r="BB16" s="15"/>
      <c r="BC16" s="35">
        <f t="shared" si="28"/>
        <v>31</v>
      </c>
      <c r="BD16" s="34">
        <f t="shared" si="29"/>
        <v>10733.42</v>
      </c>
      <c r="BE16" s="34">
        <f t="shared" si="30"/>
        <v>1073.3399999999999</v>
      </c>
      <c r="BF16" s="34">
        <f t="shared" si="31"/>
        <v>11806.76</v>
      </c>
      <c r="BG16" s="15"/>
      <c r="BH16" s="35">
        <f t="shared" si="32"/>
        <v>30</v>
      </c>
      <c r="BI16" s="34">
        <f t="shared" si="33"/>
        <v>10387.18</v>
      </c>
      <c r="BJ16" s="34">
        <f t="shared" si="34"/>
        <v>1038.72</v>
      </c>
      <c r="BK16" s="34">
        <f t="shared" si="35"/>
        <v>11425.9</v>
      </c>
      <c r="BL16" s="15"/>
      <c r="BM16" s="35">
        <f t="shared" si="36"/>
        <v>31</v>
      </c>
      <c r="BN16" s="34">
        <f t="shared" si="37"/>
        <v>10733.42</v>
      </c>
      <c r="BO16" s="34">
        <f t="shared" si="38"/>
        <v>1073.3399999999999</v>
      </c>
      <c r="BP16" s="34">
        <f t="shared" si="39"/>
        <v>11806.76</v>
      </c>
      <c r="BQ16" s="15"/>
      <c r="BR16" s="35">
        <f t="shared" si="40"/>
        <v>30</v>
      </c>
      <c r="BS16" s="34">
        <f t="shared" si="41"/>
        <v>10387.18</v>
      </c>
      <c r="BT16" s="34">
        <f t="shared" si="42"/>
        <v>1038.72</v>
      </c>
      <c r="BU16" s="34">
        <f t="shared" si="43"/>
        <v>11425.9</v>
      </c>
      <c r="BV16" s="15"/>
      <c r="BW16" s="35">
        <f t="shared" si="44"/>
        <v>31</v>
      </c>
      <c r="BX16" s="34">
        <f t="shared" si="45"/>
        <v>10733.42</v>
      </c>
      <c r="BY16" s="34">
        <f t="shared" si="46"/>
        <v>1073.3399999999999</v>
      </c>
      <c r="BZ16" s="34">
        <f t="shared" si="47"/>
        <v>11806.76</v>
      </c>
      <c r="CA16" s="35">
        <f t="shared" si="48"/>
        <v>198</v>
      </c>
      <c r="CB16" s="34">
        <f t="shared" si="49"/>
        <v>68555.39</v>
      </c>
      <c r="CC16" s="34">
        <f t="shared" si="50"/>
        <v>6855.5400000000009</v>
      </c>
      <c r="CD16" s="34">
        <f t="shared" si="51"/>
        <v>75410.929999999993</v>
      </c>
      <c r="CE16" s="16">
        <f t="shared" si="52"/>
        <v>0</v>
      </c>
      <c r="CF16" s="16">
        <f t="shared" si="53"/>
        <v>0</v>
      </c>
      <c r="CG16" s="31" t="s">
        <v>89</v>
      </c>
      <c r="CH16" s="31" t="s">
        <v>90</v>
      </c>
      <c r="CI16" s="31" t="s">
        <v>49</v>
      </c>
      <c r="CJ16" s="31" t="s">
        <v>91</v>
      </c>
      <c r="CK16" s="31" t="s">
        <v>90</v>
      </c>
      <c r="CL16" s="30" t="s">
        <v>92</v>
      </c>
      <c r="CM16" s="29">
        <v>46112</v>
      </c>
      <c r="CN16" s="28" t="s">
        <v>91</v>
      </c>
      <c r="CO16" s="28"/>
      <c r="CP16" s="28"/>
    </row>
    <row r="17" spans="1:94" ht="40.049999999999997" customHeight="1" x14ac:dyDescent="0.25">
      <c r="A17" s="62">
        <v>16</v>
      </c>
      <c r="B17" s="63">
        <v>48</v>
      </c>
      <c r="C17" s="1" t="s">
        <v>41</v>
      </c>
      <c r="D17" s="2" t="s">
        <v>83</v>
      </c>
      <c r="E17" s="2" t="s">
        <v>110</v>
      </c>
      <c r="F17" s="1" t="s">
        <v>111</v>
      </c>
      <c r="G17" s="2" t="s">
        <v>112</v>
      </c>
      <c r="H17" s="64">
        <v>12.67</v>
      </c>
      <c r="I17" s="1" t="s">
        <v>46</v>
      </c>
      <c r="J17" s="3">
        <v>735</v>
      </c>
      <c r="K17" s="1">
        <v>240</v>
      </c>
      <c r="L17" s="4">
        <v>74500</v>
      </c>
      <c r="M17" s="4">
        <v>7449</v>
      </c>
      <c r="N17" s="4">
        <v>81949</v>
      </c>
      <c r="O17" s="15" t="s">
        <v>113</v>
      </c>
      <c r="P17" s="31" t="s">
        <v>109</v>
      </c>
      <c r="Q17" s="35">
        <f t="shared" si="54"/>
        <v>240</v>
      </c>
      <c r="R17" s="14">
        <v>46190</v>
      </c>
      <c r="S17" s="14">
        <f t="shared" si="1"/>
        <v>46429</v>
      </c>
      <c r="T17" s="34">
        <v>70775</v>
      </c>
      <c r="U17" s="34">
        <f t="shared" si="2"/>
        <v>7077.5</v>
      </c>
      <c r="V17" s="34">
        <f t="shared" si="3"/>
        <v>77852.5</v>
      </c>
      <c r="W17" s="35">
        <v>198</v>
      </c>
      <c r="X17" s="14">
        <f t="shared" si="4"/>
        <v>46190</v>
      </c>
      <c r="Y17" s="14">
        <f t="shared" si="5"/>
        <v>46387</v>
      </c>
      <c r="Z17" s="34">
        <v>58389.95</v>
      </c>
      <c r="AA17" s="34">
        <f t="shared" si="6"/>
        <v>5839</v>
      </c>
      <c r="AB17" s="34">
        <f t="shared" si="7"/>
        <v>64228.95</v>
      </c>
      <c r="AC17" s="15"/>
      <c r="AD17" s="35">
        <f t="shared" si="8"/>
        <v>0</v>
      </c>
      <c r="AE17" s="34">
        <f t="shared" si="9"/>
        <v>0</v>
      </c>
      <c r="AF17" s="34">
        <f t="shared" si="10"/>
        <v>0</v>
      </c>
      <c r="AG17" s="34">
        <f t="shared" si="11"/>
        <v>0</v>
      </c>
      <c r="AH17" s="15"/>
      <c r="AI17" s="35">
        <f t="shared" si="12"/>
        <v>0</v>
      </c>
      <c r="AJ17" s="34">
        <f t="shared" si="13"/>
        <v>0</v>
      </c>
      <c r="AK17" s="34">
        <f t="shared" si="14"/>
        <v>0</v>
      </c>
      <c r="AL17" s="34">
        <f t="shared" si="15"/>
        <v>0</v>
      </c>
      <c r="AM17" s="15"/>
      <c r="AN17" s="35">
        <f t="shared" si="16"/>
        <v>0</v>
      </c>
      <c r="AO17" s="34">
        <f t="shared" si="55"/>
        <v>0</v>
      </c>
      <c r="AP17" s="34">
        <f t="shared" si="18"/>
        <v>0</v>
      </c>
      <c r="AQ17" s="34">
        <f t="shared" si="19"/>
        <v>0</v>
      </c>
      <c r="AR17" s="15"/>
      <c r="AS17" s="35">
        <f t="shared" si="20"/>
        <v>14</v>
      </c>
      <c r="AT17" s="34">
        <f t="shared" si="56"/>
        <v>4128.58</v>
      </c>
      <c r="AU17" s="34">
        <f t="shared" si="22"/>
        <v>412.86</v>
      </c>
      <c r="AV17" s="34">
        <f t="shared" si="23"/>
        <v>4541.4399999999996</v>
      </c>
      <c r="AW17" s="15"/>
      <c r="AX17" s="35">
        <f t="shared" si="24"/>
        <v>31</v>
      </c>
      <c r="AY17" s="34">
        <f t="shared" si="25"/>
        <v>9141.86</v>
      </c>
      <c r="AZ17" s="34">
        <f t="shared" si="26"/>
        <v>914.19</v>
      </c>
      <c r="BA17" s="34">
        <f t="shared" si="27"/>
        <v>10056.050000000001</v>
      </c>
      <c r="BB17" s="15"/>
      <c r="BC17" s="35">
        <f t="shared" si="28"/>
        <v>31</v>
      </c>
      <c r="BD17" s="34">
        <f t="shared" si="29"/>
        <v>9141.86</v>
      </c>
      <c r="BE17" s="34">
        <f t="shared" si="30"/>
        <v>914.19</v>
      </c>
      <c r="BF17" s="34">
        <f t="shared" si="31"/>
        <v>10056.050000000001</v>
      </c>
      <c r="BG17" s="15"/>
      <c r="BH17" s="35">
        <f t="shared" si="32"/>
        <v>30</v>
      </c>
      <c r="BI17" s="34">
        <f t="shared" si="33"/>
        <v>8846.9599999999991</v>
      </c>
      <c r="BJ17" s="34">
        <f t="shared" si="34"/>
        <v>884.7</v>
      </c>
      <c r="BK17" s="34">
        <f t="shared" si="35"/>
        <v>9731.66</v>
      </c>
      <c r="BL17" s="15"/>
      <c r="BM17" s="35">
        <f t="shared" si="36"/>
        <v>31</v>
      </c>
      <c r="BN17" s="34">
        <f t="shared" si="37"/>
        <v>9141.86</v>
      </c>
      <c r="BO17" s="34">
        <f t="shared" si="38"/>
        <v>914.19</v>
      </c>
      <c r="BP17" s="34">
        <f t="shared" si="39"/>
        <v>10056.050000000001</v>
      </c>
      <c r="BQ17" s="15"/>
      <c r="BR17" s="35">
        <f t="shared" si="40"/>
        <v>30</v>
      </c>
      <c r="BS17" s="34">
        <f t="shared" si="41"/>
        <v>8846.9599999999991</v>
      </c>
      <c r="BT17" s="34">
        <f t="shared" si="42"/>
        <v>884.7</v>
      </c>
      <c r="BU17" s="34">
        <f t="shared" si="43"/>
        <v>9731.66</v>
      </c>
      <c r="BV17" s="15"/>
      <c r="BW17" s="35">
        <f t="shared" si="44"/>
        <v>31</v>
      </c>
      <c r="BX17" s="34">
        <f t="shared" si="45"/>
        <v>9141.86</v>
      </c>
      <c r="BY17" s="34">
        <f t="shared" si="46"/>
        <v>914.19</v>
      </c>
      <c r="BZ17" s="34">
        <f t="shared" si="47"/>
        <v>10056.050000000001</v>
      </c>
      <c r="CA17" s="35">
        <f t="shared" si="48"/>
        <v>198</v>
      </c>
      <c r="CB17" s="34">
        <f t="shared" si="49"/>
        <v>58389.94</v>
      </c>
      <c r="CC17" s="34">
        <f t="shared" si="50"/>
        <v>5839.02</v>
      </c>
      <c r="CD17" s="34">
        <f t="shared" si="51"/>
        <v>64228.960000000006</v>
      </c>
      <c r="CE17" s="16">
        <f t="shared" si="52"/>
        <v>0.01</v>
      </c>
      <c r="CF17" s="16">
        <f t="shared" si="53"/>
        <v>-0.02</v>
      </c>
      <c r="CG17" s="31" t="s">
        <v>89</v>
      </c>
      <c r="CH17" s="31" t="s">
        <v>90</v>
      </c>
      <c r="CI17" s="31" t="s">
        <v>49</v>
      </c>
      <c r="CJ17" s="31" t="s">
        <v>91</v>
      </c>
      <c r="CK17" s="31" t="s">
        <v>90</v>
      </c>
      <c r="CL17" s="30" t="s">
        <v>92</v>
      </c>
      <c r="CM17" s="29">
        <v>46112</v>
      </c>
      <c r="CN17" s="28" t="s">
        <v>91</v>
      </c>
      <c r="CO17" s="28"/>
      <c r="CP17" s="28"/>
    </row>
    <row r="18" spans="1:94" ht="40.049999999999997" customHeight="1" x14ac:dyDescent="0.25">
      <c r="A18" s="62">
        <v>17</v>
      </c>
      <c r="B18" s="63">
        <v>48</v>
      </c>
      <c r="C18" s="1" t="s">
        <v>41</v>
      </c>
      <c r="D18" s="2" t="s">
        <v>83</v>
      </c>
      <c r="E18" s="2" t="s">
        <v>110</v>
      </c>
      <c r="F18" s="1" t="s">
        <v>114</v>
      </c>
      <c r="G18" s="2" t="s">
        <v>115</v>
      </c>
      <c r="H18" s="64">
        <v>6.516</v>
      </c>
      <c r="I18" s="1" t="s">
        <v>46</v>
      </c>
      <c r="J18" s="3">
        <v>735</v>
      </c>
      <c r="K18" s="1">
        <v>240</v>
      </c>
      <c r="L18" s="4">
        <v>38314</v>
      </c>
      <c r="M18" s="4">
        <v>3831</v>
      </c>
      <c r="N18" s="4">
        <v>42145</v>
      </c>
      <c r="O18" s="15" t="s">
        <v>116</v>
      </c>
      <c r="P18" s="31" t="s">
        <v>100</v>
      </c>
      <c r="Q18" s="35">
        <f t="shared" si="54"/>
        <v>240</v>
      </c>
      <c r="R18" s="14">
        <v>46101</v>
      </c>
      <c r="S18" s="14">
        <f t="shared" si="1"/>
        <v>46340</v>
      </c>
      <c r="T18" s="34">
        <v>36700</v>
      </c>
      <c r="U18" s="34">
        <f t="shared" si="2"/>
        <v>3670</v>
      </c>
      <c r="V18" s="34">
        <f t="shared" si="3"/>
        <v>40370</v>
      </c>
      <c r="W18" s="35"/>
      <c r="X18" s="14">
        <f t="shared" si="4"/>
        <v>46101</v>
      </c>
      <c r="Y18" s="14" t="str">
        <f t="shared" si="5"/>
        <v/>
      </c>
      <c r="Z18" s="34"/>
      <c r="AA18" s="34">
        <f t="shared" si="6"/>
        <v>0</v>
      </c>
      <c r="AB18" s="34">
        <f t="shared" si="7"/>
        <v>0</v>
      </c>
      <c r="AC18" s="15"/>
      <c r="AD18" s="35">
        <f t="shared" si="8"/>
        <v>12</v>
      </c>
      <c r="AE18" s="34">
        <f t="shared" si="9"/>
        <v>1835</v>
      </c>
      <c r="AF18" s="34">
        <f t="shared" si="10"/>
        <v>183.5</v>
      </c>
      <c r="AG18" s="34">
        <f t="shared" si="11"/>
        <v>2018.5</v>
      </c>
      <c r="AH18" s="15"/>
      <c r="AI18" s="35">
        <f t="shared" si="12"/>
        <v>30</v>
      </c>
      <c r="AJ18" s="34">
        <f t="shared" si="13"/>
        <v>4587.5</v>
      </c>
      <c r="AK18" s="34">
        <f t="shared" si="14"/>
        <v>458.75</v>
      </c>
      <c r="AL18" s="34">
        <f t="shared" si="15"/>
        <v>5046.25</v>
      </c>
      <c r="AM18" s="15"/>
      <c r="AN18" s="35">
        <f t="shared" si="16"/>
        <v>31</v>
      </c>
      <c r="AO18" s="34">
        <f t="shared" si="55"/>
        <v>4740.42</v>
      </c>
      <c r="AP18" s="34">
        <f t="shared" si="18"/>
        <v>474.04</v>
      </c>
      <c r="AQ18" s="34">
        <f t="shared" si="19"/>
        <v>5214.46</v>
      </c>
      <c r="AR18" s="15"/>
      <c r="AS18" s="35">
        <f t="shared" si="20"/>
        <v>30</v>
      </c>
      <c r="AT18" s="34">
        <f t="shared" si="56"/>
        <v>4587.5</v>
      </c>
      <c r="AU18" s="34">
        <f t="shared" si="22"/>
        <v>458.75</v>
      </c>
      <c r="AV18" s="34">
        <f t="shared" si="23"/>
        <v>5046.25</v>
      </c>
      <c r="AW18" s="15"/>
      <c r="AX18" s="35">
        <f t="shared" si="24"/>
        <v>31</v>
      </c>
      <c r="AY18" s="34">
        <f t="shared" si="25"/>
        <v>4740.42</v>
      </c>
      <c r="AZ18" s="34">
        <f t="shared" si="26"/>
        <v>474.04</v>
      </c>
      <c r="BA18" s="34">
        <f t="shared" si="27"/>
        <v>5214.46</v>
      </c>
      <c r="BB18" s="15"/>
      <c r="BC18" s="35">
        <f t="shared" si="28"/>
        <v>31</v>
      </c>
      <c r="BD18" s="34">
        <f t="shared" si="29"/>
        <v>4740.42</v>
      </c>
      <c r="BE18" s="34">
        <f t="shared" si="30"/>
        <v>474.04</v>
      </c>
      <c r="BF18" s="34">
        <f t="shared" si="31"/>
        <v>5214.46</v>
      </c>
      <c r="BG18" s="15"/>
      <c r="BH18" s="35">
        <f t="shared" si="32"/>
        <v>30</v>
      </c>
      <c r="BI18" s="34">
        <f t="shared" si="33"/>
        <v>4587.5</v>
      </c>
      <c r="BJ18" s="34">
        <f t="shared" si="34"/>
        <v>458.75</v>
      </c>
      <c r="BK18" s="34">
        <f t="shared" si="35"/>
        <v>5046.25</v>
      </c>
      <c r="BL18" s="15"/>
      <c r="BM18" s="35">
        <f t="shared" si="36"/>
        <v>31</v>
      </c>
      <c r="BN18" s="34">
        <f t="shared" si="37"/>
        <v>4740.42</v>
      </c>
      <c r="BO18" s="34">
        <f t="shared" si="38"/>
        <v>474.04</v>
      </c>
      <c r="BP18" s="34">
        <f t="shared" si="39"/>
        <v>5214.46</v>
      </c>
      <c r="BQ18" s="15"/>
      <c r="BR18" s="35">
        <f t="shared" si="40"/>
        <v>14</v>
      </c>
      <c r="BS18" s="34">
        <f t="shared" si="41"/>
        <v>2140.83</v>
      </c>
      <c r="BT18" s="34">
        <f t="shared" si="42"/>
        <v>214.08</v>
      </c>
      <c r="BU18" s="34">
        <f t="shared" si="43"/>
        <v>2354.91</v>
      </c>
      <c r="BV18" s="15"/>
      <c r="BW18" s="35">
        <f t="shared" si="44"/>
        <v>0</v>
      </c>
      <c r="BX18" s="34">
        <f t="shared" si="45"/>
        <v>0</v>
      </c>
      <c r="BY18" s="34">
        <f t="shared" si="46"/>
        <v>0</v>
      </c>
      <c r="BZ18" s="34">
        <f t="shared" si="47"/>
        <v>0</v>
      </c>
      <c r="CA18" s="35">
        <f t="shared" si="48"/>
        <v>240</v>
      </c>
      <c r="CB18" s="34">
        <f t="shared" si="49"/>
        <v>36700.01</v>
      </c>
      <c r="CC18" s="34">
        <f t="shared" si="50"/>
        <v>3669.99</v>
      </c>
      <c r="CD18" s="34">
        <f t="shared" si="51"/>
        <v>40370</v>
      </c>
      <c r="CE18" s="16">
        <f t="shared" si="52"/>
        <v>-0.01</v>
      </c>
      <c r="CF18" s="16">
        <f t="shared" si="53"/>
        <v>0.01</v>
      </c>
      <c r="CG18" s="31" t="s">
        <v>89</v>
      </c>
      <c r="CH18" s="31" t="s">
        <v>90</v>
      </c>
      <c r="CI18" s="31" t="s">
        <v>49</v>
      </c>
      <c r="CJ18" s="31" t="s">
        <v>91</v>
      </c>
      <c r="CK18" s="31" t="s">
        <v>90</v>
      </c>
      <c r="CL18" s="30" t="s">
        <v>92</v>
      </c>
      <c r="CM18" s="29">
        <v>46112</v>
      </c>
      <c r="CN18" s="28" t="s">
        <v>91</v>
      </c>
      <c r="CO18" s="28"/>
      <c r="CP18" s="28"/>
    </row>
    <row r="19" spans="1:94" ht="40.049999999999997" customHeight="1" x14ac:dyDescent="0.25">
      <c r="A19" s="62">
        <v>18</v>
      </c>
      <c r="B19" s="63">
        <v>48</v>
      </c>
      <c r="C19" s="1" t="s">
        <v>41</v>
      </c>
      <c r="D19" s="2" t="s">
        <v>83</v>
      </c>
      <c r="E19" s="2" t="s">
        <v>110</v>
      </c>
      <c r="F19" s="1" t="s">
        <v>117</v>
      </c>
      <c r="G19" s="2" t="s">
        <v>118</v>
      </c>
      <c r="H19" s="64">
        <v>7.0810000000000004</v>
      </c>
      <c r="I19" s="1" t="s">
        <v>46</v>
      </c>
      <c r="J19" s="3">
        <v>735</v>
      </c>
      <c r="K19" s="1">
        <v>240</v>
      </c>
      <c r="L19" s="4">
        <v>41636</v>
      </c>
      <c r="M19" s="4">
        <v>4164</v>
      </c>
      <c r="N19" s="4">
        <v>45800</v>
      </c>
      <c r="O19" s="15" t="s">
        <v>119</v>
      </c>
      <c r="P19" s="31" t="s">
        <v>109</v>
      </c>
      <c r="Q19" s="35">
        <f t="shared" si="54"/>
        <v>240</v>
      </c>
      <c r="R19" s="14">
        <v>46107</v>
      </c>
      <c r="S19" s="14">
        <f t="shared" si="1"/>
        <v>46346</v>
      </c>
      <c r="T19" s="34">
        <v>40000</v>
      </c>
      <c r="U19" s="34">
        <f t="shared" si="2"/>
        <v>4000</v>
      </c>
      <c r="V19" s="34">
        <f t="shared" si="3"/>
        <v>44000</v>
      </c>
      <c r="W19" s="35"/>
      <c r="X19" s="14">
        <f t="shared" si="4"/>
        <v>46107</v>
      </c>
      <c r="Y19" s="14" t="str">
        <f t="shared" si="5"/>
        <v/>
      </c>
      <c r="Z19" s="34"/>
      <c r="AA19" s="34">
        <f t="shared" si="6"/>
        <v>0</v>
      </c>
      <c r="AB19" s="34">
        <f t="shared" si="7"/>
        <v>0</v>
      </c>
      <c r="AC19" s="15"/>
      <c r="AD19" s="35">
        <f t="shared" si="8"/>
        <v>6</v>
      </c>
      <c r="AE19" s="34">
        <f t="shared" si="9"/>
        <v>1000</v>
      </c>
      <c r="AF19" s="34">
        <f t="shared" si="10"/>
        <v>100</v>
      </c>
      <c r="AG19" s="34">
        <f t="shared" si="11"/>
        <v>1100</v>
      </c>
      <c r="AH19" s="15"/>
      <c r="AI19" s="35">
        <f t="shared" si="12"/>
        <v>30</v>
      </c>
      <c r="AJ19" s="34">
        <f t="shared" si="13"/>
        <v>5000</v>
      </c>
      <c r="AK19" s="34">
        <f t="shared" si="14"/>
        <v>500</v>
      </c>
      <c r="AL19" s="34">
        <f t="shared" si="15"/>
        <v>5500</v>
      </c>
      <c r="AM19" s="15"/>
      <c r="AN19" s="35">
        <f t="shared" si="16"/>
        <v>31</v>
      </c>
      <c r="AO19" s="34">
        <f t="shared" si="55"/>
        <v>5166.67</v>
      </c>
      <c r="AP19" s="34">
        <f t="shared" si="18"/>
        <v>516.66999999999996</v>
      </c>
      <c r="AQ19" s="34">
        <f t="shared" si="19"/>
        <v>5683.34</v>
      </c>
      <c r="AR19" s="15"/>
      <c r="AS19" s="35">
        <f t="shared" si="20"/>
        <v>30</v>
      </c>
      <c r="AT19" s="34">
        <f t="shared" si="56"/>
        <v>5000</v>
      </c>
      <c r="AU19" s="34">
        <f t="shared" si="22"/>
        <v>500</v>
      </c>
      <c r="AV19" s="34">
        <f t="shared" si="23"/>
        <v>5500</v>
      </c>
      <c r="AW19" s="15"/>
      <c r="AX19" s="35">
        <f t="shared" si="24"/>
        <v>31</v>
      </c>
      <c r="AY19" s="34">
        <f t="shared" si="25"/>
        <v>5166.67</v>
      </c>
      <c r="AZ19" s="34">
        <f t="shared" si="26"/>
        <v>516.66999999999996</v>
      </c>
      <c r="BA19" s="34">
        <f t="shared" si="27"/>
        <v>5683.34</v>
      </c>
      <c r="BB19" s="15"/>
      <c r="BC19" s="35">
        <f t="shared" si="28"/>
        <v>31</v>
      </c>
      <c r="BD19" s="34">
        <f t="shared" si="29"/>
        <v>5166.67</v>
      </c>
      <c r="BE19" s="34">
        <f t="shared" si="30"/>
        <v>516.66999999999996</v>
      </c>
      <c r="BF19" s="34">
        <f t="shared" si="31"/>
        <v>5683.34</v>
      </c>
      <c r="BG19" s="15"/>
      <c r="BH19" s="35">
        <f t="shared" si="32"/>
        <v>30</v>
      </c>
      <c r="BI19" s="34">
        <f t="shared" si="33"/>
        <v>5000</v>
      </c>
      <c r="BJ19" s="34">
        <f t="shared" si="34"/>
        <v>500</v>
      </c>
      <c r="BK19" s="34">
        <f t="shared" si="35"/>
        <v>5500</v>
      </c>
      <c r="BL19" s="15"/>
      <c r="BM19" s="35">
        <f t="shared" si="36"/>
        <v>31</v>
      </c>
      <c r="BN19" s="34">
        <f t="shared" si="37"/>
        <v>5166.67</v>
      </c>
      <c r="BO19" s="34">
        <f t="shared" si="38"/>
        <v>516.66999999999996</v>
      </c>
      <c r="BP19" s="34">
        <f t="shared" si="39"/>
        <v>5683.34</v>
      </c>
      <c r="BQ19" s="15"/>
      <c r="BR19" s="35">
        <f t="shared" si="40"/>
        <v>20</v>
      </c>
      <c r="BS19" s="34">
        <f t="shared" si="41"/>
        <v>3333.33</v>
      </c>
      <c r="BT19" s="34">
        <f t="shared" si="42"/>
        <v>333.33</v>
      </c>
      <c r="BU19" s="34">
        <f t="shared" si="43"/>
        <v>3666.66</v>
      </c>
      <c r="BV19" s="15"/>
      <c r="BW19" s="35">
        <f t="shared" si="44"/>
        <v>0</v>
      </c>
      <c r="BX19" s="34">
        <f t="shared" si="45"/>
        <v>0</v>
      </c>
      <c r="BY19" s="34">
        <f t="shared" si="46"/>
        <v>0</v>
      </c>
      <c r="BZ19" s="34">
        <f t="shared" si="47"/>
        <v>0</v>
      </c>
      <c r="CA19" s="35">
        <f t="shared" si="48"/>
        <v>240</v>
      </c>
      <c r="CB19" s="34">
        <f t="shared" si="49"/>
        <v>40000.01</v>
      </c>
      <c r="CC19" s="34">
        <f t="shared" si="50"/>
        <v>4000.01</v>
      </c>
      <c r="CD19" s="34">
        <f t="shared" si="51"/>
        <v>44000.020000000004</v>
      </c>
      <c r="CE19" s="16">
        <f t="shared" si="52"/>
        <v>-0.01</v>
      </c>
      <c r="CF19" s="16">
        <f t="shared" si="53"/>
        <v>-0.01</v>
      </c>
      <c r="CG19" s="31" t="s">
        <v>89</v>
      </c>
      <c r="CH19" s="31" t="s">
        <v>90</v>
      </c>
      <c r="CI19" s="31" t="s">
        <v>49</v>
      </c>
      <c r="CJ19" s="31" t="s">
        <v>91</v>
      </c>
      <c r="CK19" s="31" t="s">
        <v>90</v>
      </c>
      <c r="CL19" s="30" t="s">
        <v>92</v>
      </c>
      <c r="CM19" s="29">
        <v>46112</v>
      </c>
      <c r="CN19" s="28" t="s">
        <v>91</v>
      </c>
      <c r="CO19" s="28"/>
      <c r="CP19" s="28"/>
    </row>
    <row r="20" spans="1:94" ht="40.049999999999997" customHeight="1" x14ac:dyDescent="0.25">
      <c r="A20" s="62">
        <v>19</v>
      </c>
      <c r="B20" s="63">
        <v>48</v>
      </c>
      <c r="C20" s="1" t="s">
        <v>41</v>
      </c>
      <c r="D20" s="2" t="s">
        <v>83</v>
      </c>
      <c r="E20" s="2" t="s">
        <v>120</v>
      </c>
      <c r="F20" s="1" t="s">
        <v>121</v>
      </c>
      <c r="G20" s="2" t="s">
        <v>122</v>
      </c>
      <c r="H20" s="64">
        <v>5.3929999999999998</v>
      </c>
      <c r="I20" s="1" t="s">
        <v>46</v>
      </c>
      <c r="J20" s="3">
        <v>735</v>
      </c>
      <c r="K20" s="1">
        <v>240</v>
      </c>
      <c r="L20" s="4">
        <v>31711</v>
      </c>
      <c r="M20" s="4">
        <v>3171</v>
      </c>
      <c r="N20" s="4">
        <v>34882</v>
      </c>
      <c r="O20" s="15" t="s">
        <v>123</v>
      </c>
      <c r="P20" s="31" t="s">
        <v>124</v>
      </c>
      <c r="Q20" s="35">
        <f t="shared" si="54"/>
        <v>240</v>
      </c>
      <c r="R20" s="14">
        <v>46104</v>
      </c>
      <c r="S20" s="14">
        <f t="shared" si="1"/>
        <v>46343</v>
      </c>
      <c r="T20" s="34">
        <v>30000</v>
      </c>
      <c r="U20" s="34">
        <f t="shared" si="2"/>
        <v>3000</v>
      </c>
      <c r="V20" s="34">
        <f t="shared" si="3"/>
        <v>33000</v>
      </c>
      <c r="W20" s="35"/>
      <c r="X20" s="14">
        <f t="shared" si="4"/>
        <v>46104</v>
      </c>
      <c r="Y20" s="14" t="str">
        <f t="shared" si="5"/>
        <v/>
      </c>
      <c r="Z20" s="34"/>
      <c r="AA20" s="34">
        <f t="shared" si="6"/>
        <v>0</v>
      </c>
      <c r="AB20" s="34">
        <f t="shared" si="7"/>
        <v>0</v>
      </c>
      <c r="AC20" s="15"/>
      <c r="AD20" s="35">
        <f t="shared" si="8"/>
        <v>9</v>
      </c>
      <c r="AE20" s="34">
        <f t="shared" si="9"/>
        <v>1125</v>
      </c>
      <c r="AF20" s="34">
        <f t="shared" si="10"/>
        <v>112.5</v>
      </c>
      <c r="AG20" s="34">
        <f t="shared" si="11"/>
        <v>1237.5</v>
      </c>
      <c r="AH20" s="15"/>
      <c r="AI20" s="35">
        <f t="shared" si="12"/>
        <v>30</v>
      </c>
      <c r="AJ20" s="34">
        <f t="shared" si="13"/>
        <v>3750</v>
      </c>
      <c r="AK20" s="34">
        <f t="shared" si="14"/>
        <v>375</v>
      </c>
      <c r="AL20" s="34">
        <f t="shared" si="15"/>
        <v>4125</v>
      </c>
      <c r="AM20" s="15"/>
      <c r="AN20" s="35">
        <f t="shared" si="16"/>
        <v>31</v>
      </c>
      <c r="AO20" s="34">
        <f t="shared" si="55"/>
        <v>3875</v>
      </c>
      <c r="AP20" s="34">
        <f t="shared" si="18"/>
        <v>387.5</v>
      </c>
      <c r="AQ20" s="34">
        <f t="shared" si="19"/>
        <v>4262.5</v>
      </c>
      <c r="AR20" s="15"/>
      <c r="AS20" s="35">
        <f t="shared" si="20"/>
        <v>30</v>
      </c>
      <c r="AT20" s="34">
        <f t="shared" si="56"/>
        <v>3750</v>
      </c>
      <c r="AU20" s="34">
        <f t="shared" si="22"/>
        <v>375</v>
      </c>
      <c r="AV20" s="34">
        <f t="shared" si="23"/>
        <v>4125</v>
      </c>
      <c r="AW20" s="15"/>
      <c r="AX20" s="35">
        <f t="shared" si="24"/>
        <v>31</v>
      </c>
      <c r="AY20" s="34">
        <f t="shared" si="25"/>
        <v>3875</v>
      </c>
      <c r="AZ20" s="34">
        <f t="shared" si="26"/>
        <v>387.5</v>
      </c>
      <c r="BA20" s="34">
        <f t="shared" si="27"/>
        <v>4262.5</v>
      </c>
      <c r="BB20" s="15"/>
      <c r="BC20" s="35">
        <f t="shared" si="28"/>
        <v>31</v>
      </c>
      <c r="BD20" s="34">
        <f t="shared" si="29"/>
        <v>3875</v>
      </c>
      <c r="BE20" s="34">
        <f t="shared" si="30"/>
        <v>387.5</v>
      </c>
      <c r="BF20" s="34">
        <f t="shared" si="31"/>
        <v>4262.5</v>
      </c>
      <c r="BG20" s="15"/>
      <c r="BH20" s="35">
        <f t="shared" si="32"/>
        <v>30</v>
      </c>
      <c r="BI20" s="34">
        <f t="shared" si="33"/>
        <v>3750</v>
      </c>
      <c r="BJ20" s="34">
        <f t="shared" si="34"/>
        <v>375</v>
      </c>
      <c r="BK20" s="34">
        <f t="shared" si="35"/>
        <v>4125</v>
      </c>
      <c r="BL20" s="15"/>
      <c r="BM20" s="35">
        <f t="shared" si="36"/>
        <v>31</v>
      </c>
      <c r="BN20" s="34">
        <f t="shared" si="37"/>
        <v>3875</v>
      </c>
      <c r="BO20" s="34">
        <f t="shared" si="38"/>
        <v>387.5</v>
      </c>
      <c r="BP20" s="34">
        <f t="shared" si="39"/>
        <v>4262.5</v>
      </c>
      <c r="BQ20" s="15"/>
      <c r="BR20" s="35">
        <f t="shared" si="40"/>
        <v>17</v>
      </c>
      <c r="BS20" s="34">
        <f t="shared" si="41"/>
        <v>2125</v>
      </c>
      <c r="BT20" s="34">
        <f t="shared" si="42"/>
        <v>212.5</v>
      </c>
      <c r="BU20" s="34">
        <f t="shared" si="43"/>
        <v>2337.5</v>
      </c>
      <c r="BV20" s="15"/>
      <c r="BW20" s="35">
        <f t="shared" si="44"/>
        <v>0</v>
      </c>
      <c r="BX20" s="34">
        <f t="shared" si="45"/>
        <v>0</v>
      </c>
      <c r="BY20" s="34">
        <f t="shared" si="46"/>
        <v>0</v>
      </c>
      <c r="BZ20" s="34">
        <f t="shared" si="47"/>
        <v>0</v>
      </c>
      <c r="CA20" s="35">
        <f t="shared" si="48"/>
        <v>240</v>
      </c>
      <c r="CB20" s="34">
        <f t="shared" si="49"/>
        <v>30000</v>
      </c>
      <c r="CC20" s="34">
        <f t="shared" si="50"/>
        <v>3000</v>
      </c>
      <c r="CD20" s="34">
        <f t="shared" si="51"/>
        <v>33000</v>
      </c>
      <c r="CE20" s="16">
        <f t="shared" si="52"/>
        <v>0</v>
      </c>
      <c r="CF20" s="16">
        <f t="shared" si="53"/>
        <v>0</v>
      </c>
      <c r="CG20" s="31" t="s">
        <v>89</v>
      </c>
      <c r="CH20" s="31" t="s">
        <v>90</v>
      </c>
      <c r="CI20" s="31" t="s">
        <v>49</v>
      </c>
      <c r="CJ20" s="31" t="s">
        <v>91</v>
      </c>
      <c r="CK20" s="31" t="s">
        <v>90</v>
      </c>
      <c r="CL20" s="30" t="s">
        <v>92</v>
      </c>
      <c r="CM20" s="29">
        <v>46112</v>
      </c>
      <c r="CN20" s="28" t="s">
        <v>91</v>
      </c>
      <c r="CO20" s="28"/>
      <c r="CP20" s="28"/>
    </row>
    <row r="21" spans="1:94" ht="40.049999999999997" customHeight="1" x14ac:dyDescent="0.25">
      <c r="A21" s="62">
        <v>20</v>
      </c>
      <c r="B21" s="63">
        <v>48</v>
      </c>
      <c r="C21" s="1" t="s">
        <v>41</v>
      </c>
      <c r="D21" s="2" t="s">
        <v>83</v>
      </c>
      <c r="E21" s="2" t="s">
        <v>120</v>
      </c>
      <c r="F21" s="1" t="s">
        <v>125</v>
      </c>
      <c r="G21" s="2" t="s">
        <v>126</v>
      </c>
      <c r="H21" s="64">
        <v>6.9889999999999999</v>
      </c>
      <c r="I21" s="1" t="s">
        <v>46</v>
      </c>
      <c r="J21" s="3">
        <v>735</v>
      </c>
      <c r="K21" s="1">
        <v>240</v>
      </c>
      <c r="L21" s="4">
        <v>41095</v>
      </c>
      <c r="M21" s="4">
        <v>4110</v>
      </c>
      <c r="N21" s="4">
        <v>45205</v>
      </c>
      <c r="O21" s="31" t="s">
        <v>60</v>
      </c>
      <c r="P21" s="31"/>
      <c r="Q21" s="35">
        <f t="shared" si="54"/>
        <v>240</v>
      </c>
      <c r="R21" s="14"/>
      <c r="S21" s="14">
        <f t="shared" si="1"/>
        <v>239</v>
      </c>
      <c r="T21" s="34"/>
      <c r="U21" s="34">
        <f t="shared" si="2"/>
        <v>0</v>
      </c>
      <c r="V21" s="34">
        <f t="shared" si="3"/>
        <v>0</v>
      </c>
      <c r="W21" s="35"/>
      <c r="X21" s="14">
        <f t="shared" si="4"/>
        <v>0</v>
      </c>
      <c r="Y21" s="14" t="str">
        <f t="shared" si="5"/>
        <v/>
      </c>
      <c r="Z21" s="34"/>
      <c r="AA21" s="34">
        <f t="shared" si="6"/>
        <v>0</v>
      </c>
      <c r="AB21" s="34">
        <f t="shared" si="7"/>
        <v>0</v>
      </c>
      <c r="AC21" s="15"/>
      <c r="AD21" s="35">
        <f t="shared" si="8"/>
        <v>0</v>
      </c>
      <c r="AE21" s="34">
        <f t="shared" si="9"/>
        <v>0</v>
      </c>
      <c r="AF21" s="34">
        <f t="shared" si="10"/>
        <v>0</v>
      </c>
      <c r="AG21" s="34">
        <f t="shared" si="11"/>
        <v>0</v>
      </c>
      <c r="AH21" s="15"/>
      <c r="AI21" s="35">
        <f t="shared" si="12"/>
        <v>0</v>
      </c>
      <c r="AJ21" s="34">
        <f t="shared" si="13"/>
        <v>0</v>
      </c>
      <c r="AK21" s="34">
        <f t="shared" si="14"/>
        <v>0</v>
      </c>
      <c r="AL21" s="34">
        <f t="shared" si="15"/>
        <v>0</v>
      </c>
      <c r="AM21" s="15"/>
      <c r="AN21" s="35">
        <f t="shared" si="16"/>
        <v>0</v>
      </c>
      <c r="AO21" s="34">
        <f t="shared" si="55"/>
        <v>0</v>
      </c>
      <c r="AP21" s="34">
        <f t="shared" si="18"/>
        <v>0</v>
      </c>
      <c r="AQ21" s="34">
        <f t="shared" si="19"/>
        <v>0</v>
      </c>
      <c r="AR21" s="15"/>
      <c r="AS21" s="35">
        <f t="shared" si="20"/>
        <v>0</v>
      </c>
      <c r="AT21" s="34">
        <f t="shared" si="56"/>
        <v>0</v>
      </c>
      <c r="AU21" s="34">
        <f t="shared" si="22"/>
        <v>0</v>
      </c>
      <c r="AV21" s="34">
        <f t="shared" si="23"/>
        <v>0</v>
      </c>
      <c r="AW21" s="15"/>
      <c r="AX21" s="35">
        <f t="shared" si="24"/>
        <v>0</v>
      </c>
      <c r="AY21" s="34">
        <f t="shared" si="25"/>
        <v>0</v>
      </c>
      <c r="AZ21" s="34">
        <f t="shared" si="26"/>
        <v>0</v>
      </c>
      <c r="BA21" s="34">
        <f t="shared" si="27"/>
        <v>0</v>
      </c>
      <c r="BB21" s="15"/>
      <c r="BC21" s="35">
        <f t="shared" si="28"/>
        <v>0</v>
      </c>
      <c r="BD21" s="34">
        <f t="shared" si="29"/>
        <v>0</v>
      </c>
      <c r="BE21" s="34">
        <f t="shared" si="30"/>
        <v>0</v>
      </c>
      <c r="BF21" s="34">
        <f t="shared" si="31"/>
        <v>0</v>
      </c>
      <c r="BG21" s="15"/>
      <c r="BH21" s="35">
        <f t="shared" si="32"/>
        <v>0</v>
      </c>
      <c r="BI21" s="34">
        <f t="shared" si="33"/>
        <v>0</v>
      </c>
      <c r="BJ21" s="34">
        <f t="shared" si="34"/>
        <v>0</v>
      </c>
      <c r="BK21" s="34">
        <f t="shared" si="35"/>
        <v>0</v>
      </c>
      <c r="BL21" s="15"/>
      <c r="BM21" s="35">
        <f t="shared" si="36"/>
        <v>0</v>
      </c>
      <c r="BN21" s="34">
        <f t="shared" si="37"/>
        <v>0</v>
      </c>
      <c r="BO21" s="34">
        <f t="shared" si="38"/>
        <v>0</v>
      </c>
      <c r="BP21" s="34">
        <f t="shared" si="39"/>
        <v>0</v>
      </c>
      <c r="BQ21" s="15"/>
      <c r="BR21" s="35">
        <f t="shared" si="40"/>
        <v>0</v>
      </c>
      <c r="BS21" s="34">
        <f t="shared" si="41"/>
        <v>0</v>
      </c>
      <c r="BT21" s="34">
        <f t="shared" si="42"/>
        <v>0</v>
      </c>
      <c r="BU21" s="34">
        <f t="shared" si="43"/>
        <v>0</v>
      </c>
      <c r="BV21" s="15"/>
      <c r="BW21" s="35">
        <f t="shared" si="44"/>
        <v>0</v>
      </c>
      <c r="BX21" s="34">
        <f t="shared" si="45"/>
        <v>0</v>
      </c>
      <c r="BY21" s="34">
        <f t="shared" si="46"/>
        <v>0</v>
      </c>
      <c r="BZ21" s="34">
        <f t="shared" si="47"/>
        <v>0</v>
      </c>
      <c r="CA21" s="35">
        <f t="shared" si="48"/>
        <v>0</v>
      </c>
      <c r="CB21" s="34">
        <f t="shared" si="49"/>
        <v>0</v>
      </c>
      <c r="CC21" s="34">
        <f t="shared" si="50"/>
        <v>0</v>
      </c>
      <c r="CD21" s="34">
        <f t="shared" si="51"/>
        <v>0</v>
      </c>
      <c r="CE21" s="16">
        <f t="shared" si="52"/>
        <v>0</v>
      </c>
      <c r="CF21" s="16">
        <f t="shared" si="53"/>
        <v>0</v>
      </c>
      <c r="CG21" s="31" t="s">
        <v>89</v>
      </c>
      <c r="CH21" s="31" t="s">
        <v>90</v>
      </c>
      <c r="CI21" s="31" t="s">
        <v>49</v>
      </c>
      <c r="CJ21" s="31" t="s">
        <v>91</v>
      </c>
      <c r="CK21" s="31" t="s">
        <v>90</v>
      </c>
      <c r="CL21" s="30" t="s">
        <v>92</v>
      </c>
      <c r="CM21" s="29">
        <v>46112</v>
      </c>
      <c r="CN21" s="28" t="s">
        <v>91</v>
      </c>
      <c r="CO21" s="28"/>
      <c r="CP21" s="28"/>
    </row>
    <row r="22" spans="1:94" ht="40.049999999999997" customHeight="1" thickBot="1" x14ac:dyDescent="0.3">
      <c r="A22" s="65">
        <v>21</v>
      </c>
      <c r="B22" s="66">
        <v>48</v>
      </c>
      <c r="C22" s="46" t="s">
        <v>41</v>
      </c>
      <c r="D22" s="47" t="s">
        <v>83</v>
      </c>
      <c r="E22" s="47" t="s">
        <v>120</v>
      </c>
      <c r="F22" s="46" t="s">
        <v>127</v>
      </c>
      <c r="G22" s="47" t="s">
        <v>128</v>
      </c>
      <c r="H22" s="67">
        <v>2.984</v>
      </c>
      <c r="I22" s="46" t="s">
        <v>46</v>
      </c>
      <c r="J22" s="48">
        <v>735</v>
      </c>
      <c r="K22" s="46">
        <v>266</v>
      </c>
      <c r="L22" s="49">
        <v>19447</v>
      </c>
      <c r="M22" s="49">
        <v>1945</v>
      </c>
      <c r="N22" s="49">
        <v>21392</v>
      </c>
      <c r="O22" s="53" t="s">
        <v>60</v>
      </c>
      <c r="P22" s="53"/>
      <c r="Q22" s="60">
        <f t="shared" si="54"/>
        <v>266</v>
      </c>
      <c r="R22" s="50"/>
      <c r="S22" s="50">
        <f t="shared" si="1"/>
        <v>265</v>
      </c>
      <c r="T22" s="58"/>
      <c r="U22" s="58">
        <f t="shared" si="2"/>
        <v>0</v>
      </c>
      <c r="V22" s="58">
        <f t="shared" si="3"/>
        <v>0</v>
      </c>
      <c r="W22" s="60"/>
      <c r="X22" s="50">
        <f t="shared" si="4"/>
        <v>0</v>
      </c>
      <c r="Y22" s="50" t="str">
        <f t="shared" si="5"/>
        <v/>
      </c>
      <c r="Z22" s="58"/>
      <c r="AA22" s="58">
        <f t="shared" si="6"/>
        <v>0</v>
      </c>
      <c r="AB22" s="58">
        <f t="shared" si="7"/>
        <v>0</v>
      </c>
      <c r="AC22" s="51"/>
      <c r="AD22" s="60">
        <f t="shared" si="8"/>
        <v>0</v>
      </c>
      <c r="AE22" s="58">
        <f t="shared" si="9"/>
        <v>0</v>
      </c>
      <c r="AF22" s="58">
        <f t="shared" si="10"/>
        <v>0</v>
      </c>
      <c r="AG22" s="58">
        <f t="shared" si="11"/>
        <v>0</v>
      </c>
      <c r="AH22" s="51"/>
      <c r="AI22" s="60">
        <f t="shared" si="12"/>
        <v>0</v>
      </c>
      <c r="AJ22" s="58">
        <f t="shared" si="13"/>
        <v>0</v>
      </c>
      <c r="AK22" s="58">
        <f t="shared" si="14"/>
        <v>0</v>
      </c>
      <c r="AL22" s="58">
        <f t="shared" si="15"/>
        <v>0</v>
      </c>
      <c r="AM22" s="51"/>
      <c r="AN22" s="60">
        <f t="shared" si="16"/>
        <v>0</v>
      </c>
      <c r="AO22" s="58">
        <f t="shared" si="55"/>
        <v>0</v>
      </c>
      <c r="AP22" s="58">
        <f t="shared" si="18"/>
        <v>0</v>
      </c>
      <c r="AQ22" s="58">
        <f t="shared" si="19"/>
        <v>0</v>
      </c>
      <c r="AR22" s="51"/>
      <c r="AS22" s="60">
        <f t="shared" si="20"/>
        <v>0</v>
      </c>
      <c r="AT22" s="58">
        <f t="shared" si="56"/>
        <v>0</v>
      </c>
      <c r="AU22" s="58">
        <f t="shared" si="22"/>
        <v>0</v>
      </c>
      <c r="AV22" s="58">
        <f t="shared" si="23"/>
        <v>0</v>
      </c>
      <c r="AW22" s="51"/>
      <c r="AX22" s="60">
        <f t="shared" si="24"/>
        <v>0</v>
      </c>
      <c r="AY22" s="58">
        <f t="shared" si="25"/>
        <v>0</v>
      </c>
      <c r="AZ22" s="58">
        <f t="shared" si="26"/>
        <v>0</v>
      </c>
      <c r="BA22" s="58">
        <f t="shared" si="27"/>
        <v>0</v>
      </c>
      <c r="BB22" s="51"/>
      <c r="BC22" s="60">
        <f t="shared" si="28"/>
        <v>0</v>
      </c>
      <c r="BD22" s="58">
        <f t="shared" si="29"/>
        <v>0</v>
      </c>
      <c r="BE22" s="58">
        <f t="shared" si="30"/>
        <v>0</v>
      </c>
      <c r="BF22" s="58">
        <f t="shared" si="31"/>
        <v>0</v>
      </c>
      <c r="BG22" s="51"/>
      <c r="BH22" s="60">
        <f t="shared" si="32"/>
        <v>0</v>
      </c>
      <c r="BI22" s="58">
        <f t="shared" si="33"/>
        <v>0</v>
      </c>
      <c r="BJ22" s="58">
        <f t="shared" si="34"/>
        <v>0</v>
      </c>
      <c r="BK22" s="58">
        <f t="shared" si="35"/>
        <v>0</v>
      </c>
      <c r="BL22" s="51"/>
      <c r="BM22" s="60">
        <f t="shared" si="36"/>
        <v>0</v>
      </c>
      <c r="BN22" s="58">
        <f t="shared" si="37"/>
        <v>0</v>
      </c>
      <c r="BO22" s="58">
        <f t="shared" si="38"/>
        <v>0</v>
      </c>
      <c r="BP22" s="58">
        <f t="shared" si="39"/>
        <v>0</v>
      </c>
      <c r="BQ22" s="51"/>
      <c r="BR22" s="60">
        <f t="shared" si="40"/>
        <v>0</v>
      </c>
      <c r="BS22" s="58">
        <f t="shared" si="41"/>
        <v>0</v>
      </c>
      <c r="BT22" s="58">
        <f t="shared" si="42"/>
        <v>0</v>
      </c>
      <c r="BU22" s="58">
        <f t="shared" si="43"/>
        <v>0</v>
      </c>
      <c r="BV22" s="51"/>
      <c r="BW22" s="60">
        <f t="shared" si="44"/>
        <v>0</v>
      </c>
      <c r="BX22" s="58">
        <f t="shared" si="45"/>
        <v>0</v>
      </c>
      <c r="BY22" s="58">
        <f t="shared" si="46"/>
        <v>0</v>
      </c>
      <c r="BZ22" s="58">
        <f t="shared" si="47"/>
        <v>0</v>
      </c>
      <c r="CA22" s="60">
        <f t="shared" si="48"/>
        <v>0</v>
      </c>
      <c r="CB22" s="58">
        <f t="shared" si="49"/>
        <v>0</v>
      </c>
      <c r="CC22" s="58">
        <f t="shared" si="50"/>
        <v>0</v>
      </c>
      <c r="CD22" s="58">
        <f t="shared" si="51"/>
        <v>0</v>
      </c>
      <c r="CE22" s="52">
        <f t="shared" si="52"/>
        <v>0</v>
      </c>
      <c r="CF22" s="52">
        <f t="shared" si="53"/>
        <v>0</v>
      </c>
      <c r="CG22" s="53" t="s">
        <v>89</v>
      </c>
      <c r="CH22" s="53" t="s">
        <v>90</v>
      </c>
      <c r="CI22" s="53" t="s">
        <v>49</v>
      </c>
      <c r="CJ22" s="53" t="s">
        <v>91</v>
      </c>
      <c r="CK22" s="53" t="s">
        <v>90</v>
      </c>
      <c r="CL22" s="59" t="s">
        <v>92</v>
      </c>
      <c r="CM22" s="54">
        <v>46112</v>
      </c>
      <c r="CN22" s="55" t="s">
        <v>91</v>
      </c>
      <c r="CO22" s="55"/>
      <c r="CP22" s="55"/>
    </row>
    <row r="23" spans="1:94" ht="40.049999999999997" customHeight="1" thickTop="1" x14ac:dyDescent="0.25">
      <c r="A23" s="68">
        <v>22</v>
      </c>
      <c r="B23" s="69">
        <v>51</v>
      </c>
      <c r="C23" s="36" t="s">
        <v>129</v>
      </c>
      <c r="D23" s="37" t="s">
        <v>130</v>
      </c>
      <c r="E23" s="37" t="s">
        <v>131</v>
      </c>
      <c r="F23" s="36" t="s">
        <v>132</v>
      </c>
      <c r="G23" s="37" t="s">
        <v>133</v>
      </c>
      <c r="H23" s="70">
        <v>2.0310000000000001</v>
      </c>
      <c r="I23" s="36" t="s">
        <v>46</v>
      </c>
      <c r="J23" s="38">
        <v>735</v>
      </c>
      <c r="K23" s="36">
        <v>240</v>
      </c>
      <c r="L23" s="39">
        <v>11942</v>
      </c>
      <c r="M23" s="39">
        <v>1194</v>
      </c>
      <c r="N23" s="39">
        <v>13136</v>
      </c>
      <c r="O23" s="41" t="s">
        <v>134</v>
      </c>
      <c r="P23" s="43" t="s">
        <v>135</v>
      </c>
      <c r="Q23" s="61">
        <f t="shared" si="54"/>
        <v>240</v>
      </c>
      <c r="R23" s="40">
        <v>46146</v>
      </c>
      <c r="S23" s="40">
        <f t="shared" si="1"/>
        <v>46385</v>
      </c>
      <c r="T23" s="56">
        <v>11942</v>
      </c>
      <c r="U23" s="56">
        <f t="shared" si="2"/>
        <v>1194.2</v>
      </c>
      <c r="V23" s="56">
        <f t="shared" si="3"/>
        <v>13136.2</v>
      </c>
      <c r="W23" s="61"/>
      <c r="X23" s="40">
        <f t="shared" si="4"/>
        <v>46146</v>
      </c>
      <c r="Y23" s="40" t="str">
        <f t="shared" si="5"/>
        <v/>
      </c>
      <c r="Z23" s="56"/>
      <c r="AA23" s="56">
        <f t="shared" si="6"/>
        <v>0</v>
      </c>
      <c r="AB23" s="56">
        <f t="shared" si="7"/>
        <v>0</v>
      </c>
      <c r="AC23" s="41"/>
      <c r="AD23" s="61">
        <f t="shared" si="8"/>
        <v>0</v>
      </c>
      <c r="AE23" s="56">
        <f t="shared" si="9"/>
        <v>0</v>
      </c>
      <c r="AF23" s="56">
        <f t="shared" si="10"/>
        <v>0</v>
      </c>
      <c r="AG23" s="56">
        <f t="shared" si="11"/>
        <v>0</v>
      </c>
      <c r="AH23" s="41"/>
      <c r="AI23" s="61">
        <f t="shared" si="12"/>
        <v>0</v>
      </c>
      <c r="AJ23" s="56">
        <f t="shared" si="13"/>
        <v>0</v>
      </c>
      <c r="AK23" s="56">
        <f t="shared" si="14"/>
        <v>0</v>
      </c>
      <c r="AL23" s="56">
        <f t="shared" si="15"/>
        <v>0</v>
      </c>
      <c r="AM23" s="41"/>
      <c r="AN23" s="61">
        <f t="shared" si="16"/>
        <v>28</v>
      </c>
      <c r="AO23" s="56">
        <f t="shared" si="55"/>
        <v>1393.23</v>
      </c>
      <c r="AP23" s="56">
        <f t="shared" si="18"/>
        <v>139.32</v>
      </c>
      <c r="AQ23" s="56">
        <f t="shared" si="19"/>
        <v>1532.55</v>
      </c>
      <c r="AR23" s="41"/>
      <c r="AS23" s="61">
        <f t="shared" si="20"/>
        <v>30</v>
      </c>
      <c r="AT23" s="56">
        <f t="shared" si="56"/>
        <v>1492.75</v>
      </c>
      <c r="AU23" s="56">
        <f t="shared" si="22"/>
        <v>149.28</v>
      </c>
      <c r="AV23" s="56">
        <f t="shared" si="23"/>
        <v>1642.03</v>
      </c>
      <c r="AW23" s="41"/>
      <c r="AX23" s="61">
        <f t="shared" si="24"/>
        <v>31</v>
      </c>
      <c r="AY23" s="56">
        <f t="shared" si="25"/>
        <v>1542.51</v>
      </c>
      <c r="AZ23" s="56">
        <f t="shared" si="26"/>
        <v>154.25</v>
      </c>
      <c r="BA23" s="56">
        <f t="shared" si="27"/>
        <v>1696.76</v>
      </c>
      <c r="BB23" s="41"/>
      <c r="BC23" s="61">
        <f t="shared" si="28"/>
        <v>31</v>
      </c>
      <c r="BD23" s="56">
        <f t="shared" si="29"/>
        <v>1542.51</v>
      </c>
      <c r="BE23" s="56">
        <f t="shared" si="30"/>
        <v>154.25</v>
      </c>
      <c r="BF23" s="56">
        <f t="shared" si="31"/>
        <v>1696.76</v>
      </c>
      <c r="BG23" s="41"/>
      <c r="BH23" s="61">
        <f t="shared" si="32"/>
        <v>30</v>
      </c>
      <c r="BI23" s="56">
        <f t="shared" si="33"/>
        <v>1492.75</v>
      </c>
      <c r="BJ23" s="56">
        <f t="shared" si="34"/>
        <v>149.28</v>
      </c>
      <c r="BK23" s="56">
        <f t="shared" si="35"/>
        <v>1642.03</v>
      </c>
      <c r="BL23" s="41"/>
      <c r="BM23" s="61">
        <f t="shared" si="36"/>
        <v>31</v>
      </c>
      <c r="BN23" s="56">
        <f t="shared" si="37"/>
        <v>1542.51</v>
      </c>
      <c r="BO23" s="56">
        <f t="shared" si="38"/>
        <v>154.25</v>
      </c>
      <c r="BP23" s="56">
        <f t="shared" si="39"/>
        <v>1696.76</v>
      </c>
      <c r="BQ23" s="41"/>
      <c r="BR23" s="61">
        <f t="shared" si="40"/>
        <v>30</v>
      </c>
      <c r="BS23" s="56">
        <f t="shared" si="41"/>
        <v>1492.75</v>
      </c>
      <c r="BT23" s="56">
        <f t="shared" si="42"/>
        <v>149.28</v>
      </c>
      <c r="BU23" s="56">
        <f t="shared" si="43"/>
        <v>1642.03</v>
      </c>
      <c r="BV23" s="41"/>
      <c r="BW23" s="61">
        <f t="shared" si="44"/>
        <v>29</v>
      </c>
      <c r="BX23" s="56">
        <f t="shared" si="45"/>
        <v>1442.99</v>
      </c>
      <c r="BY23" s="56">
        <f t="shared" si="46"/>
        <v>144.30000000000001</v>
      </c>
      <c r="BZ23" s="56">
        <f t="shared" si="47"/>
        <v>1587.29</v>
      </c>
      <c r="CA23" s="61">
        <f t="shared" si="48"/>
        <v>240</v>
      </c>
      <c r="CB23" s="56">
        <f t="shared" si="49"/>
        <v>11942</v>
      </c>
      <c r="CC23" s="56">
        <f t="shared" si="50"/>
        <v>1194.21</v>
      </c>
      <c r="CD23" s="56">
        <f t="shared" si="51"/>
        <v>13136.21</v>
      </c>
      <c r="CE23" s="42">
        <f t="shared" si="52"/>
        <v>0</v>
      </c>
      <c r="CF23" s="42">
        <f t="shared" si="53"/>
        <v>-0.01</v>
      </c>
      <c r="CG23" s="43" t="s">
        <v>136</v>
      </c>
      <c r="CH23" s="43" t="s">
        <v>137</v>
      </c>
      <c r="CI23" s="43" t="s">
        <v>49</v>
      </c>
      <c r="CJ23" s="43" t="s">
        <v>138</v>
      </c>
      <c r="CK23" s="57" t="s">
        <v>139</v>
      </c>
      <c r="CL23" s="43" t="s">
        <v>140</v>
      </c>
      <c r="CM23" s="44">
        <v>46142</v>
      </c>
      <c r="CN23" s="45" t="s">
        <v>141</v>
      </c>
      <c r="CO23" s="45"/>
      <c r="CP23" s="45"/>
    </row>
    <row r="24" spans="1:94" ht="40.049999999999997" customHeight="1" x14ac:dyDescent="0.25">
      <c r="A24" s="62">
        <v>23</v>
      </c>
      <c r="B24" s="63">
        <v>51</v>
      </c>
      <c r="C24" s="1" t="s">
        <v>129</v>
      </c>
      <c r="D24" s="2" t="s">
        <v>130</v>
      </c>
      <c r="E24" s="2" t="s">
        <v>142</v>
      </c>
      <c r="F24" s="1" t="s">
        <v>143</v>
      </c>
      <c r="G24" s="2" t="s">
        <v>144</v>
      </c>
      <c r="H24" s="64">
        <v>5.8419999999999996</v>
      </c>
      <c r="I24" s="1" t="s">
        <v>46</v>
      </c>
      <c r="J24" s="3">
        <v>735</v>
      </c>
      <c r="K24" s="1">
        <v>240</v>
      </c>
      <c r="L24" s="4">
        <v>34351</v>
      </c>
      <c r="M24" s="4">
        <v>3435</v>
      </c>
      <c r="N24" s="4">
        <v>37786</v>
      </c>
      <c r="O24" s="15" t="s">
        <v>145</v>
      </c>
      <c r="P24" s="31" t="s">
        <v>135</v>
      </c>
      <c r="Q24" s="35">
        <f t="shared" si="54"/>
        <v>240</v>
      </c>
      <c r="R24" s="14">
        <v>46146</v>
      </c>
      <c r="S24" s="14">
        <f t="shared" si="1"/>
        <v>46385</v>
      </c>
      <c r="T24" s="34">
        <v>34351</v>
      </c>
      <c r="U24" s="34">
        <f t="shared" si="2"/>
        <v>3435.1</v>
      </c>
      <c r="V24" s="34">
        <f t="shared" si="3"/>
        <v>37786.1</v>
      </c>
      <c r="W24" s="35"/>
      <c r="X24" s="14">
        <f t="shared" si="4"/>
        <v>46146</v>
      </c>
      <c r="Y24" s="14" t="str">
        <f t="shared" si="5"/>
        <v/>
      </c>
      <c r="Z24" s="34"/>
      <c r="AA24" s="34">
        <f t="shared" si="6"/>
        <v>0</v>
      </c>
      <c r="AB24" s="34">
        <f t="shared" si="7"/>
        <v>0</v>
      </c>
      <c r="AC24" s="15"/>
      <c r="AD24" s="35">
        <f t="shared" si="8"/>
        <v>0</v>
      </c>
      <c r="AE24" s="34">
        <f t="shared" si="9"/>
        <v>0</v>
      </c>
      <c r="AF24" s="34">
        <f t="shared" si="10"/>
        <v>0</v>
      </c>
      <c r="AG24" s="34">
        <f t="shared" si="11"/>
        <v>0</v>
      </c>
      <c r="AH24" s="15"/>
      <c r="AI24" s="35">
        <f t="shared" si="12"/>
        <v>0</v>
      </c>
      <c r="AJ24" s="34">
        <f t="shared" si="13"/>
        <v>0</v>
      </c>
      <c r="AK24" s="34">
        <f t="shared" si="14"/>
        <v>0</v>
      </c>
      <c r="AL24" s="34">
        <f t="shared" si="15"/>
        <v>0</v>
      </c>
      <c r="AM24" s="15"/>
      <c r="AN24" s="35">
        <f t="shared" si="16"/>
        <v>28</v>
      </c>
      <c r="AO24" s="34">
        <f t="shared" si="55"/>
        <v>4007.62</v>
      </c>
      <c r="AP24" s="34">
        <f t="shared" si="18"/>
        <v>400.76</v>
      </c>
      <c r="AQ24" s="34">
        <f t="shared" si="19"/>
        <v>4408.38</v>
      </c>
      <c r="AR24" s="15"/>
      <c r="AS24" s="35">
        <f t="shared" si="20"/>
        <v>30</v>
      </c>
      <c r="AT24" s="34">
        <f t="shared" si="56"/>
        <v>4293.88</v>
      </c>
      <c r="AU24" s="34">
        <f t="shared" si="22"/>
        <v>429.39</v>
      </c>
      <c r="AV24" s="34">
        <f t="shared" si="23"/>
        <v>4723.2700000000004</v>
      </c>
      <c r="AW24" s="15"/>
      <c r="AX24" s="35">
        <f t="shared" si="24"/>
        <v>31</v>
      </c>
      <c r="AY24" s="34">
        <f t="shared" si="25"/>
        <v>4437</v>
      </c>
      <c r="AZ24" s="34">
        <f t="shared" si="26"/>
        <v>443.7</v>
      </c>
      <c r="BA24" s="34">
        <f t="shared" si="27"/>
        <v>4880.7</v>
      </c>
      <c r="BB24" s="15"/>
      <c r="BC24" s="35">
        <f t="shared" si="28"/>
        <v>31</v>
      </c>
      <c r="BD24" s="34">
        <f t="shared" si="29"/>
        <v>4437</v>
      </c>
      <c r="BE24" s="34">
        <f t="shared" si="30"/>
        <v>443.7</v>
      </c>
      <c r="BF24" s="34">
        <f t="shared" si="31"/>
        <v>4880.7</v>
      </c>
      <c r="BG24" s="15"/>
      <c r="BH24" s="35">
        <f t="shared" si="32"/>
        <v>30</v>
      </c>
      <c r="BI24" s="34">
        <f t="shared" si="33"/>
        <v>4293.88</v>
      </c>
      <c r="BJ24" s="34">
        <f t="shared" si="34"/>
        <v>429.39</v>
      </c>
      <c r="BK24" s="34">
        <f t="shared" si="35"/>
        <v>4723.2700000000004</v>
      </c>
      <c r="BL24" s="15"/>
      <c r="BM24" s="35">
        <f t="shared" si="36"/>
        <v>31</v>
      </c>
      <c r="BN24" s="34">
        <f t="shared" si="37"/>
        <v>4437</v>
      </c>
      <c r="BO24" s="34">
        <f t="shared" si="38"/>
        <v>443.7</v>
      </c>
      <c r="BP24" s="34">
        <f t="shared" si="39"/>
        <v>4880.7</v>
      </c>
      <c r="BQ24" s="15"/>
      <c r="BR24" s="35">
        <f t="shared" si="40"/>
        <v>30</v>
      </c>
      <c r="BS24" s="34">
        <f t="shared" si="41"/>
        <v>4293.88</v>
      </c>
      <c r="BT24" s="34">
        <f t="shared" si="42"/>
        <v>429.39</v>
      </c>
      <c r="BU24" s="34">
        <f t="shared" si="43"/>
        <v>4723.2700000000004</v>
      </c>
      <c r="BV24" s="15"/>
      <c r="BW24" s="35">
        <f t="shared" si="44"/>
        <v>29</v>
      </c>
      <c r="BX24" s="34">
        <f t="shared" si="45"/>
        <v>4150.75</v>
      </c>
      <c r="BY24" s="34">
        <f t="shared" si="46"/>
        <v>415.08</v>
      </c>
      <c r="BZ24" s="34">
        <f t="shared" si="47"/>
        <v>4565.83</v>
      </c>
      <c r="CA24" s="35">
        <f t="shared" si="48"/>
        <v>240</v>
      </c>
      <c r="CB24" s="34">
        <f t="shared" si="49"/>
        <v>34351.01</v>
      </c>
      <c r="CC24" s="34">
        <f t="shared" si="50"/>
        <v>3435.1099999999997</v>
      </c>
      <c r="CD24" s="34">
        <f t="shared" si="51"/>
        <v>37786.120000000003</v>
      </c>
      <c r="CE24" s="16">
        <f t="shared" si="52"/>
        <v>-0.01</v>
      </c>
      <c r="CF24" s="16">
        <f t="shared" si="53"/>
        <v>-0.01</v>
      </c>
      <c r="CG24" s="31" t="s">
        <v>136</v>
      </c>
      <c r="CH24" s="31" t="s">
        <v>137</v>
      </c>
      <c r="CI24" s="31" t="s">
        <v>49</v>
      </c>
      <c r="CJ24" s="31" t="s">
        <v>138</v>
      </c>
      <c r="CK24" s="31" t="s">
        <v>139</v>
      </c>
      <c r="CL24" s="31" t="s">
        <v>140</v>
      </c>
      <c r="CM24" s="29">
        <v>46142</v>
      </c>
      <c r="CN24" s="28" t="s">
        <v>141</v>
      </c>
      <c r="CO24" s="28"/>
      <c r="CP24" s="28"/>
    </row>
    <row r="25" spans="1:94" ht="40.049999999999997" customHeight="1" x14ac:dyDescent="0.25">
      <c r="A25" s="62">
        <v>24</v>
      </c>
      <c r="B25" s="63">
        <v>51</v>
      </c>
      <c r="C25" s="1" t="s">
        <v>129</v>
      </c>
      <c r="D25" s="2" t="s">
        <v>130</v>
      </c>
      <c r="E25" s="2" t="s">
        <v>146</v>
      </c>
      <c r="F25" s="1" t="s">
        <v>147</v>
      </c>
      <c r="G25" s="2" t="s">
        <v>148</v>
      </c>
      <c r="H25" s="64">
        <v>26.9</v>
      </c>
      <c r="I25" s="1" t="s">
        <v>46</v>
      </c>
      <c r="J25" s="3">
        <v>735</v>
      </c>
      <c r="K25" s="1">
        <v>240</v>
      </c>
      <c r="L25" s="4">
        <v>158172</v>
      </c>
      <c r="M25" s="4">
        <v>15817</v>
      </c>
      <c r="N25" s="4">
        <v>173989</v>
      </c>
      <c r="O25" s="31" t="s">
        <v>149</v>
      </c>
      <c r="P25" s="31" t="s">
        <v>150</v>
      </c>
      <c r="Q25" s="35">
        <f t="shared" si="54"/>
        <v>240</v>
      </c>
      <c r="R25" s="14">
        <v>46223</v>
      </c>
      <c r="S25" s="14">
        <f t="shared" si="1"/>
        <v>46462</v>
      </c>
      <c r="T25" s="34">
        <v>118360</v>
      </c>
      <c r="U25" s="34">
        <f t="shared" si="2"/>
        <v>11836</v>
      </c>
      <c r="V25" s="34">
        <f t="shared" si="3"/>
        <v>130196</v>
      </c>
      <c r="W25" s="35">
        <v>163</v>
      </c>
      <c r="X25" s="14">
        <f t="shared" si="4"/>
        <v>46223</v>
      </c>
      <c r="Y25" s="14">
        <f t="shared" si="5"/>
        <v>46385</v>
      </c>
      <c r="Z25" s="34">
        <v>107425.15</v>
      </c>
      <c r="AA25" s="34">
        <f t="shared" si="6"/>
        <v>10742.52</v>
      </c>
      <c r="AB25" s="34">
        <f t="shared" si="7"/>
        <v>118167.67</v>
      </c>
      <c r="AC25" s="15"/>
      <c r="AD25" s="35">
        <f t="shared" si="8"/>
        <v>0</v>
      </c>
      <c r="AE25" s="34">
        <f t="shared" si="9"/>
        <v>0</v>
      </c>
      <c r="AF25" s="34">
        <f t="shared" si="10"/>
        <v>0</v>
      </c>
      <c r="AG25" s="34">
        <f t="shared" si="11"/>
        <v>0</v>
      </c>
      <c r="AH25" s="15"/>
      <c r="AI25" s="35">
        <f t="shared" si="12"/>
        <v>0</v>
      </c>
      <c r="AJ25" s="34">
        <f t="shared" si="13"/>
        <v>0</v>
      </c>
      <c r="AK25" s="34">
        <f t="shared" si="14"/>
        <v>0</v>
      </c>
      <c r="AL25" s="34">
        <f t="shared" si="15"/>
        <v>0</v>
      </c>
      <c r="AM25" s="15"/>
      <c r="AN25" s="35">
        <f t="shared" si="16"/>
        <v>0</v>
      </c>
      <c r="AO25" s="34">
        <f t="shared" si="55"/>
        <v>0</v>
      </c>
      <c r="AP25" s="34">
        <f t="shared" si="18"/>
        <v>0</v>
      </c>
      <c r="AQ25" s="34">
        <f t="shared" si="19"/>
        <v>0</v>
      </c>
      <c r="AR25" s="15"/>
      <c r="AS25" s="35">
        <f t="shared" si="20"/>
        <v>0</v>
      </c>
      <c r="AT25" s="34">
        <f t="shared" si="56"/>
        <v>0</v>
      </c>
      <c r="AU25" s="34">
        <f t="shared" si="22"/>
        <v>0</v>
      </c>
      <c r="AV25" s="34">
        <f t="shared" si="23"/>
        <v>0</v>
      </c>
      <c r="AW25" s="15"/>
      <c r="AX25" s="35">
        <f t="shared" si="24"/>
        <v>12</v>
      </c>
      <c r="AY25" s="34">
        <f t="shared" si="25"/>
        <v>7908.6</v>
      </c>
      <c r="AZ25" s="34">
        <f t="shared" si="26"/>
        <v>790.86</v>
      </c>
      <c r="BA25" s="34">
        <f t="shared" si="27"/>
        <v>8699.4600000000009</v>
      </c>
      <c r="BB25" s="15"/>
      <c r="BC25" s="35">
        <f t="shared" si="28"/>
        <v>31</v>
      </c>
      <c r="BD25" s="34">
        <f t="shared" si="29"/>
        <v>20430.55</v>
      </c>
      <c r="BE25" s="34">
        <f t="shared" si="30"/>
        <v>2043.06</v>
      </c>
      <c r="BF25" s="34">
        <f t="shared" si="31"/>
        <v>22473.61</v>
      </c>
      <c r="BG25" s="15"/>
      <c r="BH25" s="35">
        <f t="shared" si="32"/>
        <v>30</v>
      </c>
      <c r="BI25" s="34">
        <f t="shared" si="33"/>
        <v>19771.5</v>
      </c>
      <c r="BJ25" s="34">
        <f t="shared" si="34"/>
        <v>1977.15</v>
      </c>
      <c r="BK25" s="34">
        <f t="shared" si="35"/>
        <v>21748.65</v>
      </c>
      <c r="BL25" s="15"/>
      <c r="BM25" s="35">
        <f t="shared" si="36"/>
        <v>31</v>
      </c>
      <c r="BN25" s="34">
        <f t="shared" si="37"/>
        <v>20430.55</v>
      </c>
      <c r="BO25" s="34">
        <f t="shared" si="38"/>
        <v>2043.06</v>
      </c>
      <c r="BP25" s="34">
        <f t="shared" si="39"/>
        <v>22473.61</v>
      </c>
      <c r="BQ25" s="15"/>
      <c r="BR25" s="35">
        <f t="shared" si="40"/>
        <v>30</v>
      </c>
      <c r="BS25" s="34">
        <f t="shared" si="41"/>
        <v>19771.5</v>
      </c>
      <c r="BT25" s="34">
        <f t="shared" si="42"/>
        <v>1977.15</v>
      </c>
      <c r="BU25" s="34">
        <f t="shared" si="43"/>
        <v>21748.65</v>
      </c>
      <c r="BV25" s="15"/>
      <c r="BW25" s="35">
        <f t="shared" si="44"/>
        <v>29</v>
      </c>
      <c r="BX25" s="34">
        <f t="shared" si="45"/>
        <v>19112.45</v>
      </c>
      <c r="BY25" s="34">
        <f t="shared" si="46"/>
        <v>1911.25</v>
      </c>
      <c r="BZ25" s="34">
        <f t="shared" si="47"/>
        <v>21023.7</v>
      </c>
      <c r="CA25" s="35">
        <f t="shared" si="48"/>
        <v>163</v>
      </c>
      <c r="CB25" s="34">
        <f t="shared" si="49"/>
        <v>107425.15</v>
      </c>
      <c r="CC25" s="34">
        <f t="shared" si="50"/>
        <v>10742.529999999999</v>
      </c>
      <c r="CD25" s="34">
        <f t="shared" si="51"/>
        <v>118167.67999999999</v>
      </c>
      <c r="CE25" s="16">
        <f t="shared" si="52"/>
        <v>0</v>
      </c>
      <c r="CF25" s="16">
        <f t="shared" si="53"/>
        <v>-0.01</v>
      </c>
      <c r="CG25" s="31" t="s">
        <v>136</v>
      </c>
      <c r="CH25" s="31" t="s">
        <v>137</v>
      </c>
      <c r="CI25" s="31" t="s">
        <v>49</v>
      </c>
      <c r="CJ25" s="31" t="s">
        <v>138</v>
      </c>
      <c r="CK25" s="31" t="s">
        <v>137</v>
      </c>
      <c r="CL25" s="31" t="s">
        <v>844</v>
      </c>
      <c r="CM25" s="29">
        <v>46220</v>
      </c>
      <c r="CN25" s="31" t="s">
        <v>138</v>
      </c>
      <c r="CO25" s="28"/>
      <c r="CP25" s="28"/>
    </row>
    <row r="26" spans="1:94" ht="40.049999999999997" customHeight="1" x14ac:dyDescent="0.25">
      <c r="A26" s="62">
        <v>25</v>
      </c>
      <c r="B26" s="63">
        <v>51</v>
      </c>
      <c r="C26" s="1" t="s">
        <v>129</v>
      </c>
      <c r="D26" s="2" t="s">
        <v>130</v>
      </c>
      <c r="E26" s="2" t="s">
        <v>142</v>
      </c>
      <c r="F26" s="1" t="s">
        <v>151</v>
      </c>
      <c r="G26" s="2" t="s">
        <v>152</v>
      </c>
      <c r="H26" s="64">
        <v>7.2</v>
      </c>
      <c r="I26" s="1" t="s">
        <v>46</v>
      </c>
      <c r="J26" s="3">
        <v>735</v>
      </c>
      <c r="K26" s="1">
        <v>240</v>
      </c>
      <c r="L26" s="4">
        <v>42336</v>
      </c>
      <c r="M26" s="4">
        <v>4234</v>
      </c>
      <c r="N26" s="4">
        <v>46570</v>
      </c>
      <c r="O26" s="15" t="s">
        <v>153</v>
      </c>
      <c r="P26" s="31" t="s">
        <v>154</v>
      </c>
      <c r="Q26" s="35">
        <f t="shared" si="54"/>
        <v>240</v>
      </c>
      <c r="R26" s="14">
        <v>46146</v>
      </c>
      <c r="S26" s="14">
        <f t="shared" si="1"/>
        <v>46385</v>
      </c>
      <c r="T26" s="34">
        <v>42336</v>
      </c>
      <c r="U26" s="34">
        <f t="shared" si="2"/>
        <v>4233.6000000000004</v>
      </c>
      <c r="V26" s="34">
        <f t="shared" si="3"/>
        <v>46569.599999999999</v>
      </c>
      <c r="W26" s="35"/>
      <c r="X26" s="14">
        <f t="shared" si="4"/>
        <v>46146</v>
      </c>
      <c r="Y26" s="14" t="str">
        <f t="shared" si="5"/>
        <v/>
      </c>
      <c r="Z26" s="34"/>
      <c r="AA26" s="34">
        <f t="shared" si="6"/>
        <v>0</v>
      </c>
      <c r="AB26" s="34">
        <f t="shared" si="7"/>
        <v>0</v>
      </c>
      <c r="AC26" s="15"/>
      <c r="AD26" s="35">
        <f t="shared" si="8"/>
        <v>0</v>
      </c>
      <c r="AE26" s="34">
        <f t="shared" si="9"/>
        <v>0</v>
      </c>
      <c r="AF26" s="34">
        <f t="shared" si="10"/>
        <v>0</v>
      </c>
      <c r="AG26" s="34">
        <f t="shared" si="11"/>
        <v>0</v>
      </c>
      <c r="AH26" s="15"/>
      <c r="AI26" s="35">
        <f t="shared" si="12"/>
        <v>0</v>
      </c>
      <c r="AJ26" s="34">
        <f t="shared" si="13"/>
        <v>0</v>
      </c>
      <c r="AK26" s="34">
        <f t="shared" si="14"/>
        <v>0</v>
      </c>
      <c r="AL26" s="34">
        <f t="shared" si="15"/>
        <v>0</v>
      </c>
      <c r="AM26" s="15"/>
      <c r="AN26" s="35">
        <f t="shared" si="16"/>
        <v>28</v>
      </c>
      <c r="AO26" s="34">
        <f t="shared" si="55"/>
        <v>4939.2</v>
      </c>
      <c r="AP26" s="34">
        <f t="shared" si="18"/>
        <v>493.92</v>
      </c>
      <c r="AQ26" s="34">
        <f t="shared" si="19"/>
        <v>5433.12</v>
      </c>
      <c r="AR26" s="15"/>
      <c r="AS26" s="35">
        <f t="shared" si="20"/>
        <v>30</v>
      </c>
      <c r="AT26" s="34">
        <f t="shared" si="56"/>
        <v>5292</v>
      </c>
      <c r="AU26" s="34">
        <f t="shared" si="22"/>
        <v>529.20000000000005</v>
      </c>
      <c r="AV26" s="34">
        <f t="shared" si="23"/>
        <v>5821.2</v>
      </c>
      <c r="AW26" s="15"/>
      <c r="AX26" s="35">
        <f t="shared" si="24"/>
        <v>31</v>
      </c>
      <c r="AY26" s="34">
        <f t="shared" si="25"/>
        <v>5468.4</v>
      </c>
      <c r="AZ26" s="34">
        <f t="shared" si="26"/>
        <v>546.84</v>
      </c>
      <c r="BA26" s="34">
        <f t="shared" si="27"/>
        <v>6015.24</v>
      </c>
      <c r="BB26" s="15"/>
      <c r="BC26" s="35">
        <f t="shared" si="28"/>
        <v>31</v>
      </c>
      <c r="BD26" s="34">
        <f t="shared" si="29"/>
        <v>5468.4</v>
      </c>
      <c r="BE26" s="34">
        <f t="shared" si="30"/>
        <v>546.84</v>
      </c>
      <c r="BF26" s="34">
        <f t="shared" si="31"/>
        <v>6015.24</v>
      </c>
      <c r="BG26" s="15"/>
      <c r="BH26" s="35">
        <f t="shared" si="32"/>
        <v>30</v>
      </c>
      <c r="BI26" s="34">
        <f t="shared" si="33"/>
        <v>5292</v>
      </c>
      <c r="BJ26" s="34">
        <f t="shared" si="34"/>
        <v>529.20000000000005</v>
      </c>
      <c r="BK26" s="34">
        <f t="shared" si="35"/>
        <v>5821.2</v>
      </c>
      <c r="BL26" s="15"/>
      <c r="BM26" s="35">
        <f t="shared" si="36"/>
        <v>31</v>
      </c>
      <c r="BN26" s="34">
        <f t="shared" si="37"/>
        <v>5468.4</v>
      </c>
      <c r="BO26" s="34">
        <f t="shared" si="38"/>
        <v>546.84</v>
      </c>
      <c r="BP26" s="34">
        <f t="shared" si="39"/>
        <v>6015.24</v>
      </c>
      <c r="BQ26" s="15"/>
      <c r="BR26" s="35">
        <f t="shared" si="40"/>
        <v>30</v>
      </c>
      <c r="BS26" s="34">
        <f t="shared" si="41"/>
        <v>5292</v>
      </c>
      <c r="BT26" s="34">
        <f t="shared" si="42"/>
        <v>529.20000000000005</v>
      </c>
      <c r="BU26" s="34">
        <f t="shared" si="43"/>
        <v>5821.2</v>
      </c>
      <c r="BV26" s="15"/>
      <c r="BW26" s="35">
        <f t="shared" si="44"/>
        <v>29</v>
      </c>
      <c r="BX26" s="34">
        <f t="shared" si="45"/>
        <v>5115.6000000000004</v>
      </c>
      <c r="BY26" s="34">
        <f t="shared" si="46"/>
        <v>511.56</v>
      </c>
      <c r="BZ26" s="34">
        <f t="shared" si="47"/>
        <v>5627.1600000000008</v>
      </c>
      <c r="CA26" s="35">
        <f t="shared" si="48"/>
        <v>240</v>
      </c>
      <c r="CB26" s="34">
        <f t="shared" si="49"/>
        <v>42336</v>
      </c>
      <c r="CC26" s="34">
        <f t="shared" si="50"/>
        <v>4233.6000000000004</v>
      </c>
      <c r="CD26" s="34">
        <f t="shared" si="51"/>
        <v>46569.599999999999</v>
      </c>
      <c r="CE26" s="16">
        <f t="shared" si="52"/>
        <v>0</v>
      </c>
      <c r="CF26" s="16">
        <f t="shared" si="53"/>
        <v>0</v>
      </c>
      <c r="CG26" s="31" t="s">
        <v>136</v>
      </c>
      <c r="CH26" s="31" t="s">
        <v>137</v>
      </c>
      <c r="CI26" s="31" t="s">
        <v>49</v>
      </c>
      <c r="CJ26" s="31" t="s">
        <v>138</v>
      </c>
      <c r="CK26" s="31" t="s">
        <v>137</v>
      </c>
      <c r="CL26" s="31" t="s">
        <v>155</v>
      </c>
      <c r="CM26" s="29">
        <v>46142</v>
      </c>
      <c r="CN26" s="28" t="s">
        <v>138</v>
      </c>
      <c r="CO26" s="28"/>
      <c r="CP26" s="28"/>
    </row>
    <row r="27" spans="1:94" ht="40.049999999999997" customHeight="1" thickBot="1" x14ac:dyDescent="0.3">
      <c r="A27" s="65">
        <v>26</v>
      </c>
      <c r="B27" s="66">
        <v>51</v>
      </c>
      <c r="C27" s="46" t="s">
        <v>129</v>
      </c>
      <c r="D27" s="47" t="s">
        <v>130</v>
      </c>
      <c r="E27" s="47" t="s">
        <v>130</v>
      </c>
      <c r="F27" s="46" t="s">
        <v>156</v>
      </c>
      <c r="G27" s="47" t="s">
        <v>157</v>
      </c>
      <c r="H27" s="67">
        <v>6.5170000000000003</v>
      </c>
      <c r="I27" s="46" t="s">
        <v>46</v>
      </c>
      <c r="J27" s="48">
        <v>735</v>
      </c>
      <c r="K27" s="46">
        <v>240</v>
      </c>
      <c r="L27" s="49">
        <v>38320</v>
      </c>
      <c r="M27" s="49">
        <v>3832</v>
      </c>
      <c r="N27" s="49">
        <v>42152</v>
      </c>
      <c r="O27" s="51" t="s">
        <v>158</v>
      </c>
      <c r="P27" s="53" t="s">
        <v>154</v>
      </c>
      <c r="Q27" s="60">
        <f t="shared" si="54"/>
        <v>240</v>
      </c>
      <c r="R27" s="50">
        <v>46146</v>
      </c>
      <c r="S27" s="50">
        <f t="shared" si="1"/>
        <v>46385</v>
      </c>
      <c r="T27" s="58">
        <v>38320</v>
      </c>
      <c r="U27" s="58">
        <f t="shared" si="2"/>
        <v>3832</v>
      </c>
      <c r="V27" s="58">
        <f t="shared" si="3"/>
        <v>42152</v>
      </c>
      <c r="W27" s="60"/>
      <c r="X27" s="50">
        <f t="shared" si="4"/>
        <v>46146</v>
      </c>
      <c r="Y27" s="50" t="str">
        <f t="shared" si="5"/>
        <v/>
      </c>
      <c r="Z27" s="58"/>
      <c r="AA27" s="58">
        <f t="shared" si="6"/>
        <v>0</v>
      </c>
      <c r="AB27" s="58">
        <f t="shared" si="7"/>
        <v>0</v>
      </c>
      <c r="AC27" s="51"/>
      <c r="AD27" s="60">
        <f t="shared" si="8"/>
        <v>0</v>
      </c>
      <c r="AE27" s="58">
        <f t="shared" si="9"/>
        <v>0</v>
      </c>
      <c r="AF27" s="58">
        <f t="shared" si="10"/>
        <v>0</v>
      </c>
      <c r="AG27" s="58">
        <f t="shared" si="11"/>
        <v>0</v>
      </c>
      <c r="AH27" s="51"/>
      <c r="AI27" s="60">
        <f t="shared" si="12"/>
        <v>0</v>
      </c>
      <c r="AJ27" s="58">
        <f t="shared" si="13"/>
        <v>0</v>
      </c>
      <c r="AK27" s="58">
        <f t="shared" si="14"/>
        <v>0</v>
      </c>
      <c r="AL27" s="58">
        <f t="shared" si="15"/>
        <v>0</v>
      </c>
      <c r="AM27" s="51"/>
      <c r="AN27" s="60">
        <f t="shared" si="16"/>
        <v>28</v>
      </c>
      <c r="AO27" s="58">
        <f t="shared" si="55"/>
        <v>4470.67</v>
      </c>
      <c r="AP27" s="58">
        <f t="shared" si="18"/>
        <v>447.07</v>
      </c>
      <c r="AQ27" s="58">
        <f t="shared" si="19"/>
        <v>4917.74</v>
      </c>
      <c r="AR27" s="51"/>
      <c r="AS27" s="60">
        <f t="shared" si="20"/>
        <v>30</v>
      </c>
      <c r="AT27" s="58">
        <f t="shared" si="56"/>
        <v>4790</v>
      </c>
      <c r="AU27" s="58">
        <f t="shared" si="22"/>
        <v>479</v>
      </c>
      <c r="AV27" s="58">
        <f t="shared" si="23"/>
        <v>5269</v>
      </c>
      <c r="AW27" s="51"/>
      <c r="AX27" s="60">
        <f t="shared" si="24"/>
        <v>31</v>
      </c>
      <c r="AY27" s="58">
        <f t="shared" si="25"/>
        <v>4949.67</v>
      </c>
      <c r="AZ27" s="58">
        <f t="shared" si="26"/>
        <v>494.97</v>
      </c>
      <c r="BA27" s="58">
        <f t="shared" si="27"/>
        <v>5444.64</v>
      </c>
      <c r="BB27" s="51"/>
      <c r="BC27" s="60">
        <f t="shared" si="28"/>
        <v>31</v>
      </c>
      <c r="BD27" s="58">
        <f t="shared" si="29"/>
        <v>4949.67</v>
      </c>
      <c r="BE27" s="58">
        <f t="shared" si="30"/>
        <v>494.97</v>
      </c>
      <c r="BF27" s="58">
        <f t="shared" si="31"/>
        <v>5444.64</v>
      </c>
      <c r="BG27" s="51"/>
      <c r="BH27" s="60">
        <f t="shared" si="32"/>
        <v>30</v>
      </c>
      <c r="BI27" s="58">
        <f t="shared" si="33"/>
        <v>4790</v>
      </c>
      <c r="BJ27" s="58">
        <f t="shared" si="34"/>
        <v>479</v>
      </c>
      <c r="BK27" s="58">
        <f t="shared" si="35"/>
        <v>5269</v>
      </c>
      <c r="BL27" s="51"/>
      <c r="BM27" s="60">
        <f t="shared" si="36"/>
        <v>31</v>
      </c>
      <c r="BN27" s="58">
        <f t="shared" si="37"/>
        <v>4949.67</v>
      </c>
      <c r="BO27" s="58">
        <f t="shared" si="38"/>
        <v>494.97</v>
      </c>
      <c r="BP27" s="58">
        <f t="shared" si="39"/>
        <v>5444.64</v>
      </c>
      <c r="BQ27" s="51"/>
      <c r="BR27" s="60">
        <f t="shared" si="40"/>
        <v>30</v>
      </c>
      <c r="BS27" s="58">
        <f t="shared" si="41"/>
        <v>4790</v>
      </c>
      <c r="BT27" s="58">
        <f t="shared" si="42"/>
        <v>479</v>
      </c>
      <c r="BU27" s="58">
        <f t="shared" si="43"/>
        <v>5269</v>
      </c>
      <c r="BV27" s="51"/>
      <c r="BW27" s="60">
        <f t="shared" si="44"/>
        <v>29</v>
      </c>
      <c r="BX27" s="58">
        <f t="shared" si="45"/>
        <v>4630.33</v>
      </c>
      <c r="BY27" s="58">
        <f t="shared" si="46"/>
        <v>463.03</v>
      </c>
      <c r="BZ27" s="58">
        <f t="shared" si="47"/>
        <v>5093.3599999999997</v>
      </c>
      <c r="CA27" s="60">
        <f t="shared" si="48"/>
        <v>240</v>
      </c>
      <c r="CB27" s="58">
        <f t="shared" si="49"/>
        <v>38320.01</v>
      </c>
      <c r="CC27" s="58">
        <f t="shared" si="50"/>
        <v>3832.01</v>
      </c>
      <c r="CD27" s="58">
        <f t="shared" si="51"/>
        <v>42152.020000000004</v>
      </c>
      <c r="CE27" s="52">
        <f t="shared" si="52"/>
        <v>-0.01</v>
      </c>
      <c r="CF27" s="52">
        <f t="shared" si="53"/>
        <v>-0.01</v>
      </c>
      <c r="CG27" s="53" t="s">
        <v>136</v>
      </c>
      <c r="CH27" s="53" t="s">
        <v>137</v>
      </c>
      <c r="CI27" s="53" t="s">
        <v>49</v>
      </c>
      <c r="CJ27" s="53" t="s">
        <v>138</v>
      </c>
      <c r="CK27" s="53" t="s">
        <v>137</v>
      </c>
      <c r="CL27" s="53" t="s">
        <v>155</v>
      </c>
      <c r="CM27" s="54">
        <v>46142</v>
      </c>
      <c r="CN27" s="55" t="s">
        <v>138</v>
      </c>
      <c r="CO27" s="55"/>
      <c r="CP27" s="55"/>
    </row>
    <row r="28" spans="1:94" ht="40.049999999999997" customHeight="1" thickTop="1" x14ac:dyDescent="0.25">
      <c r="A28" s="68">
        <v>27</v>
      </c>
      <c r="B28" s="69">
        <v>52</v>
      </c>
      <c r="C28" s="36" t="s">
        <v>129</v>
      </c>
      <c r="D28" s="37" t="s">
        <v>159</v>
      </c>
      <c r="E28" s="37" t="s">
        <v>160</v>
      </c>
      <c r="F28" s="36" t="s">
        <v>161</v>
      </c>
      <c r="G28" s="37" t="s">
        <v>162</v>
      </c>
      <c r="H28" s="70">
        <v>3.5409999999999999</v>
      </c>
      <c r="I28" s="36" t="s">
        <v>46</v>
      </c>
      <c r="J28" s="38">
        <v>735</v>
      </c>
      <c r="K28" s="36">
        <v>250</v>
      </c>
      <c r="L28" s="39">
        <v>21688</v>
      </c>
      <c r="M28" s="39">
        <v>2170</v>
      </c>
      <c r="N28" s="39">
        <v>23858</v>
      </c>
      <c r="O28" s="41" t="s">
        <v>163</v>
      </c>
      <c r="P28" s="43" t="s">
        <v>72</v>
      </c>
      <c r="Q28" s="61">
        <f t="shared" si="54"/>
        <v>250</v>
      </c>
      <c r="R28" s="40">
        <v>46099</v>
      </c>
      <c r="S28" s="40">
        <f t="shared" si="1"/>
        <v>46348</v>
      </c>
      <c r="T28" s="56">
        <v>21688</v>
      </c>
      <c r="U28" s="56">
        <f t="shared" si="2"/>
        <v>2168.8000000000002</v>
      </c>
      <c r="V28" s="56">
        <f t="shared" si="3"/>
        <v>23856.799999999999</v>
      </c>
      <c r="W28" s="61"/>
      <c r="X28" s="40">
        <f t="shared" si="4"/>
        <v>46099</v>
      </c>
      <c r="Y28" s="40" t="str">
        <f t="shared" si="5"/>
        <v/>
      </c>
      <c r="Z28" s="56"/>
      <c r="AA28" s="56">
        <f t="shared" si="6"/>
        <v>0</v>
      </c>
      <c r="AB28" s="56">
        <f t="shared" si="7"/>
        <v>0</v>
      </c>
      <c r="AC28" s="41"/>
      <c r="AD28" s="61">
        <f t="shared" si="8"/>
        <v>14</v>
      </c>
      <c r="AE28" s="56">
        <f t="shared" si="9"/>
        <v>1214.53</v>
      </c>
      <c r="AF28" s="56">
        <f t="shared" si="10"/>
        <v>121.45</v>
      </c>
      <c r="AG28" s="56">
        <f t="shared" si="11"/>
        <v>1335.98</v>
      </c>
      <c r="AH28" s="41"/>
      <c r="AI28" s="61">
        <f t="shared" si="12"/>
        <v>30</v>
      </c>
      <c r="AJ28" s="56">
        <f t="shared" si="13"/>
        <v>2602.56</v>
      </c>
      <c r="AK28" s="56">
        <f t="shared" si="14"/>
        <v>260.26</v>
      </c>
      <c r="AL28" s="56">
        <f t="shared" si="15"/>
        <v>2862.8199999999997</v>
      </c>
      <c r="AM28" s="41"/>
      <c r="AN28" s="61">
        <f t="shared" si="16"/>
        <v>31</v>
      </c>
      <c r="AO28" s="56">
        <f t="shared" si="55"/>
        <v>2689.31</v>
      </c>
      <c r="AP28" s="56">
        <f t="shared" si="18"/>
        <v>268.93</v>
      </c>
      <c r="AQ28" s="56">
        <f t="shared" si="19"/>
        <v>2958.24</v>
      </c>
      <c r="AR28" s="41"/>
      <c r="AS28" s="61">
        <f t="shared" si="20"/>
        <v>30</v>
      </c>
      <c r="AT28" s="56">
        <f t="shared" si="56"/>
        <v>2602.56</v>
      </c>
      <c r="AU28" s="56">
        <f t="shared" si="22"/>
        <v>260.26</v>
      </c>
      <c r="AV28" s="56">
        <f t="shared" si="23"/>
        <v>2862.8199999999997</v>
      </c>
      <c r="AW28" s="41"/>
      <c r="AX28" s="61">
        <f t="shared" si="24"/>
        <v>31</v>
      </c>
      <c r="AY28" s="56">
        <f t="shared" si="25"/>
        <v>2689.31</v>
      </c>
      <c r="AZ28" s="56">
        <f t="shared" si="26"/>
        <v>268.93</v>
      </c>
      <c r="BA28" s="56">
        <f t="shared" si="27"/>
        <v>2958.24</v>
      </c>
      <c r="BB28" s="41"/>
      <c r="BC28" s="61">
        <f t="shared" si="28"/>
        <v>31</v>
      </c>
      <c r="BD28" s="56">
        <f t="shared" si="29"/>
        <v>2689.31</v>
      </c>
      <c r="BE28" s="56">
        <f t="shared" si="30"/>
        <v>268.93</v>
      </c>
      <c r="BF28" s="56">
        <f t="shared" si="31"/>
        <v>2958.24</v>
      </c>
      <c r="BG28" s="41"/>
      <c r="BH28" s="61">
        <f t="shared" si="32"/>
        <v>30</v>
      </c>
      <c r="BI28" s="56">
        <f t="shared" si="33"/>
        <v>2602.56</v>
      </c>
      <c r="BJ28" s="56">
        <f t="shared" si="34"/>
        <v>260.26</v>
      </c>
      <c r="BK28" s="56">
        <f t="shared" si="35"/>
        <v>2862.8199999999997</v>
      </c>
      <c r="BL28" s="41"/>
      <c r="BM28" s="61">
        <f t="shared" si="36"/>
        <v>31</v>
      </c>
      <c r="BN28" s="56">
        <f t="shared" si="37"/>
        <v>2689.31</v>
      </c>
      <c r="BO28" s="56">
        <f t="shared" si="38"/>
        <v>268.93</v>
      </c>
      <c r="BP28" s="56">
        <f t="shared" si="39"/>
        <v>2958.24</v>
      </c>
      <c r="BQ28" s="41"/>
      <c r="BR28" s="61">
        <f t="shared" si="40"/>
        <v>22</v>
      </c>
      <c r="BS28" s="56">
        <f t="shared" si="41"/>
        <v>1908.54</v>
      </c>
      <c r="BT28" s="56">
        <f t="shared" si="42"/>
        <v>190.85</v>
      </c>
      <c r="BU28" s="56">
        <f t="shared" si="43"/>
        <v>2099.39</v>
      </c>
      <c r="BV28" s="41"/>
      <c r="BW28" s="61">
        <f t="shared" si="44"/>
        <v>0</v>
      </c>
      <c r="BX28" s="56">
        <f t="shared" si="45"/>
        <v>0</v>
      </c>
      <c r="BY28" s="56">
        <f t="shared" si="46"/>
        <v>0</v>
      </c>
      <c r="BZ28" s="56">
        <f t="shared" si="47"/>
        <v>0</v>
      </c>
      <c r="CA28" s="61">
        <f t="shared" si="48"/>
        <v>250</v>
      </c>
      <c r="CB28" s="56">
        <f t="shared" si="49"/>
        <v>21687.99</v>
      </c>
      <c r="CC28" s="56">
        <f t="shared" si="50"/>
        <v>2168.8000000000002</v>
      </c>
      <c r="CD28" s="56">
        <f t="shared" si="51"/>
        <v>23856.79</v>
      </c>
      <c r="CE28" s="42">
        <f t="shared" si="52"/>
        <v>0.01</v>
      </c>
      <c r="CF28" s="42">
        <f t="shared" si="53"/>
        <v>0</v>
      </c>
      <c r="CG28" s="43" t="s">
        <v>164</v>
      </c>
      <c r="CH28" s="43" t="s">
        <v>165</v>
      </c>
      <c r="CI28" s="43" t="s">
        <v>49</v>
      </c>
      <c r="CJ28" s="43" t="s">
        <v>166</v>
      </c>
      <c r="CK28" s="43" t="s">
        <v>165</v>
      </c>
      <c r="CL28" s="43" t="s">
        <v>167</v>
      </c>
      <c r="CM28" s="44">
        <v>46098</v>
      </c>
      <c r="CN28" s="45" t="s">
        <v>166</v>
      </c>
      <c r="CO28" s="45"/>
      <c r="CP28" s="45"/>
    </row>
    <row r="29" spans="1:94" ht="40.049999999999997" customHeight="1" x14ac:dyDescent="0.25">
      <c r="A29" s="62">
        <v>28</v>
      </c>
      <c r="B29" s="63">
        <v>52</v>
      </c>
      <c r="C29" s="1" t="s">
        <v>129</v>
      </c>
      <c r="D29" s="2" t="s">
        <v>159</v>
      </c>
      <c r="E29" s="2" t="s">
        <v>160</v>
      </c>
      <c r="F29" s="1" t="s">
        <v>168</v>
      </c>
      <c r="G29" s="2" t="s">
        <v>169</v>
      </c>
      <c r="H29" s="64">
        <v>2.984</v>
      </c>
      <c r="I29" s="1" t="s">
        <v>46</v>
      </c>
      <c r="J29" s="3">
        <v>735</v>
      </c>
      <c r="K29" s="1">
        <v>263</v>
      </c>
      <c r="L29" s="4">
        <v>19227</v>
      </c>
      <c r="M29" s="4">
        <v>1924</v>
      </c>
      <c r="N29" s="4">
        <v>21151</v>
      </c>
      <c r="O29" s="15" t="s">
        <v>170</v>
      </c>
      <c r="P29" s="31" t="s">
        <v>171</v>
      </c>
      <c r="Q29" s="35">
        <f t="shared" si="54"/>
        <v>263</v>
      </c>
      <c r="R29" s="14">
        <v>46099</v>
      </c>
      <c r="S29" s="14">
        <f t="shared" si="1"/>
        <v>46361</v>
      </c>
      <c r="T29" s="34">
        <v>19227</v>
      </c>
      <c r="U29" s="34">
        <f t="shared" si="2"/>
        <v>1922.7</v>
      </c>
      <c r="V29" s="34">
        <f t="shared" si="3"/>
        <v>21149.7</v>
      </c>
      <c r="W29" s="35"/>
      <c r="X29" s="14">
        <f t="shared" si="4"/>
        <v>46099</v>
      </c>
      <c r="Y29" s="14" t="str">
        <f t="shared" si="5"/>
        <v/>
      </c>
      <c r="Z29" s="34"/>
      <c r="AA29" s="34">
        <f t="shared" si="6"/>
        <v>0</v>
      </c>
      <c r="AB29" s="34">
        <f t="shared" si="7"/>
        <v>0</v>
      </c>
      <c r="AC29" s="15"/>
      <c r="AD29" s="35">
        <f t="shared" si="8"/>
        <v>14</v>
      </c>
      <c r="AE29" s="34">
        <f t="shared" si="9"/>
        <v>1023.49</v>
      </c>
      <c r="AF29" s="34">
        <f t="shared" si="10"/>
        <v>102.35</v>
      </c>
      <c r="AG29" s="34">
        <f t="shared" si="11"/>
        <v>1125.8399999999999</v>
      </c>
      <c r="AH29" s="15"/>
      <c r="AI29" s="35">
        <f t="shared" si="12"/>
        <v>30</v>
      </c>
      <c r="AJ29" s="34">
        <f t="shared" si="13"/>
        <v>2193.19</v>
      </c>
      <c r="AK29" s="34">
        <f t="shared" si="14"/>
        <v>219.32</v>
      </c>
      <c r="AL29" s="34">
        <f t="shared" si="15"/>
        <v>2412.5100000000002</v>
      </c>
      <c r="AM29" s="15"/>
      <c r="AN29" s="35">
        <f t="shared" si="16"/>
        <v>31</v>
      </c>
      <c r="AO29" s="34">
        <f t="shared" si="55"/>
        <v>2266.3000000000002</v>
      </c>
      <c r="AP29" s="34">
        <f t="shared" si="18"/>
        <v>226.63</v>
      </c>
      <c r="AQ29" s="34">
        <f t="shared" si="19"/>
        <v>2492.9300000000003</v>
      </c>
      <c r="AR29" s="15"/>
      <c r="AS29" s="35">
        <f t="shared" si="20"/>
        <v>30</v>
      </c>
      <c r="AT29" s="34">
        <f t="shared" si="56"/>
        <v>2193.19</v>
      </c>
      <c r="AU29" s="34">
        <f t="shared" si="22"/>
        <v>219.32</v>
      </c>
      <c r="AV29" s="34">
        <f t="shared" si="23"/>
        <v>2412.5100000000002</v>
      </c>
      <c r="AW29" s="15"/>
      <c r="AX29" s="35">
        <f t="shared" si="24"/>
        <v>31</v>
      </c>
      <c r="AY29" s="34">
        <f t="shared" si="25"/>
        <v>2266.3000000000002</v>
      </c>
      <c r="AZ29" s="34">
        <f t="shared" si="26"/>
        <v>226.63</v>
      </c>
      <c r="BA29" s="34">
        <f t="shared" si="27"/>
        <v>2492.9300000000003</v>
      </c>
      <c r="BB29" s="15"/>
      <c r="BC29" s="35">
        <f t="shared" si="28"/>
        <v>31</v>
      </c>
      <c r="BD29" s="34">
        <f t="shared" si="29"/>
        <v>2266.3000000000002</v>
      </c>
      <c r="BE29" s="34">
        <f t="shared" si="30"/>
        <v>226.63</v>
      </c>
      <c r="BF29" s="34">
        <f t="shared" si="31"/>
        <v>2492.9300000000003</v>
      </c>
      <c r="BG29" s="15"/>
      <c r="BH29" s="35">
        <f t="shared" si="32"/>
        <v>30</v>
      </c>
      <c r="BI29" s="34">
        <f t="shared" si="33"/>
        <v>2193.19</v>
      </c>
      <c r="BJ29" s="34">
        <f t="shared" si="34"/>
        <v>219.32</v>
      </c>
      <c r="BK29" s="34">
        <f t="shared" si="35"/>
        <v>2412.5100000000002</v>
      </c>
      <c r="BL29" s="15"/>
      <c r="BM29" s="35">
        <f t="shared" si="36"/>
        <v>31</v>
      </c>
      <c r="BN29" s="34">
        <f t="shared" si="37"/>
        <v>2266.3000000000002</v>
      </c>
      <c r="BO29" s="34">
        <f t="shared" si="38"/>
        <v>226.63</v>
      </c>
      <c r="BP29" s="34">
        <f t="shared" si="39"/>
        <v>2492.9300000000003</v>
      </c>
      <c r="BQ29" s="15"/>
      <c r="BR29" s="35">
        <f t="shared" si="40"/>
        <v>30</v>
      </c>
      <c r="BS29" s="34">
        <f t="shared" si="41"/>
        <v>2193.19</v>
      </c>
      <c r="BT29" s="34">
        <f t="shared" si="42"/>
        <v>219.32</v>
      </c>
      <c r="BU29" s="34">
        <f t="shared" si="43"/>
        <v>2412.5100000000002</v>
      </c>
      <c r="BV29" s="15"/>
      <c r="BW29" s="35">
        <f t="shared" si="44"/>
        <v>5</v>
      </c>
      <c r="BX29" s="34">
        <f t="shared" si="45"/>
        <v>365.53</v>
      </c>
      <c r="BY29" s="34">
        <f t="shared" si="46"/>
        <v>36.549999999999997</v>
      </c>
      <c r="BZ29" s="34">
        <f t="shared" si="47"/>
        <v>402.08</v>
      </c>
      <c r="CA29" s="35">
        <f t="shared" si="48"/>
        <v>263</v>
      </c>
      <c r="CB29" s="34">
        <f t="shared" si="49"/>
        <v>19226.98</v>
      </c>
      <c r="CC29" s="34">
        <f t="shared" si="50"/>
        <v>1922.6999999999998</v>
      </c>
      <c r="CD29" s="34">
        <f t="shared" si="51"/>
        <v>21149.68</v>
      </c>
      <c r="CE29" s="16">
        <f t="shared" si="52"/>
        <v>0.02</v>
      </c>
      <c r="CF29" s="16">
        <f t="shared" si="53"/>
        <v>0</v>
      </c>
      <c r="CG29" s="31" t="s">
        <v>164</v>
      </c>
      <c r="CH29" s="31" t="s">
        <v>165</v>
      </c>
      <c r="CI29" s="31" t="s">
        <v>49</v>
      </c>
      <c r="CJ29" s="31" t="s">
        <v>166</v>
      </c>
      <c r="CK29" s="31" t="s">
        <v>165</v>
      </c>
      <c r="CL29" s="31" t="s">
        <v>167</v>
      </c>
      <c r="CM29" s="29">
        <v>46098</v>
      </c>
      <c r="CN29" s="28" t="s">
        <v>166</v>
      </c>
      <c r="CO29" s="28"/>
      <c r="CP29" s="28"/>
    </row>
    <row r="30" spans="1:94" ht="40.049999999999997" customHeight="1" x14ac:dyDescent="0.25">
      <c r="A30" s="62">
        <v>29</v>
      </c>
      <c r="B30" s="63">
        <v>52</v>
      </c>
      <c r="C30" s="1" t="s">
        <v>129</v>
      </c>
      <c r="D30" s="2" t="s">
        <v>159</v>
      </c>
      <c r="E30" s="2" t="s">
        <v>172</v>
      </c>
      <c r="F30" s="1" t="s">
        <v>173</v>
      </c>
      <c r="G30" s="2" t="s">
        <v>174</v>
      </c>
      <c r="H30" s="64">
        <v>8.2029999999999994</v>
      </c>
      <c r="I30" s="1" t="s">
        <v>46</v>
      </c>
      <c r="J30" s="3">
        <v>735</v>
      </c>
      <c r="K30" s="1">
        <v>270</v>
      </c>
      <c r="L30" s="4">
        <v>54262</v>
      </c>
      <c r="M30" s="4">
        <v>5427</v>
      </c>
      <c r="N30" s="4">
        <v>59689</v>
      </c>
      <c r="O30" s="15" t="s">
        <v>175</v>
      </c>
      <c r="P30" s="31" t="s">
        <v>72</v>
      </c>
      <c r="Q30" s="35">
        <f t="shared" si="54"/>
        <v>270</v>
      </c>
      <c r="R30" s="14">
        <v>46167</v>
      </c>
      <c r="S30" s="14">
        <f t="shared" si="1"/>
        <v>46436</v>
      </c>
      <c r="T30" s="34">
        <v>54262</v>
      </c>
      <c r="U30" s="34">
        <f t="shared" si="2"/>
        <v>5426.2</v>
      </c>
      <c r="V30" s="34">
        <f t="shared" si="3"/>
        <v>59688.2</v>
      </c>
      <c r="W30" s="35">
        <v>213</v>
      </c>
      <c r="X30" s="14">
        <f t="shared" si="4"/>
        <v>46167</v>
      </c>
      <c r="Y30" s="14">
        <f t="shared" si="5"/>
        <v>46379</v>
      </c>
      <c r="Z30" s="34">
        <v>42806.69</v>
      </c>
      <c r="AA30" s="34">
        <f t="shared" si="6"/>
        <v>4280.67</v>
      </c>
      <c r="AB30" s="34">
        <f t="shared" si="7"/>
        <v>47087.360000000001</v>
      </c>
      <c r="AC30" s="15"/>
      <c r="AD30" s="35">
        <f t="shared" si="8"/>
        <v>0</v>
      </c>
      <c r="AE30" s="34">
        <f t="shared" si="9"/>
        <v>0</v>
      </c>
      <c r="AF30" s="34">
        <f t="shared" si="10"/>
        <v>0</v>
      </c>
      <c r="AG30" s="34">
        <f t="shared" si="11"/>
        <v>0</v>
      </c>
      <c r="AH30" s="15"/>
      <c r="AI30" s="35">
        <f t="shared" si="12"/>
        <v>0</v>
      </c>
      <c r="AJ30" s="34">
        <f t="shared" si="13"/>
        <v>0</v>
      </c>
      <c r="AK30" s="34">
        <f t="shared" si="14"/>
        <v>0</v>
      </c>
      <c r="AL30" s="34">
        <f t="shared" si="15"/>
        <v>0</v>
      </c>
      <c r="AM30" s="15"/>
      <c r="AN30" s="35">
        <f t="shared" si="16"/>
        <v>7</v>
      </c>
      <c r="AO30" s="34">
        <f t="shared" si="55"/>
        <v>1406.79</v>
      </c>
      <c r="AP30" s="34">
        <f t="shared" si="18"/>
        <v>140.68</v>
      </c>
      <c r="AQ30" s="34">
        <f t="shared" si="19"/>
        <v>1547.47</v>
      </c>
      <c r="AR30" s="15"/>
      <c r="AS30" s="35">
        <f t="shared" si="20"/>
        <v>30</v>
      </c>
      <c r="AT30" s="34">
        <f t="shared" si="56"/>
        <v>6029.11</v>
      </c>
      <c r="AU30" s="34">
        <f t="shared" si="22"/>
        <v>602.91</v>
      </c>
      <c r="AV30" s="34">
        <f t="shared" si="23"/>
        <v>6632.0199999999995</v>
      </c>
      <c r="AW30" s="15"/>
      <c r="AX30" s="35">
        <f t="shared" si="24"/>
        <v>31</v>
      </c>
      <c r="AY30" s="34">
        <f t="shared" si="25"/>
        <v>6230.08</v>
      </c>
      <c r="AZ30" s="34">
        <f t="shared" si="26"/>
        <v>623.01</v>
      </c>
      <c r="BA30" s="34">
        <f t="shared" si="27"/>
        <v>6853.09</v>
      </c>
      <c r="BB30" s="15"/>
      <c r="BC30" s="35">
        <f t="shared" si="28"/>
        <v>31</v>
      </c>
      <c r="BD30" s="34">
        <f t="shared" si="29"/>
        <v>6230.08</v>
      </c>
      <c r="BE30" s="34">
        <f t="shared" si="30"/>
        <v>623.01</v>
      </c>
      <c r="BF30" s="34">
        <f t="shared" si="31"/>
        <v>6853.09</v>
      </c>
      <c r="BG30" s="15"/>
      <c r="BH30" s="35">
        <f t="shared" si="32"/>
        <v>30</v>
      </c>
      <c r="BI30" s="34">
        <f t="shared" si="33"/>
        <v>6029.11</v>
      </c>
      <c r="BJ30" s="34">
        <f t="shared" si="34"/>
        <v>602.91</v>
      </c>
      <c r="BK30" s="34">
        <f t="shared" si="35"/>
        <v>6632.0199999999995</v>
      </c>
      <c r="BL30" s="15"/>
      <c r="BM30" s="35">
        <f t="shared" si="36"/>
        <v>31</v>
      </c>
      <c r="BN30" s="34">
        <f t="shared" si="37"/>
        <v>6230.08</v>
      </c>
      <c r="BO30" s="34">
        <f t="shared" si="38"/>
        <v>623.01</v>
      </c>
      <c r="BP30" s="34">
        <f t="shared" si="39"/>
        <v>6853.09</v>
      </c>
      <c r="BQ30" s="15"/>
      <c r="BR30" s="35">
        <f t="shared" si="40"/>
        <v>30</v>
      </c>
      <c r="BS30" s="34">
        <f t="shared" si="41"/>
        <v>6029.11</v>
      </c>
      <c r="BT30" s="34">
        <f t="shared" si="42"/>
        <v>602.91</v>
      </c>
      <c r="BU30" s="34">
        <f t="shared" si="43"/>
        <v>6632.0199999999995</v>
      </c>
      <c r="BV30" s="15"/>
      <c r="BW30" s="35">
        <f t="shared" si="44"/>
        <v>23</v>
      </c>
      <c r="BX30" s="34">
        <f t="shared" si="45"/>
        <v>4622.32</v>
      </c>
      <c r="BY30" s="34">
        <f t="shared" si="46"/>
        <v>462.23</v>
      </c>
      <c r="BZ30" s="34">
        <f t="shared" si="47"/>
        <v>5084.5499999999993</v>
      </c>
      <c r="CA30" s="35">
        <f t="shared" si="48"/>
        <v>213</v>
      </c>
      <c r="CB30" s="34">
        <f t="shared" si="49"/>
        <v>42806.68</v>
      </c>
      <c r="CC30" s="34">
        <f t="shared" si="50"/>
        <v>4280.67</v>
      </c>
      <c r="CD30" s="34">
        <f t="shared" si="51"/>
        <v>47087.35</v>
      </c>
      <c r="CE30" s="16">
        <f t="shared" si="52"/>
        <v>0.01</v>
      </c>
      <c r="CF30" s="16">
        <f t="shared" si="53"/>
        <v>0</v>
      </c>
      <c r="CG30" s="31" t="s">
        <v>164</v>
      </c>
      <c r="CH30" s="31" t="s">
        <v>165</v>
      </c>
      <c r="CI30" s="31" t="s">
        <v>49</v>
      </c>
      <c r="CJ30" s="31" t="s">
        <v>166</v>
      </c>
      <c r="CK30" s="31" t="s">
        <v>165</v>
      </c>
      <c r="CL30" s="31" t="s">
        <v>167</v>
      </c>
      <c r="CM30" s="29">
        <v>46098</v>
      </c>
      <c r="CN30" s="28" t="s">
        <v>166</v>
      </c>
      <c r="CO30" s="28"/>
      <c r="CP30" s="28"/>
    </row>
    <row r="31" spans="1:94" ht="40.049999999999997" customHeight="1" x14ac:dyDescent="0.25">
      <c r="A31" s="62">
        <v>30</v>
      </c>
      <c r="B31" s="63">
        <v>52</v>
      </c>
      <c r="C31" s="1" t="s">
        <v>129</v>
      </c>
      <c r="D31" s="2" t="s">
        <v>159</v>
      </c>
      <c r="E31" s="2" t="s">
        <v>176</v>
      </c>
      <c r="F31" s="1" t="s">
        <v>177</v>
      </c>
      <c r="G31" s="2" t="s">
        <v>178</v>
      </c>
      <c r="H31" s="64">
        <v>6.742</v>
      </c>
      <c r="I31" s="1" t="s">
        <v>46</v>
      </c>
      <c r="J31" s="3">
        <v>735</v>
      </c>
      <c r="K31" s="1">
        <v>245</v>
      </c>
      <c r="L31" s="4">
        <v>40468</v>
      </c>
      <c r="M31" s="4">
        <v>4048</v>
      </c>
      <c r="N31" s="4">
        <v>44516</v>
      </c>
      <c r="O31" s="15" t="s">
        <v>179</v>
      </c>
      <c r="P31" s="31" t="s">
        <v>72</v>
      </c>
      <c r="Q31" s="35">
        <f t="shared" si="54"/>
        <v>245</v>
      </c>
      <c r="R31" s="14">
        <v>46099</v>
      </c>
      <c r="S31" s="14">
        <f t="shared" si="1"/>
        <v>46343</v>
      </c>
      <c r="T31" s="34">
        <v>40468</v>
      </c>
      <c r="U31" s="34">
        <f t="shared" si="2"/>
        <v>4046.8</v>
      </c>
      <c r="V31" s="34">
        <f t="shared" si="3"/>
        <v>44514.8</v>
      </c>
      <c r="W31" s="35"/>
      <c r="X31" s="14">
        <f t="shared" si="4"/>
        <v>46099</v>
      </c>
      <c r="Y31" s="14" t="str">
        <f t="shared" si="5"/>
        <v/>
      </c>
      <c r="Z31" s="34"/>
      <c r="AA31" s="34">
        <f t="shared" si="6"/>
        <v>0</v>
      </c>
      <c r="AB31" s="34">
        <f t="shared" si="7"/>
        <v>0</v>
      </c>
      <c r="AC31" s="15"/>
      <c r="AD31" s="35">
        <f t="shared" si="8"/>
        <v>14</v>
      </c>
      <c r="AE31" s="34">
        <f t="shared" si="9"/>
        <v>2312.46</v>
      </c>
      <c r="AF31" s="34">
        <f t="shared" si="10"/>
        <v>231.25</v>
      </c>
      <c r="AG31" s="34">
        <f t="shared" si="11"/>
        <v>2543.71</v>
      </c>
      <c r="AH31" s="15"/>
      <c r="AI31" s="35">
        <f t="shared" si="12"/>
        <v>30</v>
      </c>
      <c r="AJ31" s="34">
        <f t="shared" si="13"/>
        <v>4955.2700000000004</v>
      </c>
      <c r="AK31" s="34">
        <f t="shared" si="14"/>
        <v>495.53</v>
      </c>
      <c r="AL31" s="34">
        <f t="shared" si="15"/>
        <v>5450.8</v>
      </c>
      <c r="AM31" s="15"/>
      <c r="AN31" s="35">
        <f t="shared" si="16"/>
        <v>31</v>
      </c>
      <c r="AO31" s="34">
        <f t="shared" si="55"/>
        <v>5120.4399999999996</v>
      </c>
      <c r="AP31" s="34">
        <f t="shared" si="18"/>
        <v>512.04</v>
      </c>
      <c r="AQ31" s="34">
        <f t="shared" si="19"/>
        <v>5632.48</v>
      </c>
      <c r="AR31" s="15"/>
      <c r="AS31" s="35">
        <f t="shared" si="20"/>
        <v>30</v>
      </c>
      <c r="AT31" s="34">
        <f t="shared" si="56"/>
        <v>4955.2700000000004</v>
      </c>
      <c r="AU31" s="34">
        <f t="shared" si="22"/>
        <v>495.53</v>
      </c>
      <c r="AV31" s="34">
        <f t="shared" si="23"/>
        <v>5450.8</v>
      </c>
      <c r="AW31" s="15"/>
      <c r="AX31" s="35">
        <f t="shared" si="24"/>
        <v>31</v>
      </c>
      <c r="AY31" s="34">
        <f t="shared" si="25"/>
        <v>5120.4399999999996</v>
      </c>
      <c r="AZ31" s="34">
        <f t="shared" si="26"/>
        <v>512.04</v>
      </c>
      <c r="BA31" s="34">
        <f t="shared" si="27"/>
        <v>5632.48</v>
      </c>
      <c r="BB31" s="15"/>
      <c r="BC31" s="35">
        <f t="shared" si="28"/>
        <v>31</v>
      </c>
      <c r="BD31" s="34">
        <f t="shared" si="29"/>
        <v>5120.4399999999996</v>
      </c>
      <c r="BE31" s="34">
        <f t="shared" si="30"/>
        <v>512.04</v>
      </c>
      <c r="BF31" s="34">
        <f t="shared" si="31"/>
        <v>5632.48</v>
      </c>
      <c r="BG31" s="15"/>
      <c r="BH31" s="35">
        <f t="shared" si="32"/>
        <v>30</v>
      </c>
      <c r="BI31" s="34">
        <f t="shared" si="33"/>
        <v>4955.2700000000004</v>
      </c>
      <c r="BJ31" s="34">
        <f t="shared" si="34"/>
        <v>495.53</v>
      </c>
      <c r="BK31" s="34">
        <f t="shared" si="35"/>
        <v>5450.8</v>
      </c>
      <c r="BL31" s="15"/>
      <c r="BM31" s="35">
        <f t="shared" si="36"/>
        <v>31</v>
      </c>
      <c r="BN31" s="34">
        <f t="shared" si="37"/>
        <v>5120.4399999999996</v>
      </c>
      <c r="BO31" s="34">
        <f t="shared" si="38"/>
        <v>512.04</v>
      </c>
      <c r="BP31" s="34">
        <f t="shared" si="39"/>
        <v>5632.48</v>
      </c>
      <c r="BQ31" s="15"/>
      <c r="BR31" s="35">
        <f t="shared" si="40"/>
        <v>17</v>
      </c>
      <c r="BS31" s="34">
        <f t="shared" si="41"/>
        <v>2807.98</v>
      </c>
      <c r="BT31" s="34">
        <f t="shared" si="42"/>
        <v>280.8</v>
      </c>
      <c r="BU31" s="34">
        <f t="shared" si="43"/>
        <v>3088.78</v>
      </c>
      <c r="BV31" s="15"/>
      <c r="BW31" s="35">
        <f t="shared" si="44"/>
        <v>0</v>
      </c>
      <c r="BX31" s="34">
        <f t="shared" si="45"/>
        <v>0</v>
      </c>
      <c r="BY31" s="34">
        <f t="shared" si="46"/>
        <v>0</v>
      </c>
      <c r="BZ31" s="34">
        <f t="shared" si="47"/>
        <v>0</v>
      </c>
      <c r="CA31" s="35">
        <f t="shared" si="48"/>
        <v>245</v>
      </c>
      <c r="CB31" s="34">
        <f t="shared" si="49"/>
        <v>40468.01</v>
      </c>
      <c r="CC31" s="34">
        <f t="shared" si="50"/>
        <v>4046.8</v>
      </c>
      <c r="CD31" s="34">
        <f t="shared" si="51"/>
        <v>44514.810000000005</v>
      </c>
      <c r="CE31" s="16">
        <f t="shared" si="52"/>
        <v>-0.01</v>
      </c>
      <c r="CF31" s="16">
        <f t="shared" si="53"/>
        <v>0</v>
      </c>
      <c r="CG31" s="31" t="s">
        <v>164</v>
      </c>
      <c r="CH31" s="31" t="s">
        <v>165</v>
      </c>
      <c r="CI31" s="31" t="s">
        <v>49</v>
      </c>
      <c r="CJ31" s="31" t="s">
        <v>166</v>
      </c>
      <c r="CK31" s="31" t="s">
        <v>165</v>
      </c>
      <c r="CL31" s="31" t="s">
        <v>167</v>
      </c>
      <c r="CM31" s="29">
        <v>46098</v>
      </c>
      <c r="CN31" s="28" t="s">
        <v>166</v>
      </c>
      <c r="CO31" s="28"/>
      <c r="CP31" s="28"/>
    </row>
    <row r="32" spans="1:94" ht="40.049999999999997" customHeight="1" x14ac:dyDescent="0.25">
      <c r="A32" s="62">
        <v>31</v>
      </c>
      <c r="B32" s="63">
        <v>52</v>
      </c>
      <c r="C32" s="1" t="s">
        <v>129</v>
      </c>
      <c r="D32" s="2" t="s">
        <v>159</v>
      </c>
      <c r="E32" s="2" t="s">
        <v>160</v>
      </c>
      <c r="F32" s="1" t="s">
        <v>180</v>
      </c>
      <c r="G32" s="2" t="s">
        <v>181</v>
      </c>
      <c r="H32" s="64">
        <v>6.49</v>
      </c>
      <c r="I32" s="1" t="s">
        <v>46</v>
      </c>
      <c r="J32" s="3">
        <v>735</v>
      </c>
      <c r="K32" s="1">
        <v>240</v>
      </c>
      <c r="L32" s="4">
        <v>38161</v>
      </c>
      <c r="M32" s="4">
        <v>3817</v>
      </c>
      <c r="N32" s="4">
        <v>41978</v>
      </c>
      <c r="O32" s="15" t="s">
        <v>182</v>
      </c>
      <c r="P32" s="31" t="s">
        <v>72</v>
      </c>
      <c r="Q32" s="35">
        <f t="shared" si="54"/>
        <v>240</v>
      </c>
      <c r="R32" s="14">
        <v>46099</v>
      </c>
      <c r="S32" s="14">
        <f t="shared" si="1"/>
        <v>46338</v>
      </c>
      <c r="T32" s="34">
        <v>38161</v>
      </c>
      <c r="U32" s="34">
        <f t="shared" si="2"/>
        <v>3816.1</v>
      </c>
      <c r="V32" s="34">
        <f t="shared" si="3"/>
        <v>41977.1</v>
      </c>
      <c r="W32" s="35"/>
      <c r="X32" s="14">
        <f t="shared" si="4"/>
        <v>46099</v>
      </c>
      <c r="Y32" s="14" t="str">
        <f t="shared" si="5"/>
        <v/>
      </c>
      <c r="Z32" s="34"/>
      <c r="AA32" s="34">
        <f t="shared" si="6"/>
        <v>0</v>
      </c>
      <c r="AB32" s="34">
        <f t="shared" si="7"/>
        <v>0</v>
      </c>
      <c r="AC32" s="15"/>
      <c r="AD32" s="35">
        <f t="shared" si="8"/>
        <v>14</v>
      </c>
      <c r="AE32" s="34">
        <f t="shared" si="9"/>
        <v>2226.06</v>
      </c>
      <c r="AF32" s="34">
        <f t="shared" si="10"/>
        <v>222.61</v>
      </c>
      <c r="AG32" s="34">
        <f t="shared" si="11"/>
        <v>2448.67</v>
      </c>
      <c r="AH32" s="15"/>
      <c r="AI32" s="35">
        <f t="shared" si="12"/>
        <v>30</v>
      </c>
      <c r="AJ32" s="34">
        <f t="shared" si="13"/>
        <v>4770.13</v>
      </c>
      <c r="AK32" s="34">
        <f t="shared" si="14"/>
        <v>477.01</v>
      </c>
      <c r="AL32" s="34">
        <f t="shared" si="15"/>
        <v>5247.14</v>
      </c>
      <c r="AM32" s="15"/>
      <c r="AN32" s="35">
        <f t="shared" si="16"/>
        <v>31</v>
      </c>
      <c r="AO32" s="34">
        <f t="shared" si="55"/>
        <v>4929.13</v>
      </c>
      <c r="AP32" s="34">
        <f t="shared" si="18"/>
        <v>492.91</v>
      </c>
      <c r="AQ32" s="34">
        <f t="shared" si="19"/>
        <v>5422.04</v>
      </c>
      <c r="AR32" s="15"/>
      <c r="AS32" s="35">
        <f t="shared" si="20"/>
        <v>30</v>
      </c>
      <c r="AT32" s="34">
        <f t="shared" si="56"/>
        <v>4770.13</v>
      </c>
      <c r="AU32" s="34">
        <f t="shared" si="22"/>
        <v>477.01</v>
      </c>
      <c r="AV32" s="34">
        <f t="shared" si="23"/>
        <v>5247.14</v>
      </c>
      <c r="AW32" s="15"/>
      <c r="AX32" s="35">
        <f t="shared" si="24"/>
        <v>31</v>
      </c>
      <c r="AY32" s="34">
        <f t="shared" si="25"/>
        <v>4929.13</v>
      </c>
      <c r="AZ32" s="34">
        <f t="shared" si="26"/>
        <v>492.91</v>
      </c>
      <c r="BA32" s="34">
        <f t="shared" si="27"/>
        <v>5422.04</v>
      </c>
      <c r="BB32" s="15"/>
      <c r="BC32" s="35">
        <f t="shared" si="28"/>
        <v>31</v>
      </c>
      <c r="BD32" s="34">
        <f t="shared" si="29"/>
        <v>4929.13</v>
      </c>
      <c r="BE32" s="34">
        <f t="shared" si="30"/>
        <v>492.91</v>
      </c>
      <c r="BF32" s="34">
        <f t="shared" si="31"/>
        <v>5422.04</v>
      </c>
      <c r="BG32" s="15"/>
      <c r="BH32" s="35">
        <f t="shared" si="32"/>
        <v>30</v>
      </c>
      <c r="BI32" s="34">
        <f t="shared" si="33"/>
        <v>4770.13</v>
      </c>
      <c r="BJ32" s="34">
        <f t="shared" si="34"/>
        <v>477.01</v>
      </c>
      <c r="BK32" s="34">
        <f t="shared" si="35"/>
        <v>5247.14</v>
      </c>
      <c r="BL32" s="15"/>
      <c r="BM32" s="35">
        <f t="shared" si="36"/>
        <v>31</v>
      </c>
      <c r="BN32" s="34">
        <f t="shared" si="37"/>
        <v>4929.13</v>
      </c>
      <c r="BO32" s="34">
        <f t="shared" si="38"/>
        <v>492.91</v>
      </c>
      <c r="BP32" s="34">
        <f t="shared" si="39"/>
        <v>5422.04</v>
      </c>
      <c r="BQ32" s="15"/>
      <c r="BR32" s="35">
        <f t="shared" si="40"/>
        <v>12</v>
      </c>
      <c r="BS32" s="34">
        <f t="shared" si="41"/>
        <v>1908.05</v>
      </c>
      <c r="BT32" s="34">
        <f t="shared" si="42"/>
        <v>190.81</v>
      </c>
      <c r="BU32" s="34">
        <f t="shared" si="43"/>
        <v>2098.86</v>
      </c>
      <c r="BV32" s="15"/>
      <c r="BW32" s="35">
        <f t="shared" si="44"/>
        <v>0</v>
      </c>
      <c r="BX32" s="34">
        <f t="shared" si="45"/>
        <v>0</v>
      </c>
      <c r="BY32" s="34">
        <f t="shared" si="46"/>
        <v>0</v>
      </c>
      <c r="BZ32" s="34">
        <f t="shared" si="47"/>
        <v>0</v>
      </c>
      <c r="CA32" s="35">
        <f t="shared" si="48"/>
        <v>240</v>
      </c>
      <c r="CB32" s="34">
        <f t="shared" si="49"/>
        <v>38161.020000000004</v>
      </c>
      <c r="CC32" s="34">
        <f t="shared" si="50"/>
        <v>3816.0899999999997</v>
      </c>
      <c r="CD32" s="34">
        <f t="shared" si="51"/>
        <v>41977.11</v>
      </c>
      <c r="CE32" s="16">
        <f t="shared" si="52"/>
        <v>-0.02</v>
      </c>
      <c r="CF32" s="16">
        <f t="shared" si="53"/>
        <v>0.01</v>
      </c>
      <c r="CG32" s="31" t="s">
        <v>164</v>
      </c>
      <c r="CH32" s="31" t="s">
        <v>165</v>
      </c>
      <c r="CI32" s="31" t="s">
        <v>49</v>
      </c>
      <c r="CJ32" s="31" t="s">
        <v>166</v>
      </c>
      <c r="CK32" s="31" t="s">
        <v>165</v>
      </c>
      <c r="CL32" s="31" t="s">
        <v>167</v>
      </c>
      <c r="CM32" s="29">
        <v>46098</v>
      </c>
      <c r="CN32" s="28" t="s">
        <v>166</v>
      </c>
      <c r="CO32" s="28"/>
      <c r="CP32" s="28"/>
    </row>
    <row r="33" spans="1:94" ht="40.049999999999997" customHeight="1" x14ac:dyDescent="0.25">
      <c r="A33" s="62">
        <v>32</v>
      </c>
      <c r="B33" s="63">
        <v>52</v>
      </c>
      <c r="C33" s="1" t="s">
        <v>129</v>
      </c>
      <c r="D33" s="2" t="s">
        <v>159</v>
      </c>
      <c r="E33" s="2" t="s">
        <v>160</v>
      </c>
      <c r="F33" s="1" t="s">
        <v>183</v>
      </c>
      <c r="G33" s="2" t="s">
        <v>184</v>
      </c>
      <c r="H33" s="64">
        <v>6.98</v>
      </c>
      <c r="I33" s="1" t="s">
        <v>46</v>
      </c>
      <c r="J33" s="3">
        <v>735</v>
      </c>
      <c r="K33" s="1">
        <v>240</v>
      </c>
      <c r="L33" s="4">
        <v>41042</v>
      </c>
      <c r="M33" s="4">
        <v>4105</v>
      </c>
      <c r="N33" s="4">
        <v>45147</v>
      </c>
      <c r="O33" s="15" t="s">
        <v>185</v>
      </c>
      <c r="P33" s="31" t="s">
        <v>72</v>
      </c>
      <c r="Q33" s="35">
        <f t="shared" si="54"/>
        <v>240</v>
      </c>
      <c r="R33" s="14">
        <v>46099</v>
      </c>
      <c r="S33" s="14">
        <f t="shared" si="1"/>
        <v>46338</v>
      </c>
      <c r="T33" s="34">
        <v>41042</v>
      </c>
      <c r="U33" s="34">
        <f t="shared" si="2"/>
        <v>4104.2</v>
      </c>
      <c r="V33" s="34">
        <f t="shared" si="3"/>
        <v>45146.2</v>
      </c>
      <c r="W33" s="35"/>
      <c r="X33" s="14">
        <f t="shared" si="4"/>
        <v>46099</v>
      </c>
      <c r="Y33" s="14" t="str">
        <f t="shared" si="5"/>
        <v/>
      </c>
      <c r="Z33" s="34"/>
      <c r="AA33" s="34">
        <f t="shared" si="6"/>
        <v>0</v>
      </c>
      <c r="AB33" s="34">
        <f t="shared" si="7"/>
        <v>0</v>
      </c>
      <c r="AC33" s="15"/>
      <c r="AD33" s="35">
        <f t="shared" si="8"/>
        <v>14</v>
      </c>
      <c r="AE33" s="34">
        <f t="shared" si="9"/>
        <v>2394.12</v>
      </c>
      <c r="AF33" s="34">
        <f t="shared" si="10"/>
        <v>239.41</v>
      </c>
      <c r="AG33" s="34">
        <f t="shared" si="11"/>
        <v>2633.5299999999997</v>
      </c>
      <c r="AH33" s="15"/>
      <c r="AI33" s="35">
        <f t="shared" si="12"/>
        <v>30</v>
      </c>
      <c r="AJ33" s="34">
        <f t="shared" si="13"/>
        <v>5130.25</v>
      </c>
      <c r="AK33" s="34">
        <f t="shared" si="14"/>
        <v>513.03</v>
      </c>
      <c r="AL33" s="34">
        <f t="shared" si="15"/>
        <v>5643.28</v>
      </c>
      <c r="AM33" s="15"/>
      <c r="AN33" s="35">
        <f t="shared" si="16"/>
        <v>31</v>
      </c>
      <c r="AO33" s="34">
        <f t="shared" si="55"/>
        <v>5301.26</v>
      </c>
      <c r="AP33" s="34">
        <f t="shared" si="18"/>
        <v>530.13</v>
      </c>
      <c r="AQ33" s="34">
        <f t="shared" si="19"/>
        <v>5831.39</v>
      </c>
      <c r="AR33" s="15"/>
      <c r="AS33" s="35">
        <f t="shared" si="20"/>
        <v>30</v>
      </c>
      <c r="AT33" s="34">
        <f t="shared" si="56"/>
        <v>5130.25</v>
      </c>
      <c r="AU33" s="34">
        <f t="shared" si="22"/>
        <v>513.03</v>
      </c>
      <c r="AV33" s="34">
        <f t="shared" si="23"/>
        <v>5643.28</v>
      </c>
      <c r="AW33" s="15"/>
      <c r="AX33" s="35">
        <f t="shared" si="24"/>
        <v>31</v>
      </c>
      <c r="AY33" s="34">
        <f t="shared" si="25"/>
        <v>5301.26</v>
      </c>
      <c r="AZ33" s="34">
        <f t="shared" si="26"/>
        <v>530.13</v>
      </c>
      <c r="BA33" s="34">
        <f t="shared" si="27"/>
        <v>5831.39</v>
      </c>
      <c r="BB33" s="15"/>
      <c r="BC33" s="35">
        <f t="shared" si="28"/>
        <v>31</v>
      </c>
      <c r="BD33" s="34">
        <f t="shared" si="29"/>
        <v>5301.26</v>
      </c>
      <c r="BE33" s="34">
        <f t="shared" si="30"/>
        <v>530.13</v>
      </c>
      <c r="BF33" s="34">
        <f t="shared" si="31"/>
        <v>5831.39</v>
      </c>
      <c r="BG33" s="15"/>
      <c r="BH33" s="35">
        <f t="shared" si="32"/>
        <v>30</v>
      </c>
      <c r="BI33" s="34">
        <f t="shared" si="33"/>
        <v>5130.25</v>
      </c>
      <c r="BJ33" s="34">
        <f t="shared" si="34"/>
        <v>513.03</v>
      </c>
      <c r="BK33" s="34">
        <f t="shared" si="35"/>
        <v>5643.28</v>
      </c>
      <c r="BL33" s="15"/>
      <c r="BM33" s="35">
        <f t="shared" si="36"/>
        <v>31</v>
      </c>
      <c r="BN33" s="34">
        <f t="shared" si="37"/>
        <v>5301.26</v>
      </c>
      <c r="BO33" s="34">
        <f t="shared" si="38"/>
        <v>530.13</v>
      </c>
      <c r="BP33" s="34">
        <f t="shared" si="39"/>
        <v>5831.39</v>
      </c>
      <c r="BQ33" s="15"/>
      <c r="BR33" s="35">
        <f t="shared" si="40"/>
        <v>12</v>
      </c>
      <c r="BS33" s="34">
        <f t="shared" si="41"/>
        <v>2052.1</v>
      </c>
      <c r="BT33" s="34">
        <f t="shared" si="42"/>
        <v>205.21</v>
      </c>
      <c r="BU33" s="34">
        <f t="shared" si="43"/>
        <v>2257.31</v>
      </c>
      <c r="BV33" s="15"/>
      <c r="BW33" s="35">
        <f t="shared" si="44"/>
        <v>0</v>
      </c>
      <c r="BX33" s="34">
        <f t="shared" si="45"/>
        <v>0</v>
      </c>
      <c r="BY33" s="34">
        <f t="shared" si="46"/>
        <v>0</v>
      </c>
      <c r="BZ33" s="34">
        <f t="shared" si="47"/>
        <v>0</v>
      </c>
      <c r="CA33" s="35">
        <f t="shared" si="48"/>
        <v>240</v>
      </c>
      <c r="CB33" s="34">
        <f t="shared" si="49"/>
        <v>41042.01</v>
      </c>
      <c r="CC33" s="34">
        <f t="shared" si="50"/>
        <v>4104.2300000000005</v>
      </c>
      <c r="CD33" s="34">
        <f t="shared" si="51"/>
        <v>45146.240000000005</v>
      </c>
      <c r="CE33" s="16">
        <f t="shared" si="52"/>
        <v>-0.01</v>
      </c>
      <c r="CF33" s="16">
        <f t="shared" si="53"/>
        <v>-0.03</v>
      </c>
      <c r="CG33" s="31" t="s">
        <v>164</v>
      </c>
      <c r="CH33" s="31" t="s">
        <v>165</v>
      </c>
      <c r="CI33" s="31" t="s">
        <v>49</v>
      </c>
      <c r="CJ33" s="31" t="s">
        <v>166</v>
      </c>
      <c r="CK33" s="31" t="s">
        <v>165</v>
      </c>
      <c r="CL33" s="31" t="s">
        <v>167</v>
      </c>
      <c r="CM33" s="29">
        <v>46098</v>
      </c>
      <c r="CN33" s="28" t="s">
        <v>166</v>
      </c>
      <c r="CO33" s="28"/>
      <c r="CP33" s="28"/>
    </row>
    <row r="34" spans="1:94" ht="40.049999999999997" customHeight="1" x14ac:dyDescent="0.25">
      <c r="A34" s="62">
        <v>33</v>
      </c>
      <c r="B34" s="63">
        <v>52</v>
      </c>
      <c r="C34" s="1" t="s">
        <v>129</v>
      </c>
      <c r="D34" s="2" t="s">
        <v>159</v>
      </c>
      <c r="E34" s="2" t="s">
        <v>160</v>
      </c>
      <c r="F34" s="1" t="s">
        <v>161</v>
      </c>
      <c r="G34" s="2" t="s">
        <v>186</v>
      </c>
      <c r="H34" s="64">
        <v>15.173</v>
      </c>
      <c r="I34" s="1" t="s">
        <v>55</v>
      </c>
      <c r="J34" s="3">
        <v>808</v>
      </c>
      <c r="K34" s="1">
        <v>270</v>
      </c>
      <c r="L34" s="4">
        <v>110338</v>
      </c>
      <c r="M34" s="4">
        <v>11034</v>
      </c>
      <c r="N34" s="4">
        <v>121372</v>
      </c>
      <c r="O34" s="15" t="s">
        <v>187</v>
      </c>
      <c r="P34" s="31" t="s">
        <v>72</v>
      </c>
      <c r="Q34" s="35">
        <f t="shared" si="54"/>
        <v>270</v>
      </c>
      <c r="R34" s="14">
        <v>46167</v>
      </c>
      <c r="S34" s="14">
        <f t="shared" ref="S34:S51" si="57">IF(Q34+R34=0,"",Q34+R34-1)</f>
        <v>46436</v>
      </c>
      <c r="T34" s="34">
        <v>110338</v>
      </c>
      <c r="U34" s="34">
        <f t="shared" ref="U34:U51" si="58">+ROUND(T34*0.1,2)</f>
        <v>11033.8</v>
      </c>
      <c r="V34" s="34">
        <f t="shared" ref="V34:V51" si="59">+SUM(T34:U34)</f>
        <v>121371.8</v>
      </c>
      <c r="W34" s="35">
        <v>213</v>
      </c>
      <c r="X34" s="14">
        <f t="shared" ref="X34:X51" si="60">+$R34</f>
        <v>46167</v>
      </c>
      <c r="Y34" s="14">
        <f t="shared" ref="Y34:Y51" si="61">IF(W34&gt;0,X34+W34-1,"")</f>
        <v>46379</v>
      </c>
      <c r="Z34" s="34">
        <v>87044.42</v>
      </c>
      <c r="AA34" s="34">
        <f t="shared" ref="AA34:AA51" si="62">+ROUND(Z34*0.1,2)</f>
        <v>8704.44</v>
      </c>
      <c r="AB34" s="34">
        <f t="shared" ref="AB34:AB51" si="63">+SUM(Z34:AA34)</f>
        <v>95748.86</v>
      </c>
      <c r="AC34" s="15"/>
      <c r="AD34" s="35">
        <f t="shared" ref="AD34:AD51" si="64">MAX(0,MIN(IF($Y34&lt;&gt;"",$Y34,$S34),AD$1)-MAX($R34,EOMONTH(AD$1,-1)+1)+1)</f>
        <v>0</v>
      </c>
      <c r="AE34" s="34">
        <f t="shared" ref="AE34:AE51" si="65">ROUND(IF($Z34="",$T34,$Z34)*(AD34/IF($W34="",$Q34,$W34)),2)</f>
        <v>0</v>
      </c>
      <c r="AF34" s="34">
        <f t="shared" ref="AF34:AF51" si="66">+ROUND(AE34*0.1,2)</f>
        <v>0</v>
      </c>
      <c r="AG34" s="34">
        <f t="shared" ref="AG34:AG51" si="67">+SUM(AE34:AF34)</f>
        <v>0</v>
      </c>
      <c r="AH34" s="15"/>
      <c r="AI34" s="35">
        <f t="shared" ref="AI34:AI51" si="68">MAX(0,MIN(IF($Y34&lt;&gt;"",$Y34,$S34),AI$1)-MAX($R34,EOMONTH(AI$1,-1)+1)+1)</f>
        <v>0</v>
      </c>
      <c r="AJ34" s="34">
        <f t="shared" ref="AJ34:AJ51" si="69">ROUND(IF($Z34="",$T34,$Z34)*(AI34/IF($W34="",$Q34,$W34)),2)</f>
        <v>0</v>
      </c>
      <c r="AK34" s="34">
        <f t="shared" ref="AK34:AK51" si="70">+ROUND(AJ34*0.1,2)</f>
        <v>0</v>
      </c>
      <c r="AL34" s="34">
        <f t="shared" ref="AL34:AL51" si="71">+SUM(AJ34:AK34)</f>
        <v>0</v>
      </c>
      <c r="AM34" s="15"/>
      <c r="AN34" s="35">
        <f t="shared" ref="AN34:AN51" si="72">MAX(0,MIN(IF($Y34&lt;&gt;"",$Y34,$S34),AN$1)-MAX($R34,EOMONTH(AN$1,-1)+1)+1)</f>
        <v>7</v>
      </c>
      <c r="AO34" s="34">
        <f t="shared" si="55"/>
        <v>2860.61</v>
      </c>
      <c r="AP34" s="34">
        <f t="shared" ref="AP34:AP51" si="73">+ROUND(AO34*0.1,2)</f>
        <v>286.06</v>
      </c>
      <c r="AQ34" s="34">
        <f t="shared" ref="AQ34:AQ51" si="74">+SUM(AO34:AP34)</f>
        <v>3146.67</v>
      </c>
      <c r="AR34" s="15"/>
      <c r="AS34" s="35">
        <f t="shared" ref="AS34:AS51" si="75">MAX(0,MIN(IF($Y34&lt;&gt;"",$Y34,$S34),AS$1)-MAX($R34,EOMONTH(AS$1,-1)+1)+1)</f>
        <v>30</v>
      </c>
      <c r="AT34" s="34">
        <f t="shared" si="56"/>
        <v>12259.78</v>
      </c>
      <c r="AU34" s="34">
        <f t="shared" ref="AU34:AU51" si="76">+ROUND(AT34*0.1,2)</f>
        <v>1225.98</v>
      </c>
      <c r="AV34" s="34">
        <f t="shared" ref="AV34:AV51" si="77">+SUM(AT34:AU34)</f>
        <v>13485.76</v>
      </c>
      <c r="AW34" s="15"/>
      <c r="AX34" s="35">
        <f t="shared" ref="AX34:AX51" si="78">MAX(0,MIN(IF($Y34&lt;&gt;"",$Y34,$S34),AX$1)-MAX($R34,EOMONTH(AX$1,-1)+1)+1)</f>
        <v>31</v>
      </c>
      <c r="AY34" s="34">
        <f t="shared" ref="AY34:AY51" si="79">ROUND(IF($Z34="",$T34,$Z34)*(AX34/IF($W34="",$Q34,$W34)),2)</f>
        <v>12668.44</v>
      </c>
      <c r="AZ34" s="34">
        <f t="shared" ref="AZ34:AZ51" si="80">+ROUND(AY34*0.1,2)</f>
        <v>1266.8399999999999</v>
      </c>
      <c r="BA34" s="34">
        <f t="shared" ref="BA34:BA51" si="81">+SUM(AY34:AZ34)</f>
        <v>13935.28</v>
      </c>
      <c r="BB34" s="15"/>
      <c r="BC34" s="35">
        <f t="shared" ref="BC34:BC51" si="82">MAX(0,MIN(IF($Y34&lt;&gt;"",$Y34,$S34),BC$1)-MAX($R34,EOMONTH(BC$1,-1)+1)+1)</f>
        <v>31</v>
      </c>
      <c r="BD34" s="34">
        <f t="shared" ref="BD34:BD51" si="83">ROUND(IF($Z34="",$T34,$Z34)*(BC34/IF($W34="",$Q34,$W34)),2)</f>
        <v>12668.44</v>
      </c>
      <c r="BE34" s="34">
        <f t="shared" ref="BE34:BE51" si="84">+ROUND(BD34*0.1,2)</f>
        <v>1266.8399999999999</v>
      </c>
      <c r="BF34" s="34">
        <f t="shared" ref="BF34:BF51" si="85">+SUM(BD34:BE34)</f>
        <v>13935.28</v>
      </c>
      <c r="BG34" s="15"/>
      <c r="BH34" s="35">
        <f t="shared" ref="BH34:BH51" si="86">MAX(0,MIN(IF($Y34&lt;&gt;"",$Y34,$S34),BH$1)-MAX($R34,EOMONTH(BH$1,-1)+1)+1)</f>
        <v>30</v>
      </c>
      <c r="BI34" s="34">
        <f t="shared" ref="BI34:BI51" si="87">ROUND(IF($Z34="",$T34,$Z34)*(BH34/IF($W34="",$Q34,$W34)),2)</f>
        <v>12259.78</v>
      </c>
      <c r="BJ34" s="34">
        <f t="shared" ref="BJ34:BJ51" si="88">+ROUND(BI34*0.1,2)</f>
        <v>1225.98</v>
      </c>
      <c r="BK34" s="34">
        <f t="shared" ref="BK34:BK51" si="89">+SUM(BI34:BJ34)</f>
        <v>13485.76</v>
      </c>
      <c r="BL34" s="15"/>
      <c r="BM34" s="35">
        <f t="shared" ref="BM34:BM51" si="90">MAX(0,MIN(IF($Y34&lt;&gt;"",$Y34,$S34),BM$1)-MAX($R34,EOMONTH(BM$1,-1)+1)+1)</f>
        <v>31</v>
      </c>
      <c r="BN34" s="34">
        <f t="shared" ref="BN34:BN51" si="91">ROUND(IF($Z34="",$T34,$Z34)*(BM34/IF($W34="",$Q34,$W34)),2)</f>
        <v>12668.44</v>
      </c>
      <c r="BO34" s="34">
        <f t="shared" ref="BO34:BO51" si="92">+ROUND(BN34*0.1,2)</f>
        <v>1266.8399999999999</v>
      </c>
      <c r="BP34" s="34">
        <f t="shared" ref="BP34:BP51" si="93">+SUM(BN34:BO34)</f>
        <v>13935.28</v>
      </c>
      <c r="BQ34" s="15"/>
      <c r="BR34" s="35">
        <f t="shared" ref="BR34:BR51" si="94">MAX(0,MIN(IF($Y34&lt;&gt;"",$Y34,$S34),BR$1)-MAX($R34,EOMONTH(BR$1,-1)+1)+1)</f>
        <v>30</v>
      </c>
      <c r="BS34" s="34">
        <f t="shared" ref="BS34:BS51" si="95">ROUND(IF($Z34="",$T34,$Z34)*(BR34/IF($W34="",$Q34,$W34)),2)</f>
        <v>12259.78</v>
      </c>
      <c r="BT34" s="34">
        <f t="shared" ref="BT34:BT51" si="96">+ROUND(BS34*0.1,2)</f>
        <v>1225.98</v>
      </c>
      <c r="BU34" s="34">
        <f t="shared" ref="BU34:BU51" si="97">+SUM(BS34:BT34)</f>
        <v>13485.76</v>
      </c>
      <c r="BV34" s="15"/>
      <c r="BW34" s="35">
        <f t="shared" ref="BW34:BW51" si="98">MAX(0,MIN(IF($Y34&lt;&gt;"",$Y34,$S34),BW$1)-MAX($R34,EOMONTH(BW$1,-1)+1)+1)</f>
        <v>23</v>
      </c>
      <c r="BX34" s="34">
        <f t="shared" ref="BX34:BX51" si="99">ROUND(IF($Z34="",$T34,$Z34)*(BW34/IF($W34="",$Q34,$W34)),2)</f>
        <v>9399.16</v>
      </c>
      <c r="BY34" s="34">
        <f t="shared" ref="BY34:BY51" si="100">+ROUND(BX34*0.1,2)</f>
        <v>939.92</v>
      </c>
      <c r="BZ34" s="34">
        <f t="shared" ref="BZ34:BZ51" si="101">+SUM(BX34:BY34)</f>
        <v>10339.08</v>
      </c>
      <c r="CA34" s="35">
        <f t="shared" ref="CA34:CA51" si="102">+AD34+AI34+AN34+AS34+AX34+BC34+BH34+BM34+BR34+BW34</f>
        <v>213</v>
      </c>
      <c r="CB34" s="34">
        <f t="shared" ref="CB34:CB51" si="103">+AE34+AJ34+AO34+AT34+AY34+BD34+BI34+BN34+BS34+BX34</f>
        <v>87044.430000000008</v>
      </c>
      <c r="CC34" s="34">
        <f t="shared" ref="CC34:CC51" si="104">+AF34+AK34+AP34+AU34+AZ34+BE34+BJ34+BO34+BT34+BY34</f>
        <v>8704.44</v>
      </c>
      <c r="CD34" s="34">
        <f t="shared" ref="CD34:CD51" si="105">+SUM(CB34:CC34)</f>
        <v>95748.87000000001</v>
      </c>
      <c r="CE34" s="16">
        <f t="shared" ref="CE34:CE51" si="106">ROUND(IF($Y34&lt;&gt;"",$Z34,$T34)-CB34,2)</f>
        <v>-0.01</v>
      </c>
      <c r="CF34" s="16">
        <f t="shared" ref="CF34:CF51" si="107">ROUND(IF($Y34&lt;&gt;"",$AA34,$U34)-CC34,2)</f>
        <v>0</v>
      </c>
      <c r="CG34" s="31" t="s">
        <v>164</v>
      </c>
      <c r="CH34" s="31" t="s">
        <v>165</v>
      </c>
      <c r="CI34" s="31" t="s">
        <v>49</v>
      </c>
      <c r="CJ34" s="31" t="s">
        <v>166</v>
      </c>
      <c r="CK34" s="31" t="s">
        <v>165</v>
      </c>
      <c r="CL34" s="31" t="s">
        <v>167</v>
      </c>
      <c r="CM34" s="29">
        <v>46098</v>
      </c>
      <c r="CN34" s="28" t="s">
        <v>166</v>
      </c>
      <c r="CO34" s="28"/>
      <c r="CP34" s="28"/>
    </row>
    <row r="35" spans="1:94" ht="40.049999999999997" customHeight="1" x14ac:dyDescent="0.25">
      <c r="A35" s="62">
        <v>34</v>
      </c>
      <c r="B35" s="63">
        <v>52</v>
      </c>
      <c r="C35" s="1" t="s">
        <v>129</v>
      </c>
      <c r="D35" s="2" t="s">
        <v>159</v>
      </c>
      <c r="E35" s="2" t="s">
        <v>188</v>
      </c>
      <c r="F35" s="1" t="s">
        <v>189</v>
      </c>
      <c r="G35" s="2" t="s">
        <v>190</v>
      </c>
      <c r="H35" s="64">
        <v>2.9910000000000001</v>
      </c>
      <c r="I35" s="1" t="s">
        <v>55</v>
      </c>
      <c r="J35" s="3">
        <v>808</v>
      </c>
      <c r="K35" s="1">
        <v>260</v>
      </c>
      <c r="L35" s="4">
        <v>20944</v>
      </c>
      <c r="M35" s="4">
        <v>2094</v>
      </c>
      <c r="N35" s="4">
        <v>23038</v>
      </c>
      <c r="O35" s="15" t="s">
        <v>191</v>
      </c>
      <c r="P35" s="31" t="s">
        <v>171</v>
      </c>
      <c r="Q35" s="35">
        <f t="shared" si="54"/>
        <v>260</v>
      </c>
      <c r="R35" s="14">
        <v>46099</v>
      </c>
      <c r="S35" s="14">
        <f t="shared" si="57"/>
        <v>46358</v>
      </c>
      <c r="T35" s="34">
        <v>20944</v>
      </c>
      <c r="U35" s="34">
        <f t="shared" si="58"/>
        <v>2094.4</v>
      </c>
      <c r="V35" s="34">
        <f t="shared" si="59"/>
        <v>23038.400000000001</v>
      </c>
      <c r="W35" s="35"/>
      <c r="X35" s="14">
        <f t="shared" si="60"/>
        <v>46099</v>
      </c>
      <c r="Y35" s="14" t="str">
        <f t="shared" si="61"/>
        <v/>
      </c>
      <c r="Z35" s="34"/>
      <c r="AA35" s="34">
        <f t="shared" si="62"/>
        <v>0</v>
      </c>
      <c r="AB35" s="34">
        <f t="shared" si="63"/>
        <v>0</v>
      </c>
      <c r="AC35" s="15"/>
      <c r="AD35" s="35">
        <f t="shared" si="64"/>
        <v>14</v>
      </c>
      <c r="AE35" s="34">
        <f t="shared" si="65"/>
        <v>1127.75</v>
      </c>
      <c r="AF35" s="34">
        <f t="shared" si="66"/>
        <v>112.78</v>
      </c>
      <c r="AG35" s="34">
        <f t="shared" si="67"/>
        <v>1240.53</v>
      </c>
      <c r="AH35" s="15"/>
      <c r="AI35" s="35">
        <f t="shared" si="68"/>
        <v>30</v>
      </c>
      <c r="AJ35" s="34">
        <f t="shared" si="69"/>
        <v>2416.62</v>
      </c>
      <c r="AK35" s="34">
        <f t="shared" si="70"/>
        <v>241.66</v>
      </c>
      <c r="AL35" s="34">
        <f t="shared" si="71"/>
        <v>2658.2799999999997</v>
      </c>
      <c r="AM35" s="15"/>
      <c r="AN35" s="35">
        <f t="shared" si="72"/>
        <v>31</v>
      </c>
      <c r="AO35" s="34">
        <f t="shared" si="55"/>
        <v>2497.17</v>
      </c>
      <c r="AP35" s="34">
        <f t="shared" si="73"/>
        <v>249.72</v>
      </c>
      <c r="AQ35" s="34">
        <f t="shared" si="74"/>
        <v>2746.89</v>
      </c>
      <c r="AR35" s="15"/>
      <c r="AS35" s="35">
        <f t="shared" si="75"/>
        <v>30</v>
      </c>
      <c r="AT35" s="34">
        <f t="shared" si="56"/>
        <v>2416.62</v>
      </c>
      <c r="AU35" s="34">
        <f t="shared" si="76"/>
        <v>241.66</v>
      </c>
      <c r="AV35" s="34">
        <f t="shared" si="77"/>
        <v>2658.2799999999997</v>
      </c>
      <c r="AW35" s="15"/>
      <c r="AX35" s="35">
        <f t="shared" si="78"/>
        <v>31</v>
      </c>
      <c r="AY35" s="34">
        <f t="shared" si="79"/>
        <v>2497.17</v>
      </c>
      <c r="AZ35" s="34">
        <f t="shared" si="80"/>
        <v>249.72</v>
      </c>
      <c r="BA35" s="34">
        <f t="shared" si="81"/>
        <v>2746.89</v>
      </c>
      <c r="BB35" s="15"/>
      <c r="BC35" s="35">
        <f t="shared" si="82"/>
        <v>31</v>
      </c>
      <c r="BD35" s="34">
        <f t="shared" si="83"/>
        <v>2497.17</v>
      </c>
      <c r="BE35" s="34">
        <f t="shared" si="84"/>
        <v>249.72</v>
      </c>
      <c r="BF35" s="34">
        <f t="shared" si="85"/>
        <v>2746.89</v>
      </c>
      <c r="BG35" s="15"/>
      <c r="BH35" s="35">
        <f t="shared" si="86"/>
        <v>30</v>
      </c>
      <c r="BI35" s="34">
        <f t="shared" si="87"/>
        <v>2416.62</v>
      </c>
      <c r="BJ35" s="34">
        <f t="shared" si="88"/>
        <v>241.66</v>
      </c>
      <c r="BK35" s="34">
        <f t="shared" si="89"/>
        <v>2658.2799999999997</v>
      </c>
      <c r="BL35" s="15"/>
      <c r="BM35" s="35">
        <f t="shared" si="90"/>
        <v>31</v>
      </c>
      <c r="BN35" s="34">
        <f t="shared" si="91"/>
        <v>2497.17</v>
      </c>
      <c r="BO35" s="34">
        <f t="shared" si="92"/>
        <v>249.72</v>
      </c>
      <c r="BP35" s="34">
        <f t="shared" si="93"/>
        <v>2746.89</v>
      </c>
      <c r="BQ35" s="15"/>
      <c r="BR35" s="35">
        <f t="shared" si="94"/>
        <v>30</v>
      </c>
      <c r="BS35" s="34">
        <f t="shared" si="95"/>
        <v>2416.62</v>
      </c>
      <c r="BT35" s="34">
        <f t="shared" si="96"/>
        <v>241.66</v>
      </c>
      <c r="BU35" s="34">
        <f t="shared" si="97"/>
        <v>2658.2799999999997</v>
      </c>
      <c r="BV35" s="15"/>
      <c r="BW35" s="35">
        <f t="shared" si="98"/>
        <v>2</v>
      </c>
      <c r="BX35" s="34">
        <f t="shared" si="99"/>
        <v>161.11000000000001</v>
      </c>
      <c r="BY35" s="34">
        <f t="shared" si="100"/>
        <v>16.11</v>
      </c>
      <c r="BZ35" s="34">
        <f t="shared" si="101"/>
        <v>177.22000000000003</v>
      </c>
      <c r="CA35" s="35">
        <f t="shared" si="102"/>
        <v>260</v>
      </c>
      <c r="CB35" s="34">
        <f t="shared" si="103"/>
        <v>20944.02</v>
      </c>
      <c r="CC35" s="34">
        <f t="shared" si="104"/>
        <v>2094.4100000000003</v>
      </c>
      <c r="CD35" s="34">
        <f t="shared" si="105"/>
        <v>23038.43</v>
      </c>
      <c r="CE35" s="16">
        <f t="shared" si="106"/>
        <v>-0.02</v>
      </c>
      <c r="CF35" s="16">
        <f t="shared" si="107"/>
        <v>-0.01</v>
      </c>
      <c r="CG35" s="31" t="s">
        <v>164</v>
      </c>
      <c r="CH35" s="31" t="s">
        <v>165</v>
      </c>
      <c r="CI35" s="31" t="s">
        <v>49</v>
      </c>
      <c r="CJ35" s="31" t="s">
        <v>166</v>
      </c>
      <c r="CK35" s="31" t="s">
        <v>165</v>
      </c>
      <c r="CL35" s="31" t="s">
        <v>167</v>
      </c>
      <c r="CM35" s="29">
        <v>46098</v>
      </c>
      <c r="CN35" s="28" t="s">
        <v>166</v>
      </c>
      <c r="CO35" s="28"/>
      <c r="CP35" s="28"/>
    </row>
    <row r="36" spans="1:94" ht="40.049999999999997" customHeight="1" x14ac:dyDescent="0.25">
      <c r="A36" s="62">
        <v>35</v>
      </c>
      <c r="B36" s="63">
        <v>52</v>
      </c>
      <c r="C36" s="1" t="s">
        <v>129</v>
      </c>
      <c r="D36" s="2" t="s">
        <v>159</v>
      </c>
      <c r="E36" s="2" t="s">
        <v>188</v>
      </c>
      <c r="F36" s="1" t="s">
        <v>192</v>
      </c>
      <c r="G36" s="2" t="s">
        <v>193</v>
      </c>
      <c r="H36" s="64">
        <v>2.242</v>
      </c>
      <c r="I36" s="1" t="s">
        <v>55</v>
      </c>
      <c r="J36" s="3">
        <v>808</v>
      </c>
      <c r="K36" s="1">
        <v>260</v>
      </c>
      <c r="L36" s="4">
        <v>15699</v>
      </c>
      <c r="M36" s="4">
        <v>1570</v>
      </c>
      <c r="N36" s="4">
        <v>17269</v>
      </c>
      <c r="O36" s="15" t="s">
        <v>194</v>
      </c>
      <c r="P36" s="31" t="s">
        <v>171</v>
      </c>
      <c r="Q36" s="35">
        <f t="shared" si="54"/>
        <v>260</v>
      </c>
      <c r="R36" s="14">
        <v>46099</v>
      </c>
      <c r="S36" s="14">
        <f t="shared" si="57"/>
        <v>46358</v>
      </c>
      <c r="T36" s="34">
        <v>15699</v>
      </c>
      <c r="U36" s="34">
        <f t="shared" si="58"/>
        <v>1569.9</v>
      </c>
      <c r="V36" s="34">
        <f t="shared" si="59"/>
        <v>17268.900000000001</v>
      </c>
      <c r="W36" s="35"/>
      <c r="X36" s="14">
        <f t="shared" si="60"/>
        <v>46099</v>
      </c>
      <c r="Y36" s="14" t="str">
        <f t="shared" si="61"/>
        <v/>
      </c>
      <c r="Z36" s="34"/>
      <c r="AA36" s="34">
        <f t="shared" si="62"/>
        <v>0</v>
      </c>
      <c r="AB36" s="34">
        <f t="shared" si="63"/>
        <v>0</v>
      </c>
      <c r="AC36" s="15"/>
      <c r="AD36" s="35">
        <f t="shared" si="64"/>
        <v>14</v>
      </c>
      <c r="AE36" s="34">
        <f t="shared" si="65"/>
        <v>845.33</v>
      </c>
      <c r="AF36" s="34">
        <f t="shared" si="66"/>
        <v>84.53</v>
      </c>
      <c r="AG36" s="34">
        <f t="shared" si="67"/>
        <v>929.86</v>
      </c>
      <c r="AH36" s="15"/>
      <c r="AI36" s="35">
        <f t="shared" si="68"/>
        <v>30</v>
      </c>
      <c r="AJ36" s="34">
        <f t="shared" si="69"/>
        <v>1811.42</v>
      </c>
      <c r="AK36" s="34">
        <f t="shared" si="70"/>
        <v>181.14</v>
      </c>
      <c r="AL36" s="34">
        <f t="shared" si="71"/>
        <v>1992.56</v>
      </c>
      <c r="AM36" s="15"/>
      <c r="AN36" s="35">
        <f t="shared" si="72"/>
        <v>31</v>
      </c>
      <c r="AO36" s="34">
        <f t="shared" si="55"/>
        <v>1871.8</v>
      </c>
      <c r="AP36" s="34">
        <f t="shared" si="73"/>
        <v>187.18</v>
      </c>
      <c r="AQ36" s="34">
        <f t="shared" si="74"/>
        <v>2058.98</v>
      </c>
      <c r="AR36" s="15"/>
      <c r="AS36" s="35">
        <f t="shared" si="75"/>
        <v>30</v>
      </c>
      <c r="AT36" s="34">
        <f t="shared" si="56"/>
        <v>1811.42</v>
      </c>
      <c r="AU36" s="34">
        <f t="shared" si="76"/>
        <v>181.14</v>
      </c>
      <c r="AV36" s="34">
        <f t="shared" si="77"/>
        <v>1992.56</v>
      </c>
      <c r="AW36" s="15"/>
      <c r="AX36" s="35">
        <f t="shared" si="78"/>
        <v>31</v>
      </c>
      <c r="AY36" s="34">
        <f t="shared" si="79"/>
        <v>1871.8</v>
      </c>
      <c r="AZ36" s="34">
        <f t="shared" si="80"/>
        <v>187.18</v>
      </c>
      <c r="BA36" s="34">
        <f t="shared" si="81"/>
        <v>2058.98</v>
      </c>
      <c r="BB36" s="15"/>
      <c r="BC36" s="35">
        <f t="shared" si="82"/>
        <v>31</v>
      </c>
      <c r="BD36" s="34">
        <f t="shared" si="83"/>
        <v>1871.8</v>
      </c>
      <c r="BE36" s="34">
        <f t="shared" si="84"/>
        <v>187.18</v>
      </c>
      <c r="BF36" s="34">
        <f t="shared" si="85"/>
        <v>2058.98</v>
      </c>
      <c r="BG36" s="15"/>
      <c r="BH36" s="35">
        <f t="shared" si="86"/>
        <v>30</v>
      </c>
      <c r="BI36" s="34">
        <f t="shared" si="87"/>
        <v>1811.42</v>
      </c>
      <c r="BJ36" s="34">
        <f t="shared" si="88"/>
        <v>181.14</v>
      </c>
      <c r="BK36" s="34">
        <f t="shared" si="89"/>
        <v>1992.56</v>
      </c>
      <c r="BL36" s="15"/>
      <c r="BM36" s="35">
        <f t="shared" si="90"/>
        <v>31</v>
      </c>
      <c r="BN36" s="34">
        <f t="shared" si="91"/>
        <v>1871.8</v>
      </c>
      <c r="BO36" s="34">
        <f t="shared" si="92"/>
        <v>187.18</v>
      </c>
      <c r="BP36" s="34">
        <f t="shared" si="93"/>
        <v>2058.98</v>
      </c>
      <c r="BQ36" s="15"/>
      <c r="BR36" s="35">
        <f t="shared" si="94"/>
        <v>30</v>
      </c>
      <c r="BS36" s="34">
        <f t="shared" si="95"/>
        <v>1811.42</v>
      </c>
      <c r="BT36" s="34">
        <f t="shared" si="96"/>
        <v>181.14</v>
      </c>
      <c r="BU36" s="34">
        <f t="shared" si="97"/>
        <v>1992.56</v>
      </c>
      <c r="BV36" s="15"/>
      <c r="BW36" s="35">
        <f t="shared" si="98"/>
        <v>2</v>
      </c>
      <c r="BX36" s="34">
        <f t="shared" si="99"/>
        <v>120.76</v>
      </c>
      <c r="BY36" s="34">
        <f t="shared" si="100"/>
        <v>12.08</v>
      </c>
      <c r="BZ36" s="34">
        <f t="shared" si="101"/>
        <v>132.84</v>
      </c>
      <c r="CA36" s="35">
        <f t="shared" si="102"/>
        <v>260</v>
      </c>
      <c r="CB36" s="34">
        <f t="shared" si="103"/>
        <v>15698.97</v>
      </c>
      <c r="CC36" s="34">
        <f t="shared" si="104"/>
        <v>1569.8900000000003</v>
      </c>
      <c r="CD36" s="34">
        <f t="shared" si="105"/>
        <v>17268.86</v>
      </c>
      <c r="CE36" s="16">
        <f t="shared" si="106"/>
        <v>0.03</v>
      </c>
      <c r="CF36" s="16">
        <f t="shared" si="107"/>
        <v>0.01</v>
      </c>
      <c r="CG36" s="31" t="s">
        <v>164</v>
      </c>
      <c r="CH36" s="31" t="s">
        <v>165</v>
      </c>
      <c r="CI36" s="31" t="s">
        <v>49</v>
      </c>
      <c r="CJ36" s="31" t="s">
        <v>166</v>
      </c>
      <c r="CK36" s="31" t="s">
        <v>165</v>
      </c>
      <c r="CL36" s="31" t="s">
        <v>167</v>
      </c>
      <c r="CM36" s="29">
        <v>46098</v>
      </c>
      <c r="CN36" s="28" t="s">
        <v>166</v>
      </c>
      <c r="CO36" s="28"/>
      <c r="CP36" s="28"/>
    </row>
    <row r="37" spans="1:94" ht="40.049999999999997" customHeight="1" thickBot="1" x14ac:dyDescent="0.3">
      <c r="A37" s="65">
        <v>36</v>
      </c>
      <c r="B37" s="66">
        <v>52</v>
      </c>
      <c r="C37" s="46" t="s">
        <v>129</v>
      </c>
      <c r="D37" s="47" t="s">
        <v>159</v>
      </c>
      <c r="E37" s="47" t="s">
        <v>188</v>
      </c>
      <c r="F37" s="46" t="s">
        <v>195</v>
      </c>
      <c r="G37" s="47" t="s">
        <v>196</v>
      </c>
      <c r="H37" s="67">
        <v>2.9590000000000001</v>
      </c>
      <c r="I37" s="46" t="s">
        <v>55</v>
      </c>
      <c r="J37" s="48">
        <v>808</v>
      </c>
      <c r="K37" s="46">
        <v>261</v>
      </c>
      <c r="L37" s="49">
        <v>20800</v>
      </c>
      <c r="M37" s="49">
        <v>2080</v>
      </c>
      <c r="N37" s="49">
        <v>22880</v>
      </c>
      <c r="O37" s="51" t="s">
        <v>197</v>
      </c>
      <c r="P37" s="53" t="s">
        <v>171</v>
      </c>
      <c r="Q37" s="60">
        <f t="shared" si="54"/>
        <v>261</v>
      </c>
      <c r="R37" s="50">
        <v>46099</v>
      </c>
      <c r="S37" s="50">
        <f t="shared" si="57"/>
        <v>46359</v>
      </c>
      <c r="T37" s="58">
        <v>20800</v>
      </c>
      <c r="U37" s="58">
        <f t="shared" si="58"/>
        <v>2080</v>
      </c>
      <c r="V37" s="58">
        <f t="shared" si="59"/>
        <v>22880</v>
      </c>
      <c r="W37" s="60"/>
      <c r="X37" s="50">
        <f t="shared" si="60"/>
        <v>46099</v>
      </c>
      <c r="Y37" s="50" t="str">
        <f t="shared" si="61"/>
        <v/>
      </c>
      <c r="Z37" s="58"/>
      <c r="AA37" s="58">
        <f t="shared" si="62"/>
        <v>0</v>
      </c>
      <c r="AB37" s="58">
        <f t="shared" si="63"/>
        <v>0</v>
      </c>
      <c r="AC37" s="51"/>
      <c r="AD37" s="60">
        <f t="shared" si="64"/>
        <v>14</v>
      </c>
      <c r="AE37" s="58">
        <f t="shared" si="65"/>
        <v>1115.71</v>
      </c>
      <c r="AF37" s="58">
        <f t="shared" si="66"/>
        <v>111.57</v>
      </c>
      <c r="AG37" s="58">
        <f t="shared" si="67"/>
        <v>1227.28</v>
      </c>
      <c r="AH37" s="51"/>
      <c r="AI37" s="60">
        <f t="shared" si="68"/>
        <v>30</v>
      </c>
      <c r="AJ37" s="58">
        <f t="shared" si="69"/>
        <v>2390.8000000000002</v>
      </c>
      <c r="AK37" s="58">
        <f t="shared" si="70"/>
        <v>239.08</v>
      </c>
      <c r="AL37" s="58">
        <f t="shared" si="71"/>
        <v>2629.88</v>
      </c>
      <c r="AM37" s="51"/>
      <c r="AN37" s="60">
        <f t="shared" si="72"/>
        <v>31</v>
      </c>
      <c r="AO37" s="58">
        <f t="shared" si="55"/>
        <v>2470.5</v>
      </c>
      <c r="AP37" s="58">
        <f t="shared" si="73"/>
        <v>247.05</v>
      </c>
      <c r="AQ37" s="58">
        <f t="shared" si="74"/>
        <v>2717.55</v>
      </c>
      <c r="AR37" s="51"/>
      <c r="AS37" s="60">
        <f t="shared" si="75"/>
        <v>30</v>
      </c>
      <c r="AT37" s="58">
        <f t="shared" si="56"/>
        <v>2390.8000000000002</v>
      </c>
      <c r="AU37" s="58">
        <f t="shared" si="76"/>
        <v>239.08</v>
      </c>
      <c r="AV37" s="58">
        <f t="shared" si="77"/>
        <v>2629.88</v>
      </c>
      <c r="AW37" s="51"/>
      <c r="AX37" s="60">
        <f t="shared" si="78"/>
        <v>31</v>
      </c>
      <c r="AY37" s="58">
        <f t="shared" si="79"/>
        <v>2470.5</v>
      </c>
      <c r="AZ37" s="58">
        <f t="shared" si="80"/>
        <v>247.05</v>
      </c>
      <c r="BA37" s="58">
        <f t="shared" si="81"/>
        <v>2717.55</v>
      </c>
      <c r="BB37" s="51"/>
      <c r="BC37" s="60">
        <f t="shared" si="82"/>
        <v>31</v>
      </c>
      <c r="BD37" s="58">
        <f t="shared" si="83"/>
        <v>2470.5</v>
      </c>
      <c r="BE37" s="58">
        <f t="shared" si="84"/>
        <v>247.05</v>
      </c>
      <c r="BF37" s="58">
        <f t="shared" si="85"/>
        <v>2717.55</v>
      </c>
      <c r="BG37" s="51"/>
      <c r="BH37" s="60">
        <f t="shared" si="86"/>
        <v>30</v>
      </c>
      <c r="BI37" s="58">
        <f t="shared" si="87"/>
        <v>2390.8000000000002</v>
      </c>
      <c r="BJ37" s="58">
        <f t="shared" si="88"/>
        <v>239.08</v>
      </c>
      <c r="BK37" s="58">
        <f t="shared" si="89"/>
        <v>2629.88</v>
      </c>
      <c r="BL37" s="51"/>
      <c r="BM37" s="60">
        <f t="shared" si="90"/>
        <v>31</v>
      </c>
      <c r="BN37" s="58">
        <f t="shared" si="91"/>
        <v>2470.5</v>
      </c>
      <c r="BO37" s="58">
        <f t="shared" si="92"/>
        <v>247.05</v>
      </c>
      <c r="BP37" s="58">
        <f t="shared" si="93"/>
        <v>2717.55</v>
      </c>
      <c r="BQ37" s="51"/>
      <c r="BR37" s="60">
        <f t="shared" si="94"/>
        <v>30</v>
      </c>
      <c r="BS37" s="58">
        <f t="shared" si="95"/>
        <v>2390.8000000000002</v>
      </c>
      <c r="BT37" s="58">
        <f t="shared" si="96"/>
        <v>239.08</v>
      </c>
      <c r="BU37" s="58">
        <f t="shared" si="97"/>
        <v>2629.88</v>
      </c>
      <c r="BV37" s="51"/>
      <c r="BW37" s="60">
        <f t="shared" si="98"/>
        <v>3</v>
      </c>
      <c r="BX37" s="58">
        <f t="shared" si="99"/>
        <v>239.08</v>
      </c>
      <c r="BY37" s="58">
        <f t="shared" si="100"/>
        <v>23.91</v>
      </c>
      <c r="BZ37" s="58">
        <f t="shared" si="101"/>
        <v>262.99</v>
      </c>
      <c r="CA37" s="60">
        <f t="shared" si="102"/>
        <v>261</v>
      </c>
      <c r="CB37" s="58">
        <f t="shared" si="103"/>
        <v>20799.990000000002</v>
      </c>
      <c r="CC37" s="58">
        <f t="shared" si="104"/>
        <v>2080</v>
      </c>
      <c r="CD37" s="58">
        <f t="shared" si="105"/>
        <v>22879.99</v>
      </c>
      <c r="CE37" s="52">
        <f t="shared" si="106"/>
        <v>0.01</v>
      </c>
      <c r="CF37" s="52">
        <f t="shared" si="107"/>
        <v>0</v>
      </c>
      <c r="CG37" s="53" t="s">
        <v>164</v>
      </c>
      <c r="CH37" s="53" t="s">
        <v>165</v>
      </c>
      <c r="CI37" s="53" t="s">
        <v>49</v>
      </c>
      <c r="CJ37" s="53" t="s">
        <v>166</v>
      </c>
      <c r="CK37" s="53" t="s">
        <v>165</v>
      </c>
      <c r="CL37" s="53" t="s">
        <v>167</v>
      </c>
      <c r="CM37" s="54">
        <v>46098</v>
      </c>
      <c r="CN37" s="55" t="s">
        <v>166</v>
      </c>
      <c r="CO37" s="55"/>
      <c r="CP37" s="55"/>
    </row>
    <row r="38" spans="1:94" ht="40.049999999999997" customHeight="1" thickTop="1" x14ac:dyDescent="0.25">
      <c r="A38" s="68">
        <v>37</v>
      </c>
      <c r="B38" s="69">
        <v>204</v>
      </c>
      <c r="C38" s="36" t="s">
        <v>129</v>
      </c>
      <c r="D38" s="37" t="s">
        <v>129</v>
      </c>
      <c r="E38" s="37" t="s">
        <v>198</v>
      </c>
      <c r="F38" s="36" t="s">
        <v>199</v>
      </c>
      <c r="G38" s="37" t="s">
        <v>200</v>
      </c>
      <c r="H38" s="70">
        <v>5.4980000000000002</v>
      </c>
      <c r="I38" s="36" t="s">
        <v>46</v>
      </c>
      <c r="J38" s="38">
        <v>735</v>
      </c>
      <c r="K38" s="36">
        <v>240</v>
      </c>
      <c r="L38" s="39">
        <v>32328</v>
      </c>
      <c r="M38" s="39">
        <v>3233</v>
      </c>
      <c r="N38" s="39">
        <v>35561</v>
      </c>
      <c r="O38" s="41" t="s">
        <v>201</v>
      </c>
      <c r="P38" s="43" t="s">
        <v>202</v>
      </c>
      <c r="Q38" s="61">
        <f t="shared" si="54"/>
        <v>240</v>
      </c>
      <c r="R38" s="40">
        <v>46144</v>
      </c>
      <c r="S38" s="40">
        <f t="shared" si="57"/>
        <v>46383</v>
      </c>
      <c r="T38" s="56">
        <v>30710.34</v>
      </c>
      <c r="U38" s="56">
        <f t="shared" si="58"/>
        <v>3071.03</v>
      </c>
      <c r="V38" s="56">
        <f t="shared" si="59"/>
        <v>33781.370000000003</v>
      </c>
      <c r="W38" s="61"/>
      <c r="X38" s="40">
        <f t="shared" si="60"/>
        <v>46144</v>
      </c>
      <c r="Y38" s="40" t="str">
        <f t="shared" si="61"/>
        <v/>
      </c>
      <c r="Z38" s="56"/>
      <c r="AA38" s="56">
        <f t="shared" si="62"/>
        <v>0</v>
      </c>
      <c r="AB38" s="56">
        <f t="shared" si="63"/>
        <v>0</v>
      </c>
      <c r="AC38" s="41"/>
      <c r="AD38" s="61">
        <f t="shared" si="64"/>
        <v>0</v>
      </c>
      <c r="AE38" s="56">
        <f t="shared" si="65"/>
        <v>0</v>
      </c>
      <c r="AF38" s="56">
        <f t="shared" si="66"/>
        <v>0</v>
      </c>
      <c r="AG38" s="56">
        <f t="shared" si="67"/>
        <v>0</v>
      </c>
      <c r="AH38" s="41"/>
      <c r="AI38" s="61">
        <f t="shared" si="68"/>
        <v>0</v>
      </c>
      <c r="AJ38" s="56">
        <f t="shared" si="69"/>
        <v>0</v>
      </c>
      <c r="AK38" s="56">
        <f t="shared" si="70"/>
        <v>0</v>
      </c>
      <c r="AL38" s="56">
        <f t="shared" si="71"/>
        <v>0</v>
      </c>
      <c r="AM38" s="41"/>
      <c r="AN38" s="61">
        <f t="shared" si="72"/>
        <v>30</v>
      </c>
      <c r="AO38" s="56">
        <f t="shared" si="55"/>
        <v>3838.79</v>
      </c>
      <c r="AP38" s="56">
        <f t="shared" si="73"/>
        <v>383.88</v>
      </c>
      <c r="AQ38" s="56">
        <f t="shared" si="74"/>
        <v>4222.67</v>
      </c>
      <c r="AR38" s="41"/>
      <c r="AS38" s="61">
        <f t="shared" si="75"/>
        <v>30</v>
      </c>
      <c r="AT38" s="56">
        <f t="shared" si="56"/>
        <v>3838.79</v>
      </c>
      <c r="AU38" s="56">
        <f t="shared" si="76"/>
        <v>383.88</v>
      </c>
      <c r="AV38" s="56">
        <f t="shared" si="77"/>
        <v>4222.67</v>
      </c>
      <c r="AW38" s="41"/>
      <c r="AX38" s="61">
        <f t="shared" si="78"/>
        <v>31</v>
      </c>
      <c r="AY38" s="56">
        <f t="shared" si="79"/>
        <v>3966.75</v>
      </c>
      <c r="AZ38" s="56">
        <f t="shared" si="80"/>
        <v>396.68</v>
      </c>
      <c r="BA38" s="56">
        <f t="shared" si="81"/>
        <v>4363.43</v>
      </c>
      <c r="BB38" s="41"/>
      <c r="BC38" s="61">
        <f t="shared" si="82"/>
        <v>31</v>
      </c>
      <c r="BD38" s="56">
        <f t="shared" si="83"/>
        <v>3966.75</v>
      </c>
      <c r="BE38" s="56">
        <f t="shared" si="84"/>
        <v>396.68</v>
      </c>
      <c r="BF38" s="56">
        <f t="shared" si="85"/>
        <v>4363.43</v>
      </c>
      <c r="BG38" s="41"/>
      <c r="BH38" s="61">
        <f t="shared" si="86"/>
        <v>30</v>
      </c>
      <c r="BI38" s="56">
        <f t="shared" si="87"/>
        <v>3838.79</v>
      </c>
      <c r="BJ38" s="56">
        <f t="shared" si="88"/>
        <v>383.88</v>
      </c>
      <c r="BK38" s="56">
        <f t="shared" si="89"/>
        <v>4222.67</v>
      </c>
      <c r="BL38" s="41"/>
      <c r="BM38" s="61">
        <f t="shared" si="90"/>
        <v>31</v>
      </c>
      <c r="BN38" s="56">
        <f t="shared" si="91"/>
        <v>3966.75</v>
      </c>
      <c r="BO38" s="56">
        <f t="shared" si="92"/>
        <v>396.68</v>
      </c>
      <c r="BP38" s="56">
        <f t="shared" si="93"/>
        <v>4363.43</v>
      </c>
      <c r="BQ38" s="41"/>
      <c r="BR38" s="61">
        <f t="shared" si="94"/>
        <v>30</v>
      </c>
      <c r="BS38" s="56">
        <f t="shared" si="95"/>
        <v>3838.79</v>
      </c>
      <c r="BT38" s="56">
        <f t="shared" si="96"/>
        <v>383.88</v>
      </c>
      <c r="BU38" s="56">
        <f t="shared" si="97"/>
        <v>4222.67</v>
      </c>
      <c r="BV38" s="41"/>
      <c r="BW38" s="61">
        <f t="shared" si="98"/>
        <v>27</v>
      </c>
      <c r="BX38" s="56">
        <f t="shared" si="99"/>
        <v>3454.91</v>
      </c>
      <c r="BY38" s="56">
        <f t="shared" si="100"/>
        <v>345.49</v>
      </c>
      <c r="BZ38" s="56">
        <f t="shared" si="101"/>
        <v>3800.3999999999996</v>
      </c>
      <c r="CA38" s="61">
        <f t="shared" si="102"/>
        <v>240</v>
      </c>
      <c r="CB38" s="56">
        <f t="shared" si="103"/>
        <v>30710.32</v>
      </c>
      <c r="CC38" s="56">
        <f t="shared" si="104"/>
        <v>3071.05</v>
      </c>
      <c r="CD38" s="56">
        <f t="shared" si="105"/>
        <v>33781.370000000003</v>
      </c>
      <c r="CE38" s="42">
        <f t="shared" si="106"/>
        <v>0.02</v>
      </c>
      <c r="CF38" s="42">
        <f t="shared" si="107"/>
        <v>-0.02</v>
      </c>
      <c r="CG38" s="43" t="s">
        <v>203</v>
      </c>
      <c r="CH38" s="43" t="s">
        <v>204</v>
      </c>
      <c r="CI38" s="43" t="s">
        <v>49</v>
      </c>
      <c r="CJ38" s="43" t="s">
        <v>205</v>
      </c>
      <c r="CK38" s="43" t="s">
        <v>206</v>
      </c>
      <c r="CL38" s="43" t="s">
        <v>207</v>
      </c>
      <c r="CM38" s="44">
        <v>46140</v>
      </c>
      <c r="CN38" s="45" t="s">
        <v>208</v>
      </c>
      <c r="CO38" s="45"/>
      <c r="CP38" s="45"/>
    </row>
    <row r="39" spans="1:94" ht="40.049999999999997" customHeight="1" x14ac:dyDescent="0.25">
      <c r="A39" s="62">
        <v>38</v>
      </c>
      <c r="B39" s="63">
        <v>204</v>
      </c>
      <c r="C39" s="1" t="s">
        <v>129</v>
      </c>
      <c r="D39" s="2" t="s">
        <v>129</v>
      </c>
      <c r="E39" s="2" t="s">
        <v>198</v>
      </c>
      <c r="F39" s="1" t="s">
        <v>209</v>
      </c>
      <c r="G39" s="2" t="s">
        <v>210</v>
      </c>
      <c r="H39" s="64">
        <v>3.012</v>
      </c>
      <c r="I39" s="1" t="s">
        <v>46</v>
      </c>
      <c r="J39" s="3">
        <v>735</v>
      </c>
      <c r="K39" s="1">
        <v>240</v>
      </c>
      <c r="L39" s="4">
        <v>17711</v>
      </c>
      <c r="M39" s="4">
        <v>1771</v>
      </c>
      <c r="N39" s="4">
        <v>19482</v>
      </c>
      <c r="O39" s="15" t="s">
        <v>201</v>
      </c>
      <c r="P39" s="31" t="s">
        <v>202</v>
      </c>
      <c r="Q39" s="35">
        <f t="shared" si="54"/>
        <v>240</v>
      </c>
      <c r="R39" s="14">
        <v>46144</v>
      </c>
      <c r="S39" s="14">
        <f t="shared" si="57"/>
        <v>46383</v>
      </c>
      <c r="T39" s="34">
        <v>16824.5</v>
      </c>
      <c r="U39" s="34">
        <f t="shared" si="58"/>
        <v>1682.45</v>
      </c>
      <c r="V39" s="34">
        <f t="shared" si="59"/>
        <v>18506.95</v>
      </c>
      <c r="W39" s="35"/>
      <c r="X39" s="14">
        <f t="shared" si="60"/>
        <v>46144</v>
      </c>
      <c r="Y39" s="14" t="str">
        <f t="shared" si="61"/>
        <v/>
      </c>
      <c r="Z39" s="34"/>
      <c r="AA39" s="34">
        <f t="shared" si="62"/>
        <v>0</v>
      </c>
      <c r="AB39" s="34">
        <f t="shared" si="63"/>
        <v>0</v>
      </c>
      <c r="AC39" s="15"/>
      <c r="AD39" s="35">
        <f t="shared" si="64"/>
        <v>0</v>
      </c>
      <c r="AE39" s="34">
        <f t="shared" si="65"/>
        <v>0</v>
      </c>
      <c r="AF39" s="34">
        <f t="shared" si="66"/>
        <v>0</v>
      </c>
      <c r="AG39" s="34">
        <f t="shared" si="67"/>
        <v>0</v>
      </c>
      <c r="AH39" s="15"/>
      <c r="AI39" s="35">
        <f t="shared" si="68"/>
        <v>0</v>
      </c>
      <c r="AJ39" s="34">
        <f t="shared" si="69"/>
        <v>0</v>
      </c>
      <c r="AK39" s="34">
        <f t="shared" si="70"/>
        <v>0</v>
      </c>
      <c r="AL39" s="34">
        <f t="shared" si="71"/>
        <v>0</v>
      </c>
      <c r="AM39" s="15"/>
      <c r="AN39" s="35">
        <f t="shared" si="72"/>
        <v>30</v>
      </c>
      <c r="AO39" s="34">
        <f t="shared" si="55"/>
        <v>2103.06</v>
      </c>
      <c r="AP39" s="34">
        <f t="shared" si="73"/>
        <v>210.31</v>
      </c>
      <c r="AQ39" s="34">
        <f t="shared" si="74"/>
        <v>2313.37</v>
      </c>
      <c r="AR39" s="15"/>
      <c r="AS39" s="35">
        <f t="shared" si="75"/>
        <v>30</v>
      </c>
      <c r="AT39" s="34">
        <f t="shared" si="56"/>
        <v>2103.06</v>
      </c>
      <c r="AU39" s="34">
        <f t="shared" si="76"/>
        <v>210.31</v>
      </c>
      <c r="AV39" s="34">
        <f t="shared" si="77"/>
        <v>2313.37</v>
      </c>
      <c r="AW39" s="15"/>
      <c r="AX39" s="35">
        <f t="shared" si="78"/>
        <v>31</v>
      </c>
      <c r="AY39" s="34">
        <f t="shared" si="79"/>
        <v>2173.16</v>
      </c>
      <c r="AZ39" s="34">
        <f t="shared" si="80"/>
        <v>217.32</v>
      </c>
      <c r="BA39" s="34">
        <f t="shared" si="81"/>
        <v>2390.48</v>
      </c>
      <c r="BB39" s="15"/>
      <c r="BC39" s="35">
        <f t="shared" si="82"/>
        <v>31</v>
      </c>
      <c r="BD39" s="34">
        <f t="shared" si="83"/>
        <v>2173.16</v>
      </c>
      <c r="BE39" s="34">
        <f t="shared" si="84"/>
        <v>217.32</v>
      </c>
      <c r="BF39" s="34">
        <f t="shared" si="85"/>
        <v>2390.48</v>
      </c>
      <c r="BG39" s="15"/>
      <c r="BH39" s="35">
        <f t="shared" si="86"/>
        <v>30</v>
      </c>
      <c r="BI39" s="34">
        <f t="shared" si="87"/>
        <v>2103.06</v>
      </c>
      <c r="BJ39" s="34">
        <f t="shared" si="88"/>
        <v>210.31</v>
      </c>
      <c r="BK39" s="34">
        <f t="shared" si="89"/>
        <v>2313.37</v>
      </c>
      <c r="BL39" s="15"/>
      <c r="BM39" s="35">
        <f t="shared" si="90"/>
        <v>31</v>
      </c>
      <c r="BN39" s="34">
        <f t="shared" si="91"/>
        <v>2173.16</v>
      </c>
      <c r="BO39" s="34">
        <f t="shared" si="92"/>
        <v>217.32</v>
      </c>
      <c r="BP39" s="34">
        <f t="shared" si="93"/>
        <v>2390.48</v>
      </c>
      <c r="BQ39" s="15"/>
      <c r="BR39" s="35">
        <f t="shared" si="94"/>
        <v>30</v>
      </c>
      <c r="BS39" s="34">
        <f t="shared" si="95"/>
        <v>2103.06</v>
      </c>
      <c r="BT39" s="34">
        <f t="shared" si="96"/>
        <v>210.31</v>
      </c>
      <c r="BU39" s="34">
        <f t="shared" si="97"/>
        <v>2313.37</v>
      </c>
      <c r="BV39" s="15"/>
      <c r="BW39" s="35">
        <f t="shared" si="98"/>
        <v>27</v>
      </c>
      <c r="BX39" s="34">
        <f t="shared" si="99"/>
        <v>1892.76</v>
      </c>
      <c r="BY39" s="34">
        <f t="shared" si="100"/>
        <v>189.28</v>
      </c>
      <c r="BZ39" s="34">
        <f t="shared" si="101"/>
        <v>2082.04</v>
      </c>
      <c r="CA39" s="35">
        <f t="shared" si="102"/>
        <v>240</v>
      </c>
      <c r="CB39" s="34">
        <f t="shared" si="103"/>
        <v>16824.479999999996</v>
      </c>
      <c r="CC39" s="34">
        <f t="shared" si="104"/>
        <v>1682.4799999999998</v>
      </c>
      <c r="CD39" s="34">
        <f t="shared" si="105"/>
        <v>18506.959999999995</v>
      </c>
      <c r="CE39" s="16">
        <f t="shared" si="106"/>
        <v>0.02</v>
      </c>
      <c r="CF39" s="16">
        <f t="shared" si="107"/>
        <v>-0.03</v>
      </c>
      <c r="CG39" s="31" t="s">
        <v>203</v>
      </c>
      <c r="CH39" s="31" t="s">
        <v>204</v>
      </c>
      <c r="CI39" s="31" t="s">
        <v>49</v>
      </c>
      <c r="CJ39" s="31" t="s">
        <v>205</v>
      </c>
      <c r="CK39" s="31" t="s">
        <v>206</v>
      </c>
      <c r="CL39" s="31" t="s">
        <v>207</v>
      </c>
      <c r="CM39" s="29">
        <v>46140</v>
      </c>
      <c r="CN39" s="28" t="s">
        <v>208</v>
      </c>
      <c r="CO39" s="28"/>
      <c r="CP39" s="28"/>
    </row>
    <row r="40" spans="1:94" ht="40.049999999999997" customHeight="1" x14ac:dyDescent="0.25">
      <c r="A40" s="62">
        <v>39</v>
      </c>
      <c r="B40" s="63">
        <v>204</v>
      </c>
      <c r="C40" s="1" t="s">
        <v>129</v>
      </c>
      <c r="D40" s="2" t="s">
        <v>129</v>
      </c>
      <c r="E40" s="2" t="s">
        <v>198</v>
      </c>
      <c r="F40" s="1" t="s">
        <v>211</v>
      </c>
      <c r="G40" s="2" t="s">
        <v>212</v>
      </c>
      <c r="H40" s="64">
        <v>8.0860000000000003</v>
      </c>
      <c r="I40" s="1" t="s">
        <v>55</v>
      </c>
      <c r="J40" s="3">
        <v>887.5</v>
      </c>
      <c r="K40" s="1">
        <v>240</v>
      </c>
      <c r="L40" s="4">
        <v>57411</v>
      </c>
      <c r="M40" s="4">
        <v>5741</v>
      </c>
      <c r="N40" s="4">
        <v>63152</v>
      </c>
      <c r="O40" s="15" t="s">
        <v>201</v>
      </c>
      <c r="P40" s="31" t="s">
        <v>202</v>
      </c>
      <c r="Q40" s="35">
        <f t="shared" si="54"/>
        <v>240</v>
      </c>
      <c r="R40" s="14">
        <v>46144</v>
      </c>
      <c r="S40" s="14">
        <f t="shared" si="57"/>
        <v>46383</v>
      </c>
      <c r="T40" s="34">
        <v>54530</v>
      </c>
      <c r="U40" s="34">
        <f t="shared" si="58"/>
        <v>5453</v>
      </c>
      <c r="V40" s="34">
        <f t="shared" si="59"/>
        <v>59983</v>
      </c>
      <c r="W40" s="35"/>
      <c r="X40" s="14">
        <f t="shared" si="60"/>
        <v>46144</v>
      </c>
      <c r="Y40" s="14" t="str">
        <f t="shared" si="61"/>
        <v/>
      </c>
      <c r="Z40" s="34"/>
      <c r="AA40" s="34">
        <f t="shared" si="62"/>
        <v>0</v>
      </c>
      <c r="AB40" s="34">
        <f t="shared" si="63"/>
        <v>0</v>
      </c>
      <c r="AC40" s="15"/>
      <c r="AD40" s="35">
        <f t="shared" si="64"/>
        <v>0</v>
      </c>
      <c r="AE40" s="34">
        <f t="shared" si="65"/>
        <v>0</v>
      </c>
      <c r="AF40" s="34">
        <f t="shared" si="66"/>
        <v>0</v>
      </c>
      <c r="AG40" s="34">
        <f t="shared" si="67"/>
        <v>0</v>
      </c>
      <c r="AH40" s="15"/>
      <c r="AI40" s="35">
        <f t="shared" si="68"/>
        <v>0</v>
      </c>
      <c r="AJ40" s="34">
        <f t="shared" si="69"/>
        <v>0</v>
      </c>
      <c r="AK40" s="34">
        <f t="shared" si="70"/>
        <v>0</v>
      </c>
      <c r="AL40" s="34">
        <f t="shared" si="71"/>
        <v>0</v>
      </c>
      <c r="AM40" s="15"/>
      <c r="AN40" s="35">
        <f t="shared" si="72"/>
        <v>30</v>
      </c>
      <c r="AO40" s="34">
        <f t="shared" si="55"/>
        <v>6816.25</v>
      </c>
      <c r="AP40" s="34">
        <f t="shared" si="73"/>
        <v>681.63</v>
      </c>
      <c r="AQ40" s="34">
        <f t="shared" si="74"/>
        <v>7497.88</v>
      </c>
      <c r="AR40" s="15"/>
      <c r="AS40" s="35">
        <f t="shared" si="75"/>
        <v>30</v>
      </c>
      <c r="AT40" s="34">
        <f t="shared" si="56"/>
        <v>6816.25</v>
      </c>
      <c r="AU40" s="34">
        <f t="shared" si="76"/>
        <v>681.63</v>
      </c>
      <c r="AV40" s="34">
        <f t="shared" si="77"/>
        <v>7497.88</v>
      </c>
      <c r="AW40" s="15"/>
      <c r="AX40" s="35">
        <f t="shared" si="78"/>
        <v>31</v>
      </c>
      <c r="AY40" s="34">
        <f t="shared" si="79"/>
        <v>7043.46</v>
      </c>
      <c r="AZ40" s="34">
        <f t="shared" si="80"/>
        <v>704.35</v>
      </c>
      <c r="BA40" s="34">
        <f t="shared" si="81"/>
        <v>7747.81</v>
      </c>
      <c r="BB40" s="15"/>
      <c r="BC40" s="35">
        <f t="shared" si="82"/>
        <v>31</v>
      </c>
      <c r="BD40" s="34">
        <f t="shared" si="83"/>
        <v>7043.46</v>
      </c>
      <c r="BE40" s="34">
        <f t="shared" si="84"/>
        <v>704.35</v>
      </c>
      <c r="BF40" s="34">
        <f t="shared" si="85"/>
        <v>7747.81</v>
      </c>
      <c r="BG40" s="15"/>
      <c r="BH40" s="35">
        <f t="shared" si="86"/>
        <v>30</v>
      </c>
      <c r="BI40" s="34">
        <f t="shared" si="87"/>
        <v>6816.25</v>
      </c>
      <c r="BJ40" s="34">
        <f t="shared" si="88"/>
        <v>681.63</v>
      </c>
      <c r="BK40" s="34">
        <f t="shared" si="89"/>
        <v>7497.88</v>
      </c>
      <c r="BL40" s="15"/>
      <c r="BM40" s="35">
        <f t="shared" si="90"/>
        <v>31</v>
      </c>
      <c r="BN40" s="34">
        <f t="shared" si="91"/>
        <v>7043.46</v>
      </c>
      <c r="BO40" s="34">
        <f t="shared" si="92"/>
        <v>704.35</v>
      </c>
      <c r="BP40" s="34">
        <f t="shared" si="93"/>
        <v>7747.81</v>
      </c>
      <c r="BQ40" s="15"/>
      <c r="BR40" s="35">
        <f t="shared" si="94"/>
        <v>30</v>
      </c>
      <c r="BS40" s="34">
        <f t="shared" si="95"/>
        <v>6816.25</v>
      </c>
      <c r="BT40" s="34">
        <f t="shared" si="96"/>
        <v>681.63</v>
      </c>
      <c r="BU40" s="34">
        <f t="shared" si="97"/>
        <v>7497.88</v>
      </c>
      <c r="BV40" s="15"/>
      <c r="BW40" s="35">
        <f t="shared" si="98"/>
        <v>27</v>
      </c>
      <c r="BX40" s="34">
        <f t="shared" si="99"/>
        <v>6134.63</v>
      </c>
      <c r="BY40" s="34">
        <f t="shared" si="100"/>
        <v>613.46</v>
      </c>
      <c r="BZ40" s="34">
        <f t="shared" si="101"/>
        <v>6748.09</v>
      </c>
      <c r="CA40" s="35">
        <f t="shared" si="102"/>
        <v>240</v>
      </c>
      <c r="CB40" s="34">
        <f t="shared" si="103"/>
        <v>54530.009999999995</v>
      </c>
      <c r="CC40" s="34">
        <f t="shared" si="104"/>
        <v>5453.0300000000007</v>
      </c>
      <c r="CD40" s="34">
        <f t="shared" si="105"/>
        <v>59983.039999999994</v>
      </c>
      <c r="CE40" s="16">
        <f t="shared" si="106"/>
        <v>-0.01</v>
      </c>
      <c r="CF40" s="16">
        <f t="shared" si="107"/>
        <v>-0.03</v>
      </c>
      <c r="CG40" s="31" t="s">
        <v>203</v>
      </c>
      <c r="CH40" s="31" t="s">
        <v>204</v>
      </c>
      <c r="CI40" s="31" t="s">
        <v>49</v>
      </c>
      <c r="CJ40" s="31" t="s">
        <v>205</v>
      </c>
      <c r="CK40" s="31" t="s">
        <v>206</v>
      </c>
      <c r="CL40" s="31" t="s">
        <v>207</v>
      </c>
      <c r="CM40" s="29">
        <v>46140</v>
      </c>
      <c r="CN40" s="28" t="s">
        <v>208</v>
      </c>
      <c r="CO40" s="28"/>
      <c r="CP40" s="28"/>
    </row>
    <row r="41" spans="1:94" ht="40.049999999999997" customHeight="1" x14ac:dyDescent="0.25">
      <c r="A41" s="62">
        <v>40</v>
      </c>
      <c r="B41" s="63">
        <v>204</v>
      </c>
      <c r="C41" s="1" t="s">
        <v>129</v>
      </c>
      <c r="D41" s="2" t="s">
        <v>129</v>
      </c>
      <c r="E41" s="2" t="s">
        <v>213</v>
      </c>
      <c r="F41" s="1" t="s">
        <v>214</v>
      </c>
      <c r="G41" s="2" t="s">
        <v>215</v>
      </c>
      <c r="H41" s="64">
        <v>12.884</v>
      </c>
      <c r="I41" s="1" t="s">
        <v>55</v>
      </c>
      <c r="J41" s="3">
        <v>887.5</v>
      </c>
      <c r="K41" s="1">
        <v>240</v>
      </c>
      <c r="L41" s="4">
        <v>91476</v>
      </c>
      <c r="M41" s="4">
        <v>9148</v>
      </c>
      <c r="N41" s="4">
        <v>100624</v>
      </c>
      <c r="O41" s="15" t="s">
        <v>216</v>
      </c>
      <c r="P41" s="31" t="s">
        <v>202</v>
      </c>
      <c r="Q41" s="35">
        <f t="shared" si="54"/>
        <v>240</v>
      </c>
      <c r="R41" s="14">
        <v>46144</v>
      </c>
      <c r="S41" s="14">
        <f t="shared" si="57"/>
        <v>46383</v>
      </c>
      <c r="T41" s="34">
        <v>86896.5</v>
      </c>
      <c r="U41" s="34">
        <f t="shared" si="58"/>
        <v>8689.65</v>
      </c>
      <c r="V41" s="34">
        <f t="shared" si="59"/>
        <v>95586.15</v>
      </c>
      <c r="W41" s="35"/>
      <c r="X41" s="14">
        <f t="shared" si="60"/>
        <v>46144</v>
      </c>
      <c r="Y41" s="14" t="str">
        <f t="shared" si="61"/>
        <v/>
      </c>
      <c r="Z41" s="34"/>
      <c r="AA41" s="34">
        <f t="shared" si="62"/>
        <v>0</v>
      </c>
      <c r="AB41" s="34">
        <f t="shared" si="63"/>
        <v>0</v>
      </c>
      <c r="AC41" s="15"/>
      <c r="AD41" s="35">
        <f t="shared" si="64"/>
        <v>0</v>
      </c>
      <c r="AE41" s="34">
        <f t="shared" si="65"/>
        <v>0</v>
      </c>
      <c r="AF41" s="34">
        <f t="shared" si="66"/>
        <v>0</v>
      </c>
      <c r="AG41" s="34">
        <f t="shared" si="67"/>
        <v>0</v>
      </c>
      <c r="AH41" s="15"/>
      <c r="AI41" s="35">
        <f t="shared" si="68"/>
        <v>0</v>
      </c>
      <c r="AJ41" s="34">
        <f t="shared" si="69"/>
        <v>0</v>
      </c>
      <c r="AK41" s="34">
        <f t="shared" si="70"/>
        <v>0</v>
      </c>
      <c r="AL41" s="34">
        <f t="shared" si="71"/>
        <v>0</v>
      </c>
      <c r="AM41" s="15"/>
      <c r="AN41" s="35">
        <f t="shared" si="72"/>
        <v>30</v>
      </c>
      <c r="AO41" s="34">
        <f t="shared" si="55"/>
        <v>10862.06</v>
      </c>
      <c r="AP41" s="34">
        <f t="shared" si="73"/>
        <v>1086.21</v>
      </c>
      <c r="AQ41" s="34">
        <f t="shared" si="74"/>
        <v>11948.27</v>
      </c>
      <c r="AR41" s="15"/>
      <c r="AS41" s="35">
        <f t="shared" si="75"/>
        <v>30</v>
      </c>
      <c r="AT41" s="34">
        <f t="shared" si="56"/>
        <v>10862.06</v>
      </c>
      <c r="AU41" s="34">
        <f t="shared" si="76"/>
        <v>1086.21</v>
      </c>
      <c r="AV41" s="34">
        <f t="shared" si="77"/>
        <v>11948.27</v>
      </c>
      <c r="AW41" s="15"/>
      <c r="AX41" s="35">
        <f t="shared" si="78"/>
        <v>31</v>
      </c>
      <c r="AY41" s="34">
        <f t="shared" si="79"/>
        <v>11224.13</v>
      </c>
      <c r="AZ41" s="34">
        <f t="shared" si="80"/>
        <v>1122.4100000000001</v>
      </c>
      <c r="BA41" s="34">
        <f t="shared" si="81"/>
        <v>12346.539999999999</v>
      </c>
      <c r="BB41" s="15"/>
      <c r="BC41" s="35">
        <f t="shared" si="82"/>
        <v>31</v>
      </c>
      <c r="BD41" s="34">
        <f t="shared" si="83"/>
        <v>11224.13</v>
      </c>
      <c r="BE41" s="34">
        <f t="shared" si="84"/>
        <v>1122.4100000000001</v>
      </c>
      <c r="BF41" s="34">
        <f t="shared" si="85"/>
        <v>12346.539999999999</v>
      </c>
      <c r="BG41" s="15"/>
      <c r="BH41" s="35">
        <f t="shared" si="86"/>
        <v>30</v>
      </c>
      <c r="BI41" s="34">
        <f t="shared" si="87"/>
        <v>10862.06</v>
      </c>
      <c r="BJ41" s="34">
        <f t="shared" si="88"/>
        <v>1086.21</v>
      </c>
      <c r="BK41" s="34">
        <f t="shared" si="89"/>
        <v>11948.27</v>
      </c>
      <c r="BL41" s="15"/>
      <c r="BM41" s="35">
        <f t="shared" si="90"/>
        <v>31</v>
      </c>
      <c r="BN41" s="34">
        <f t="shared" si="91"/>
        <v>11224.13</v>
      </c>
      <c r="BO41" s="34">
        <f t="shared" si="92"/>
        <v>1122.4100000000001</v>
      </c>
      <c r="BP41" s="34">
        <f t="shared" si="93"/>
        <v>12346.539999999999</v>
      </c>
      <c r="BQ41" s="15"/>
      <c r="BR41" s="35">
        <f t="shared" si="94"/>
        <v>30</v>
      </c>
      <c r="BS41" s="34">
        <f t="shared" si="95"/>
        <v>10862.06</v>
      </c>
      <c r="BT41" s="34">
        <f t="shared" si="96"/>
        <v>1086.21</v>
      </c>
      <c r="BU41" s="34">
        <f t="shared" si="97"/>
        <v>11948.27</v>
      </c>
      <c r="BV41" s="15"/>
      <c r="BW41" s="35">
        <f t="shared" si="98"/>
        <v>27</v>
      </c>
      <c r="BX41" s="34">
        <f t="shared" si="99"/>
        <v>9775.86</v>
      </c>
      <c r="BY41" s="34">
        <f t="shared" si="100"/>
        <v>977.59</v>
      </c>
      <c r="BZ41" s="34">
        <f t="shared" si="101"/>
        <v>10753.45</v>
      </c>
      <c r="CA41" s="35">
        <f t="shared" si="102"/>
        <v>240</v>
      </c>
      <c r="CB41" s="34">
        <f t="shared" si="103"/>
        <v>86896.489999999991</v>
      </c>
      <c r="CC41" s="34">
        <f t="shared" si="104"/>
        <v>8689.66</v>
      </c>
      <c r="CD41" s="34">
        <f t="shared" si="105"/>
        <v>95586.15</v>
      </c>
      <c r="CE41" s="16">
        <f t="shared" si="106"/>
        <v>0.01</v>
      </c>
      <c r="CF41" s="16">
        <f t="shared" si="107"/>
        <v>-0.01</v>
      </c>
      <c r="CG41" s="31" t="s">
        <v>203</v>
      </c>
      <c r="CH41" s="31" t="s">
        <v>204</v>
      </c>
      <c r="CI41" s="31" t="s">
        <v>49</v>
      </c>
      <c r="CJ41" s="31" t="s">
        <v>205</v>
      </c>
      <c r="CK41" s="31" t="s">
        <v>206</v>
      </c>
      <c r="CL41" s="31" t="s">
        <v>207</v>
      </c>
      <c r="CM41" s="29">
        <v>46140</v>
      </c>
      <c r="CN41" s="28" t="s">
        <v>208</v>
      </c>
      <c r="CO41" s="28"/>
      <c r="CP41" s="28"/>
    </row>
    <row r="42" spans="1:94" ht="40.049999999999997" customHeight="1" x14ac:dyDescent="0.25">
      <c r="A42" s="62">
        <v>41</v>
      </c>
      <c r="B42" s="63">
        <v>204</v>
      </c>
      <c r="C42" s="1" t="s">
        <v>129</v>
      </c>
      <c r="D42" s="2" t="s">
        <v>129</v>
      </c>
      <c r="E42" s="2" t="s">
        <v>213</v>
      </c>
      <c r="F42" s="1" t="s">
        <v>217</v>
      </c>
      <c r="G42" s="2" t="s">
        <v>218</v>
      </c>
      <c r="H42" s="64">
        <v>17.52</v>
      </c>
      <c r="I42" s="1" t="s">
        <v>55</v>
      </c>
      <c r="J42" s="3">
        <v>887.5</v>
      </c>
      <c r="K42" s="1">
        <v>240</v>
      </c>
      <c r="L42" s="4">
        <v>124392</v>
      </c>
      <c r="M42" s="4">
        <v>12439</v>
      </c>
      <c r="N42" s="4">
        <v>136831</v>
      </c>
      <c r="O42" s="15" t="s">
        <v>216</v>
      </c>
      <c r="P42" s="31" t="s">
        <v>202</v>
      </c>
      <c r="Q42" s="35">
        <f t="shared" si="54"/>
        <v>240</v>
      </c>
      <c r="R42" s="14">
        <v>46144</v>
      </c>
      <c r="S42" s="14">
        <f t="shared" si="57"/>
        <v>46383</v>
      </c>
      <c r="T42" s="34">
        <v>118149.6</v>
      </c>
      <c r="U42" s="34">
        <f t="shared" si="58"/>
        <v>11814.96</v>
      </c>
      <c r="V42" s="34">
        <f t="shared" si="59"/>
        <v>129964.56</v>
      </c>
      <c r="W42" s="35"/>
      <c r="X42" s="14">
        <f t="shared" si="60"/>
        <v>46144</v>
      </c>
      <c r="Y42" s="14" t="str">
        <f t="shared" si="61"/>
        <v/>
      </c>
      <c r="Z42" s="34"/>
      <c r="AA42" s="34">
        <f t="shared" si="62"/>
        <v>0</v>
      </c>
      <c r="AB42" s="34">
        <f t="shared" si="63"/>
        <v>0</v>
      </c>
      <c r="AC42" s="15"/>
      <c r="AD42" s="35">
        <f t="shared" si="64"/>
        <v>0</v>
      </c>
      <c r="AE42" s="34">
        <f t="shared" si="65"/>
        <v>0</v>
      </c>
      <c r="AF42" s="34">
        <f t="shared" si="66"/>
        <v>0</v>
      </c>
      <c r="AG42" s="34">
        <f t="shared" si="67"/>
        <v>0</v>
      </c>
      <c r="AH42" s="15"/>
      <c r="AI42" s="35">
        <f t="shared" si="68"/>
        <v>0</v>
      </c>
      <c r="AJ42" s="34">
        <f t="shared" si="69"/>
        <v>0</v>
      </c>
      <c r="AK42" s="34">
        <f t="shared" si="70"/>
        <v>0</v>
      </c>
      <c r="AL42" s="34">
        <f t="shared" si="71"/>
        <v>0</v>
      </c>
      <c r="AM42" s="15"/>
      <c r="AN42" s="35">
        <f t="shared" si="72"/>
        <v>30</v>
      </c>
      <c r="AO42" s="34">
        <f t="shared" si="55"/>
        <v>14768.7</v>
      </c>
      <c r="AP42" s="34">
        <f t="shared" si="73"/>
        <v>1476.87</v>
      </c>
      <c r="AQ42" s="34">
        <f t="shared" si="74"/>
        <v>16245.57</v>
      </c>
      <c r="AR42" s="15"/>
      <c r="AS42" s="35">
        <f t="shared" si="75"/>
        <v>30</v>
      </c>
      <c r="AT42" s="34">
        <f t="shared" si="56"/>
        <v>14768.7</v>
      </c>
      <c r="AU42" s="34">
        <f t="shared" si="76"/>
        <v>1476.87</v>
      </c>
      <c r="AV42" s="34">
        <f t="shared" si="77"/>
        <v>16245.57</v>
      </c>
      <c r="AW42" s="15"/>
      <c r="AX42" s="35">
        <f t="shared" si="78"/>
        <v>31</v>
      </c>
      <c r="AY42" s="34">
        <f t="shared" si="79"/>
        <v>15260.99</v>
      </c>
      <c r="AZ42" s="34">
        <f t="shared" si="80"/>
        <v>1526.1</v>
      </c>
      <c r="BA42" s="34">
        <f t="shared" si="81"/>
        <v>16787.09</v>
      </c>
      <c r="BB42" s="15"/>
      <c r="BC42" s="35">
        <f t="shared" si="82"/>
        <v>31</v>
      </c>
      <c r="BD42" s="34">
        <f t="shared" si="83"/>
        <v>15260.99</v>
      </c>
      <c r="BE42" s="34">
        <f t="shared" si="84"/>
        <v>1526.1</v>
      </c>
      <c r="BF42" s="34">
        <f t="shared" si="85"/>
        <v>16787.09</v>
      </c>
      <c r="BG42" s="15"/>
      <c r="BH42" s="35">
        <f t="shared" si="86"/>
        <v>30</v>
      </c>
      <c r="BI42" s="34">
        <f t="shared" si="87"/>
        <v>14768.7</v>
      </c>
      <c r="BJ42" s="34">
        <f t="shared" si="88"/>
        <v>1476.87</v>
      </c>
      <c r="BK42" s="34">
        <f t="shared" si="89"/>
        <v>16245.57</v>
      </c>
      <c r="BL42" s="15"/>
      <c r="BM42" s="35">
        <f t="shared" si="90"/>
        <v>31</v>
      </c>
      <c r="BN42" s="34">
        <f t="shared" si="91"/>
        <v>15260.99</v>
      </c>
      <c r="BO42" s="34">
        <f t="shared" si="92"/>
        <v>1526.1</v>
      </c>
      <c r="BP42" s="34">
        <f t="shared" si="93"/>
        <v>16787.09</v>
      </c>
      <c r="BQ42" s="15"/>
      <c r="BR42" s="35">
        <f t="shared" si="94"/>
        <v>30</v>
      </c>
      <c r="BS42" s="34">
        <f t="shared" si="95"/>
        <v>14768.7</v>
      </c>
      <c r="BT42" s="34">
        <f t="shared" si="96"/>
        <v>1476.87</v>
      </c>
      <c r="BU42" s="34">
        <f t="shared" si="97"/>
        <v>16245.57</v>
      </c>
      <c r="BV42" s="15"/>
      <c r="BW42" s="35">
        <f t="shared" si="98"/>
        <v>27</v>
      </c>
      <c r="BX42" s="34">
        <f t="shared" si="99"/>
        <v>13291.83</v>
      </c>
      <c r="BY42" s="34">
        <f t="shared" si="100"/>
        <v>1329.18</v>
      </c>
      <c r="BZ42" s="34">
        <f t="shared" si="101"/>
        <v>14621.01</v>
      </c>
      <c r="CA42" s="35">
        <f t="shared" si="102"/>
        <v>240</v>
      </c>
      <c r="CB42" s="34">
        <f t="shared" si="103"/>
        <v>118149.6</v>
      </c>
      <c r="CC42" s="34">
        <f t="shared" si="104"/>
        <v>11814.96</v>
      </c>
      <c r="CD42" s="34">
        <f t="shared" si="105"/>
        <v>129964.56</v>
      </c>
      <c r="CE42" s="16">
        <f t="shared" si="106"/>
        <v>0</v>
      </c>
      <c r="CF42" s="16">
        <f t="shared" si="107"/>
        <v>0</v>
      </c>
      <c r="CG42" s="31" t="s">
        <v>203</v>
      </c>
      <c r="CH42" s="31" t="s">
        <v>204</v>
      </c>
      <c r="CI42" s="31" t="s">
        <v>49</v>
      </c>
      <c r="CJ42" s="31" t="s">
        <v>205</v>
      </c>
      <c r="CK42" s="31" t="s">
        <v>206</v>
      </c>
      <c r="CL42" s="31" t="s">
        <v>207</v>
      </c>
      <c r="CM42" s="29">
        <v>46140</v>
      </c>
      <c r="CN42" s="28" t="s">
        <v>208</v>
      </c>
      <c r="CO42" s="28"/>
      <c r="CP42" s="28"/>
    </row>
    <row r="43" spans="1:94" ht="40.049999999999997" customHeight="1" x14ac:dyDescent="0.25">
      <c r="A43" s="62">
        <v>42</v>
      </c>
      <c r="B43" s="63">
        <v>204</v>
      </c>
      <c r="C43" s="1" t="s">
        <v>129</v>
      </c>
      <c r="D43" s="2" t="s">
        <v>129</v>
      </c>
      <c r="E43" s="2" t="s">
        <v>213</v>
      </c>
      <c r="F43" s="1" t="s">
        <v>219</v>
      </c>
      <c r="G43" s="2" t="s">
        <v>220</v>
      </c>
      <c r="H43" s="64">
        <v>14.4</v>
      </c>
      <c r="I43" s="1" t="s">
        <v>55</v>
      </c>
      <c r="J43" s="3">
        <v>887.5</v>
      </c>
      <c r="K43" s="1">
        <v>240</v>
      </c>
      <c r="L43" s="4">
        <v>102240</v>
      </c>
      <c r="M43" s="4">
        <v>10225</v>
      </c>
      <c r="N43" s="4">
        <v>112465</v>
      </c>
      <c r="O43" s="15" t="s">
        <v>216</v>
      </c>
      <c r="P43" s="31" t="s">
        <v>202</v>
      </c>
      <c r="Q43" s="35">
        <f t="shared" si="54"/>
        <v>240</v>
      </c>
      <c r="R43" s="14">
        <v>46144</v>
      </c>
      <c r="S43" s="14">
        <f t="shared" si="57"/>
        <v>46383</v>
      </c>
      <c r="T43" s="34">
        <v>97128</v>
      </c>
      <c r="U43" s="34">
        <f t="shared" si="58"/>
        <v>9712.7999999999993</v>
      </c>
      <c r="V43" s="34">
        <f t="shared" si="59"/>
        <v>106840.8</v>
      </c>
      <c r="W43" s="35"/>
      <c r="X43" s="14">
        <f t="shared" si="60"/>
        <v>46144</v>
      </c>
      <c r="Y43" s="14" t="str">
        <f t="shared" si="61"/>
        <v/>
      </c>
      <c r="Z43" s="34"/>
      <c r="AA43" s="34">
        <f t="shared" si="62"/>
        <v>0</v>
      </c>
      <c r="AB43" s="34">
        <f t="shared" si="63"/>
        <v>0</v>
      </c>
      <c r="AC43" s="15"/>
      <c r="AD43" s="35">
        <f t="shared" si="64"/>
        <v>0</v>
      </c>
      <c r="AE43" s="34">
        <f t="shared" si="65"/>
        <v>0</v>
      </c>
      <c r="AF43" s="34">
        <f t="shared" si="66"/>
        <v>0</v>
      </c>
      <c r="AG43" s="34">
        <f t="shared" si="67"/>
        <v>0</v>
      </c>
      <c r="AH43" s="15"/>
      <c r="AI43" s="35">
        <f t="shared" si="68"/>
        <v>0</v>
      </c>
      <c r="AJ43" s="34">
        <f t="shared" si="69"/>
        <v>0</v>
      </c>
      <c r="AK43" s="34">
        <f t="shared" si="70"/>
        <v>0</v>
      </c>
      <c r="AL43" s="34">
        <f t="shared" si="71"/>
        <v>0</v>
      </c>
      <c r="AM43" s="15"/>
      <c r="AN43" s="35">
        <f t="shared" si="72"/>
        <v>30</v>
      </c>
      <c r="AO43" s="34">
        <f t="shared" si="55"/>
        <v>12141</v>
      </c>
      <c r="AP43" s="34">
        <f t="shared" si="73"/>
        <v>1214.0999999999999</v>
      </c>
      <c r="AQ43" s="34">
        <f t="shared" si="74"/>
        <v>13355.1</v>
      </c>
      <c r="AR43" s="15"/>
      <c r="AS43" s="35">
        <f t="shared" si="75"/>
        <v>30</v>
      </c>
      <c r="AT43" s="34">
        <f t="shared" si="56"/>
        <v>12141</v>
      </c>
      <c r="AU43" s="34">
        <f t="shared" si="76"/>
        <v>1214.0999999999999</v>
      </c>
      <c r="AV43" s="34">
        <f t="shared" si="77"/>
        <v>13355.1</v>
      </c>
      <c r="AW43" s="15"/>
      <c r="AX43" s="35">
        <f t="shared" si="78"/>
        <v>31</v>
      </c>
      <c r="AY43" s="34">
        <f t="shared" si="79"/>
        <v>12545.7</v>
      </c>
      <c r="AZ43" s="34">
        <f t="shared" si="80"/>
        <v>1254.57</v>
      </c>
      <c r="BA43" s="34">
        <f t="shared" si="81"/>
        <v>13800.27</v>
      </c>
      <c r="BB43" s="15"/>
      <c r="BC43" s="35">
        <f t="shared" si="82"/>
        <v>31</v>
      </c>
      <c r="BD43" s="34">
        <f t="shared" si="83"/>
        <v>12545.7</v>
      </c>
      <c r="BE43" s="34">
        <f t="shared" si="84"/>
        <v>1254.57</v>
      </c>
      <c r="BF43" s="34">
        <f t="shared" si="85"/>
        <v>13800.27</v>
      </c>
      <c r="BG43" s="15"/>
      <c r="BH43" s="35">
        <f t="shared" si="86"/>
        <v>30</v>
      </c>
      <c r="BI43" s="34">
        <f t="shared" si="87"/>
        <v>12141</v>
      </c>
      <c r="BJ43" s="34">
        <f t="shared" si="88"/>
        <v>1214.0999999999999</v>
      </c>
      <c r="BK43" s="34">
        <f t="shared" si="89"/>
        <v>13355.1</v>
      </c>
      <c r="BL43" s="15"/>
      <c r="BM43" s="35">
        <f t="shared" si="90"/>
        <v>31</v>
      </c>
      <c r="BN43" s="34">
        <f t="shared" si="91"/>
        <v>12545.7</v>
      </c>
      <c r="BO43" s="34">
        <f t="shared" si="92"/>
        <v>1254.57</v>
      </c>
      <c r="BP43" s="34">
        <f t="shared" si="93"/>
        <v>13800.27</v>
      </c>
      <c r="BQ43" s="15"/>
      <c r="BR43" s="35">
        <f t="shared" si="94"/>
        <v>30</v>
      </c>
      <c r="BS43" s="34">
        <f t="shared" si="95"/>
        <v>12141</v>
      </c>
      <c r="BT43" s="34">
        <f t="shared" si="96"/>
        <v>1214.0999999999999</v>
      </c>
      <c r="BU43" s="34">
        <f t="shared" si="97"/>
        <v>13355.1</v>
      </c>
      <c r="BV43" s="15"/>
      <c r="BW43" s="35">
        <f t="shared" si="98"/>
        <v>27</v>
      </c>
      <c r="BX43" s="34">
        <f t="shared" si="99"/>
        <v>10926.9</v>
      </c>
      <c r="BY43" s="34">
        <f t="shared" si="100"/>
        <v>1092.69</v>
      </c>
      <c r="BZ43" s="34">
        <f t="shared" si="101"/>
        <v>12019.59</v>
      </c>
      <c r="CA43" s="35">
        <f t="shared" si="102"/>
        <v>240</v>
      </c>
      <c r="CB43" s="34">
        <f t="shared" si="103"/>
        <v>97127.999999999985</v>
      </c>
      <c r="CC43" s="34">
        <f t="shared" si="104"/>
        <v>9712.7999999999993</v>
      </c>
      <c r="CD43" s="34">
        <f t="shared" si="105"/>
        <v>106840.79999999999</v>
      </c>
      <c r="CE43" s="16">
        <f t="shared" si="106"/>
        <v>0</v>
      </c>
      <c r="CF43" s="16">
        <f t="shared" si="107"/>
        <v>0</v>
      </c>
      <c r="CG43" s="31" t="s">
        <v>203</v>
      </c>
      <c r="CH43" s="31" t="s">
        <v>204</v>
      </c>
      <c r="CI43" s="31" t="s">
        <v>49</v>
      </c>
      <c r="CJ43" s="31" t="s">
        <v>205</v>
      </c>
      <c r="CK43" s="31" t="s">
        <v>206</v>
      </c>
      <c r="CL43" s="31" t="s">
        <v>207</v>
      </c>
      <c r="CM43" s="29">
        <v>46140</v>
      </c>
      <c r="CN43" s="28" t="s">
        <v>208</v>
      </c>
      <c r="CO43" s="28"/>
      <c r="CP43" s="28"/>
    </row>
    <row r="44" spans="1:94" ht="40.049999999999997" customHeight="1" x14ac:dyDescent="0.25">
      <c r="A44" s="62">
        <v>43</v>
      </c>
      <c r="B44" s="63">
        <v>204</v>
      </c>
      <c r="C44" s="1" t="s">
        <v>129</v>
      </c>
      <c r="D44" s="2" t="s">
        <v>129</v>
      </c>
      <c r="E44" s="2" t="s">
        <v>213</v>
      </c>
      <c r="F44" s="1" t="s">
        <v>221</v>
      </c>
      <c r="G44" s="2" t="s">
        <v>222</v>
      </c>
      <c r="H44" s="64">
        <v>9.0299999999999994</v>
      </c>
      <c r="I44" s="1" t="s">
        <v>55</v>
      </c>
      <c r="J44" s="3">
        <v>887.5</v>
      </c>
      <c r="K44" s="1">
        <v>240</v>
      </c>
      <c r="L44" s="4">
        <v>64113</v>
      </c>
      <c r="M44" s="4">
        <v>6411</v>
      </c>
      <c r="N44" s="4">
        <v>70524</v>
      </c>
      <c r="O44" s="15" t="s">
        <v>216</v>
      </c>
      <c r="P44" s="31" t="s">
        <v>202</v>
      </c>
      <c r="Q44" s="35">
        <f t="shared" si="54"/>
        <v>240</v>
      </c>
      <c r="R44" s="14">
        <v>46144</v>
      </c>
      <c r="S44" s="14">
        <f t="shared" si="57"/>
        <v>46383</v>
      </c>
      <c r="T44" s="34">
        <v>60907.040000000001</v>
      </c>
      <c r="U44" s="34">
        <f t="shared" si="58"/>
        <v>6090.7</v>
      </c>
      <c r="V44" s="34">
        <f t="shared" si="59"/>
        <v>66997.740000000005</v>
      </c>
      <c r="W44" s="35"/>
      <c r="X44" s="14">
        <f t="shared" si="60"/>
        <v>46144</v>
      </c>
      <c r="Y44" s="14" t="str">
        <f t="shared" si="61"/>
        <v/>
      </c>
      <c r="Z44" s="34"/>
      <c r="AA44" s="34">
        <f t="shared" si="62"/>
        <v>0</v>
      </c>
      <c r="AB44" s="34">
        <f t="shared" si="63"/>
        <v>0</v>
      </c>
      <c r="AC44" s="15"/>
      <c r="AD44" s="35">
        <f t="shared" si="64"/>
        <v>0</v>
      </c>
      <c r="AE44" s="34">
        <f t="shared" si="65"/>
        <v>0</v>
      </c>
      <c r="AF44" s="34">
        <f t="shared" si="66"/>
        <v>0</v>
      </c>
      <c r="AG44" s="34">
        <f t="shared" si="67"/>
        <v>0</v>
      </c>
      <c r="AH44" s="15"/>
      <c r="AI44" s="35">
        <f t="shared" si="68"/>
        <v>0</v>
      </c>
      <c r="AJ44" s="34">
        <f t="shared" si="69"/>
        <v>0</v>
      </c>
      <c r="AK44" s="34">
        <f t="shared" si="70"/>
        <v>0</v>
      </c>
      <c r="AL44" s="34">
        <f t="shared" si="71"/>
        <v>0</v>
      </c>
      <c r="AM44" s="15"/>
      <c r="AN44" s="35">
        <f t="shared" si="72"/>
        <v>30</v>
      </c>
      <c r="AO44" s="34">
        <f t="shared" si="55"/>
        <v>7613.38</v>
      </c>
      <c r="AP44" s="34">
        <f t="shared" si="73"/>
        <v>761.34</v>
      </c>
      <c r="AQ44" s="34">
        <f t="shared" si="74"/>
        <v>8374.7199999999993</v>
      </c>
      <c r="AR44" s="15"/>
      <c r="AS44" s="35">
        <f t="shared" si="75"/>
        <v>30</v>
      </c>
      <c r="AT44" s="34">
        <f t="shared" si="56"/>
        <v>7613.38</v>
      </c>
      <c r="AU44" s="34">
        <f t="shared" si="76"/>
        <v>761.34</v>
      </c>
      <c r="AV44" s="34">
        <f t="shared" si="77"/>
        <v>8374.7199999999993</v>
      </c>
      <c r="AW44" s="15"/>
      <c r="AX44" s="35">
        <f t="shared" si="78"/>
        <v>31</v>
      </c>
      <c r="AY44" s="34">
        <f t="shared" si="79"/>
        <v>7867.16</v>
      </c>
      <c r="AZ44" s="34">
        <f t="shared" si="80"/>
        <v>786.72</v>
      </c>
      <c r="BA44" s="34">
        <f t="shared" si="81"/>
        <v>8653.8799999999992</v>
      </c>
      <c r="BB44" s="15"/>
      <c r="BC44" s="35">
        <f t="shared" si="82"/>
        <v>31</v>
      </c>
      <c r="BD44" s="34">
        <f t="shared" si="83"/>
        <v>7867.16</v>
      </c>
      <c r="BE44" s="34">
        <f t="shared" si="84"/>
        <v>786.72</v>
      </c>
      <c r="BF44" s="34">
        <f t="shared" si="85"/>
        <v>8653.8799999999992</v>
      </c>
      <c r="BG44" s="15"/>
      <c r="BH44" s="35">
        <f t="shared" si="86"/>
        <v>30</v>
      </c>
      <c r="BI44" s="34">
        <f t="shared" si="87"/>
        <v>7613.38</v>
      </c>
      <c r="BJ44" s="34">
        <f t="shared" si="88"/>
        <v>761.34</v>
      </c>
      <c r="BK44" s="34">
        <f t="shared" si="89"/>
        <v>8374.7199999999993</v>
      </c>
      <c r="BL44" s="15"/>
      <c r="BM44" s="35">
        <f t="shared" si="90"/>
        <v>31</v>
      </c>
      <c r="BN44" s="34">
        <f t="shared" si="91"/>
        <v>7867.16</v>
      </c>
      <c r="BO44" s="34">
        <f t="shared" si="92"/>
        <v>786.72</v>
      </c>
      <c r="BP44" s="34">
        <f t="shared" si="93"/>
        <v>8653.8799999999992</v>
      </c>
      <c r="BQ44" s="15"/>
      <c r="BR44" s="35">
        <f t="shared" si="94"/>
        <v>30</v>
      </c>
      <c r="BS44" s="34">
        <f t="shared" si="95"/>
        <v>7613.38</v>
      </c>
      <c r="BT44" s="34">
        <f t="shared" si="96"/>
        <v>761.34</v>
      </c>
      <c r="BU44" s="34">
        <f t="shared" si="97"/>
        <v>8374.7199999999993</v>
      </c>
      <c r="BV44" s="15"/>
      <c r="BW44" s="35">
        <f t="shared" si="98"/>
        <v>27</v>
      </c>
      <c r="BX44" s="34">
        <f t="shared" si="99"/>
        <v>6852.04</v>
      </c>
      <c r="BY44" s="34">
        <f t="shared" si="100"/>
        <v>685.2</v>
      </c>
      <c r="BZ44" s="34">
        <f t="shared" si="101"/>
        <v>7537.24</v>
      </c>
      <c r="CA44" s="35">
        <f t="shared" si="102"/>
        <v>240</v>
      </c>
      <c r="CB44" s="34">
        <f t="shared" si="103"/>
        <v>60907.039999999994</v>
      </c>
      <c r="CC44" s="34">
        <f t="shared" si="104"/>
        <v>6090.72</v>
      </c>
      <c r="CD44" s="34">
        <f t="shared" si="105"/>
        <v>66997.759999999995</v>
      </c>
      <c r="CE44" s="16">
        <f t="shared" si="106"/>
        <v>0</v>
      </c>
      <c r="CF44" s="16">
        <f t="shared" si="107"/>
        <v>-0.02</v>
      </c>
      <c r="CG44" s="31" t="s">
        <v>203</v>
      </c>
      <c r="CH44" s="31" t="s">
        <v>204</v>
      </c>
      <c r="CI44" s="31" t="s">
        <v>49</v>
      </c>
      <c r="CJ44" s="31" t="s">
        <v>205</v>
      </c>
      <c r="CK44" s="31" t="s">
        <v>206</v>
      </c>
      <c r="CL44" s="31" t="s">
        <v>207</v>
      </c>
      <c r="CM44" s="29">
        <v>46140</v>
      </c>
      <c r="CN44" s="28" t="s">
        <v>208</v>
      </c>
      <c r="CO44" s="28"/>
      <c r="CP44" s="28"/>
    </row>
    <row r="45" spans="1:94" ht="40.049999999999997" customHeight="1" thickBot="1" x14ac:dyDescent="0.3">
      <c r="A45" s="65">
        <v>44</v>
      </c>
      <c r="B45" s="66">
        <v>204</v>
      </c>
      <c r="C45" s="46" t="s">
        <v>129</v>
      </c>
      <c r="D45" s="47" t="s">
        <v>129</v>
      </c>
      <c r="E45" s="47" t="s">
        <v>213</v>
      </c>
      <c r="F45" s="46" t="s">
        <v>223</v>
      </c>
      <c r="G45" s="47" t="s">
        <v>224</v>
      </c>
      <c r="H45" s="67">
        <v>12.56</v>
      </c>
      <c r="I45" s="46" t="s">
        <v>55</v>
      </c>
      <c r="J45" s="48">
        <v>887.5</v>
      </c>
      <c r="K45" s="46">
        <v>240</v>
      </c>
      <c r="L45" s="49">
        <v>89176</v>
      </c>
      <c r="M45" s="49">
        <v>8918</v>
      </c>
      <c r="N45" s="49">
        <v>98094</v>
      </c>
      <c r="O45" s="51" t="s">
        <v>216</v>
      </c>
      <c r="P45" s="53" t="s">
        <v>202</v>
      </c>
      <c r="Q45" s="60">
        <f t="shared" si="54"/>
        <v>240</v>
      </c>
      <c r="R45" s="50">
        <v>46144</v>
      </c>
      <c r="S45" s="50">
        <f t="shared" si="57"/>
        <v>46383</v>
      </c>
      <c r="T45" s="58">
        <v>84711.5</v>
      </c>
      <c r="U45" s="58">
        <f t="shared" si="58"/>
        <v>8471.15</v>
      </c>
      <c r="V45" s="58">
        <f t="shared" si="59"/>
        <v>93182.65</v>
      </c>
      <c r="W45" s="60"/>
      <c r="X45" s="50">
        <f t="shared" si="60"/>
        <v>46144</v>
      </c>
      <c r="Y45" s="50" t="str">
        <f t="shared" si="61"/>
        <v/>
      </c>
      <c r="Z45" s="58"/>
      <c r="AA45" s="58">
        <f t="shared" si="62"/>
        <v>0</v>
      </c>
      <c r="AB45" s="58">
        <f t="shared" si="63"/>
        <v>0</v>
      </c>
      <c r="AC45" s="51"/>
      <c r="AD45" s="60">
        <f t="shared" si="64"/>
        <v>0</v>
      </c>
      <c r="AE45" s="58">
        <f t="shared" si="65"/>
        <v>0</v>
      </c>
      <c r="AF45" s="58">
        <f t="shared" si="66"/>
        <v>0</v>
      </c>
      <c r="AG45" s="58">
        <f t="shared" si="67"/>
        <v>0</v>
      </c>
      <c r="AH45" s="51"/>
      <c r="AI45" s="60">
        <f t="shared" si="68"/>
        <v>0</v>
      </c>
      <c r="AJ45" s="58">
        <f t="shared" si="69"/>
        <v>0</v>
      </c>
      <c r="AK45" s="58">
        <f t="shared" si="70"/>
        <v>0</v>
      </c>
      <c r="AL45" s="58">
        <f t="shared" si="71"/>
        <v>0</v>
      </c>
      <c r="AM45" s="51"/>
      <c r="AN45" s="60">
        <f t="shared" si="72"/>
        <v>30</v>
      </c>
      <c r="AO45" s="58">
        <f t="shared" si="55"/>
        <v>10588.94</v>
      </c>
      <c r="AP45" s="58">
        <f t="shared" si="73"/>
        <v>1058.8900000000001</v>
      </c>
      <c r="AQ45" s="58">
        <f t="shared" si="74"/>
        <v>11647.83</v>
      </c>
      <c r="AR45" s="51"/>
      <c r="AS45" s="60">
        <f t="shared" si="75"/>
        <v>30</v>
      </c>
      <c r="AT45" s="58">
        <f t="shared" si="56"/>
        <v>10588.94</v>
      </c>
      <c r="AU45" s="58">
        <f t="shared" si="76"/>
        <v>1058.8900000000001</v>
      </c>
      <c r="AV45" s="58">
        <f t="shared" si="77"/>
        <v>11647.83</v>
      </c>
      <c r="AW45" s="51"/>
      <c r="AX45" s="60">
        <f t="shared" si="78"/>
        <v>31</v>
      </c>
      <c r="AY45" s="58">
        <f t="shared" si="79"/>
        <v>10941.9</v>
      </c>
      <c r="AZ45" s="58">
        <f t="shared" si="80"/>
        <v>1094.19</v>
      </c>
      <c r="BA45" s="58">
        <f t="shared" si="81"/>
        <v>12036.09</v>
      </c>
      <c r="BB45" s="51"/>
      <c r="BC45" s="60">
        <f t="shared" si="82"/>
        <v>31</v>
      </c>
      <c r="BD45" s="58">
        <f t="shared" si="83"/>
        <v>10941.9</v>
      </c>
      <c r="BE45" s="58">
        <f t="shared" si="84"/>
        <v>1094.19</v>
      </c>
      <c r="BF45" s="58">
        <f t="shared" si="85"/>
        <v>12036.09</v>
      </c>
      <c r="BG45" s="51"/>
      <c r="BH45" s="60">
        <f t="shared" si="86"/>
        <v>30</v>
      </c>
      <c r="BI45" s="58">
        <f t="shared" si="87"/>
        <v>10588.94</v>
      </c>
      <c r="BJ45" s="58">
        <f t="shared" si="88"/>
        <v>1058.8900000000001</v>
      </c>
      <c r="BK45" s="58">
        <f t="shared" si="89"/>
        <v>11647.83</v>
      </c>
      <c r="BL45" s="51"/>
      <c r="BM45" s="60">
        <f t="shared" si="90"/>
        <v>31</v>
      </c>
      <c r="BN45" s="58">
        <f t="shared" si="91"/>
        <v>10941.9</v>
      </c>
      <c r="BO45" s="58">
        <f t="shared" si="92"/>
        <v>1094.19</v>
      </c>
      <c r="BP45" s="58">
        <f t="shared" si="93"/>
        <v>12036.09</v>
      </c>
      <c r="BQ45" s="51"/>
      <c r="BR45" s="60">
        <f t="shared" si="94"/>
        <v>30</v>
      </c>
      <c r="BS45" s="58">
        <f t="shared" si="95"/>
        <v>10588.94</v>
      </c>
      <c r="BT45" s="58">
        <f t="shared" si="96"/>
        <v>1058.8900000000001</v>
      </c>
      <c r="BU45" s="58">
        <f t="shared" si="97"/>
        <v>11647.83</v>
      </c>
      <c r="BV45" s="51"/>
      <c r="BW45" s="60">
        <f t="shared" si="98"/>
        <v>27</v>
      </c>
      <c r="BX45" s="58">
        <f t="shared" si="99"/>
        <v>9530.0400000000009</v>
      </c>
      <c r="BY45" s="58">
        <f t="shared" si="100"/>
        <v>953</v>
      </c>
      <c r="BZ45" s="58">
        <f t="shared" si="101"/>
        <v>10483.040000000001</v>
      </c>
      <c r="CA45" s="60">
        <f t="shared" si="102"/>
        <v>240</v>
      </c>
      <c r="CB45" s="58">
        <f t="shared" si="103"/>
        <v>84711.5</v>
      </c>
      <c r="CC45" s="58">
        <f t="shared" si="104"/>
        <v>8471.130000000001</v>
      </c>
      <c r="CD45" s="58">
        <f t="shared" si="105"/>
        <v>93182.63</v>
      </c>
      <c r="CE45" s="52">
        <f t="shared" si="106"/>
        <v>0</v>
      </c>
      <c r="CF45" s="52">
        <f t="shared" si="107"/>
        <v>0.02</v>
      </c>
      <c r="CG45" s="53" t="s">
        <v>203</v>
      </c>
      <c r="CH45" s="53" t="s">
        <v>204</v>
      </c>
      <c r="CI45" s="53" t="s">
        <v>49</v>
      </c>
      <c r="CJ45" s="53" t="s">
        <v>205</v>
      </c>
      <c r="CK45" s="53" t="s">
        <v>206</v>
      </c>
      <c r="CL45" s="53" t="s">
        <v>207</v>
      </c>
      <c r="CM45" s="54">
        <v>46140</v>
      </c>
      <c r="CN45" s="55" t="s">
        <v>208</v>
      </c>
      <c r="CO45" s="55"/>
      <c r="CP45" s="55"/>
    </row>
    <row r="46" spans="1:94" ht="40.049999999999997" customHeight="1" thickTop="1" x14ac:dyDescent="0.25">
      <c r="A46" s="68">
        <v>45</v>
      </c>
      <c r="B46" s="69">
        <v>203</v>
      </c>
      <c r="C46" s="36" t="s">
        <v>129</v>
      </c>
      <c r="D46" s="37" t="s">
        <v>225</v>
      </c>
      <c r="E46" s="37" t="s">
        <v>226</v>
      </c>
      <c r="F46" s="36" t="s">
        <v>227</v>
      </c>
      <c r="G46" s="37" t="s">
        <v>228</v>
      </c>
      <c r="H46" s="70">
        <v>26.9</v>
      </c>
      <c r="I46" s="36" t="s">
        <v>46</v>
      </c>
      <c r="J46" s="38">
        <v>735</v>
      </c>
      <c r="K46" s="36">
        <v>240</v>
      </c>
      <c r="L46" s="39">
        <v>158172</v>
      </c>
      <c r="M46" s="39">
        <v>15817</v>
      </c>
      <c r="N46" s="39">
        <v>173989</v>
      </c>
      <c r="O46" s="41" t="s">
        <v>229</v>
      </c>
      <c r="P46" s="43" t="s">
        <v>230</v>
      </c>
      <c r="Q46" s="61">
        <f t="shared" si="54"/>
        <v>240</v>
      </c>
      <c r="R46" s="40">
        <v>46162</v>
      </c>
      <c r="S46" s="40">
        <f t="shared" si="57"/>
        <v>46401</v>
      </c>
      <c r="T46" s="56">
        <v>150263.4</v>
      </c>
      <c r="U46" s="56">
        <f t="shared" si="58"/>
        <v>15026.34</v>
      </c>
      <c r="V46" s="56">
        <f t="shared" si="59"/>
        <v>165289.74</v>
      </c>
      <c r="W46" s="61">
        <v>222</v>
      </c>
      <c r="X46" s="40">
        <f t="shared" si="60"/>
        <v>46162</v>
      </c>
      <c r="Y46" s="40">
        <f t="shared" si="61"/>
        <v>46383</v>
      </c>
      <c r="Z46" s="56">
        <v>138993.65</v>
      </c>
      <c r="AA46" s="56">
        <f t="shared" si="62"/>
        <v>13899.37</v>
      </c>
      <c r="AB46" s="56">
        <f t="shared" si="63"/>
        <v>152893.01999999999</v>
      </c>
      <c r="AC46" s="41"/>
      <c r="AD46" s="61">
        <f t="shared" si="64"/>
        <v>0</v>
      </c>
      <c r="AE46" s="56">
        <f t="shared" si="65"/>
        <v>0</v>
      </c>
      <c r="AF46" s="56">
        <f t="shared" si="66"/>
        <v>0</v>
      </c>
      <c r="AG46" s="56">
        <f t="shared" si="67"/>
        <v>0</v>
      </c>
      <c r="AH46" s="41"/>
      <c r="AI46" s="61">
        <f t="shared" si="68"/>
        <v>0</v>
      </c>
      <c r="AJ46" s="56">
        <f t="shared" si="69"/>
        <v>0</v>
      </c>
      <c r="AK46" s="56">
        <f t="shared" si="70"/>
        <v>0</v>
      </c>
      <c r="AL46" s="56">
        <f t="shared" si="71"/>
        <v>0</v>
      </c>
      <c r="AM46" s="41"/>
      <c r="AN46" s="61">
        <f t="shared" si="72"/>
        <v>12</v>
      </c>
      <c r="AO46" s="56">
        <f t="shared" si="55"/>
        <v>7513.17</v>
      </c>
      <c r="AP46" s="56">
        <f t="shared" si="73"/>
        <v>751.32</v>
      </c>
      <c r="AQ46" s="56">
        <f t="shared" si="74"/>
        <v>8264.49</v>
      </c>
      <c r="AR46" s="41"/>
      <c r="AS46" s="61">
        <f t="shared" si="75"/>
        <v>30</v>
      </c>
      <c r="AT46" s="56">
        <f t="shared" si="56"/>
        <v>18782.93</v>
      </c>
      <c r="AU46" s="56">
        <f t="shared" si="76"/>
        <v>1878.29</v>
      </c>
      <c r="AV46" s="56">
        <f t="shared" si="77"/>
        <v>20661.22</v>
      </c>
      <c r="AW46" s="41"/>
      <c r="AX46" s="61">
        <f t="shared" si="78"/>
        <v>31</v>
      </c>
      <c r="AY46" s="56">
        <f t="shared" si="79"/>
        <v>19409.02</v>
      </c>
      <c r="AZ46" s="56">
        <f t="shared" si="80"/>
        <v>1940.9</v>
      </c>
      <c r="BA46" s="56">
        <f t="shared" si="81"/>
        <v>21349.920000000002</v>
      </c>
      <c r="BB46" s="41"/>
      <c r="BC46" s="61">
        <f t="shared" si="82"/>
        <v>31</v>
      </c>
      <c r="BD46" s="56">
        <f t="shared" si="83"/>
        <v>19409.02</v>
      </c>
      <c r="BE46" s="56">
        <f t="shared" si="84"/>
        <v>1940.9</v>
      </c>
      <c r="BF46" s="56">
        <f t="shared" si="85"/>
        <v>21349.920000000002</v>
      </c>
      <c r="BG46" s="41"/>
      <c r="BH46" s="61">
        <f t="shared" si="86"/>
        <v>30</v>
      </c>
      <c r="BI46" s="56">
        <f t="shared" si="87"/>
        <v>18782.93</v>
      </c>
      <c r="BJ46" s="56">
        <f t="shared" si="88"/>
        <v>1878.29</v>
      </c>
      <c r="BK46" s="56">
        <f t="shared" si="89"/>
        <v>20661.22</v>
      </c>
      <c r="BL46" s="41"/>
      <c r="BM46" s="61">
        <f t="shared" si="90"/>
        <v>31</v>
      </c>
      <c r="BN46" s="56">
        <f t="shared" si="91"/>
        <v>19409.02</v>
      </c>
      <c r="BO46" s="56">
        <f t="shared" si="92"/>
        <v>1940.9</v>
      </c>
      <c r="BP46" s="56">
        <f t="shared" si="93"/>
        <v>21349.920000000002</v>
      </c>
      <c r="BQ46" s="41"/>
      <c r="BR46" s="61">
        <f t="shared" si="94"/>
        <v>30</v>
      </c>
      <c r="BS46" s="56">
        <f t="shared" si="95"/>
        <v>18782.93</v>
      </c>
      <c r="BT46" s="56">
        <f t="shared" si="96"/>
        <v>1878.29</v>
      </c>
      <c r="BU46" s="56">
        <f t="shared" si="97"/>
        <v>20661.22</v>
      </c>
      <c r="BV46" s="41"/>
      <c r="BW46" s="61">
        <f t="shared" si="98"/>
        <v>27</v>
      </c>
      <c r="BX46" s="56">
        <f t="shared" si="99"/>
        <v>16904.63</v>
      </c>
      <c r="BY46" s="56">
        <f t="shared" si="100"/>
        <v>1690.46</v>
      </c>
      <c r="BZ46" s="56">
        <f t="shared" si="101"/>
        <v>18595.09</v>
      </c>
      <c r="CA46" s="61">
        <f t="shared" si="102"/>
        <v>222</v>
      </c>
      <c r="CB46" s="56">
        <f t="shared" si="103"/>
        <v>138993.65000000002</v>
      </c>
      <c r="CC46" s="56">
        <f t="shared" si="104"/>
        <v>13899.349999999999</v>
      </c>
      <c r="CD46" s="56">
        <f t="shared" si="105"/>
        <v>152893.00000000003</v>
      </c>
      <c r="CE46" s="42">
        <f t="shared" si="106"/>
        <v>0</v>
      </c>
      <c r="CF46" s="42">
        <f t="shared" si="107"/>
        <v>0.02</v>
      </c>
      <c r="CG46" s="43" t="s">
        <v>231</v>
      </c>
      <c r="CH46" s="43" t="s">
        <v>232</v>
      </c>
      <c r="CI46" s="43" t="s">
        <v>49</v>
      </c>
      <c r="CJ46" s="43" t="s">
        <v>233</v>
      </c>
      <c r="CK46" s="43" t="s">
        <v>234</v>
      </c>
      <c r="CL46" s="43" t="s">
        <v>235</v>
      </c>
      <c r="CM46" s="44">
        <v>46175</v>
      </c>
      <c r="CN46" s="45" t="s">
        <v>236</v>
      </c>
      <c r="CO46" s="45"/>
      <c r="CP46" s="45"/>
    </row>
    <row r="47" spans="1:94" ht="40.049999999999997" customHeight="1" x14ac:dyDescent="0.25">
      <c r="A47" s="62">
        <v>46</v>
      </c>
      <c r="B47" s="63">
        <v>203</v>
      </c>
      <c r="C47" s="1" t="s">
        <v>129</v>
      </c>
      <c r="D47" s="2" t="s">
        <v>225</v>
      </c>
      <c r="E47" s="2" t="s">
        <v>237</v>
      </c>
      <c r="F47" s="1" t="s">
        <v>238</v>
      </c>
      <c r="G47" s="2" t="s">
        <v>239</v>
      </c>
      <c r="H47" s="64">
        <v>5.15</v>
      </c>
      <c r="I47" s="1" t="s">
        <v>46</v>
      </c>
      <c r="J47" s="3">
        <v>735</v>
      </c>
      <c r="K47" s="1">
        <v>240</v>
      </c>
      <c r="L47" s="4">
        <v>30282</v>
      </c>
      <c r="M47" s="4">
        <v>3028</v>
      </c>
      <c r="N47" s="4">
        <v>33310</v>
      </c>
      <c r="O47" s="15" t="s">
        <v>240</v>
      </c>
      <c r="P47" s="31" t="s">
        <v>230</v>
      </c>
      <c r="Q47" s="35">
        <f t="shared" si="54"/>
        <v>240</v>
      </c>
      <c r="R47" s="14">
        <v>46113</v>
      </c>
      <c r="S47" s="14">
        <f t="shared" si="57"/>
        <v>46352</v>
      </c>
      <c r="T47" s="34">
        <v>30280</v>
      </c>
      <c r="U47" s="34">
        <f t="shared" si="58"/>
        <v>3028</v>
      </c>
      <c r="V47" s="34">
        <f t="shared" si="59"/>
        <v>33308</v>
      </c>
      <c r="W47" s="35"/>
      <c r="X47" s="14">
        <f t="shared" si="60"/>
        <v>46113</v>
      </c>
      <c r="Y47" s="14" t="str">
        <f t="shared" si="61"/>
        <v/>
      </c>
      <c r="Z47" s="34"/>
      <c r="AA47" s="34">
        <f t="shared" si="62"/>
        <v>0</v>
      </c>
      <c r="AB47" s="34">
        <f t="shared" si="63"/>
        <v>0</v>
      </c>
      <c r="AC47" s="15"/>
      <c r="AD47" s="35">
        <f t="shared" si="64"/>
        <v>0</v>
      </c>
      <c r="AE47" s="34">
        <f t="shared" si="65"/>
        <v>0</v>
      </c>
      <c r="AF47" s="34">
        <f t="shared" si="66"/>
        <v>0</v>
      </c>
      <c r="AG47" s="34">
        <f t="shared" si="67"/>
        <v>0</v>
      </c>
      <c r="AH47" s="15"/>
      <c r="AI47" s="35">
        <f t="shared" si="68"/>
        <v>30</v>
      </c>
      <c r="AJ47" s="34">
        <f t="shared" si="69"/>
        <v>3785</v>
      </c>
      <c r="AK47" s="34">
        <f t="shared" si="70"/>
        <v>378.5</v>
      </c>
      <c r="AL47" s="34">
        <f t="shared" si="71"/>
        <v>4163.5</v>
      </c>
      <c r="AM47" s="15"/>
      <c r="AN47" s="35">
        <f t="shared" si="72"/>
        <v>31</v>
      </c>
      <c r="AO47" s="34">
        <f t="shared" si="55"/>
        <v>3911.17</v>
      </c>
      <c r="AP47" s="34">
        <f t="shared" si="73"/>
        <v>391.12</v>
      </c>
      <c r="AQ47" s="34">
        <f t="shared" si="74"/>
        <v>4302.29</v>
      </c>
      <c r="AR47" s="15"/>
      <c r="AS47" s="35">
        <f t="shared" si="75"/>
        <v>30</v>
      </c>
      <c r="AT47" s="34">
        <f t="shared" si="56"/>
        <v>3785</v>
      </c>
      <c r="AU47" s="34">
        <f t="shared" si="76"/>
        <v>378.5</v>
      </c>
      <c r="AV47" s="34">
        <f t="shared" si="77"/>
        <v>4163.5</v>
      </c>
      <c r="AW47" s="15"/>
      <c r="AX47" s="35">
        <f t="shared" si="78"/>
        <v>31</v>
      </c>
      <c r="AY47" s="34">
        <f t="shared" si="79"/>
        <v>3911.17</v>
      </c>
      <c r="AZ47" s="34">
        <f t="shared" si="80"/>
        <v>391.12</v>
      </c>
      <c r="BA47" s="34">
        <f t="shared" si="81"/>
        <v>4302.29</v>
      </c>
      <c r="BB47" s="15"/>
      <c r="BC47" s="35">
        <f t="shared" si="82"/>
        <v>31</v>
      </c>
      <c r="BD47" s="34">
        <f t="shared" si="83"/>
        <v>3911.17</v>
      </c>
      <c r="BE47" s="34">
        <f t="shared" si="84"/>
        <v>391.12</v>
      </c>
      <c r="BF47" s="34">
        <f t="shared" si="85"/>
        <v>4302.29</v>
      </c>
      <c r="BG47" s="15"/>
      <c r="BH47" s="35">
        <f t="shared" si="86"/>
        <v>30</v>
      </c>
      <c r="BI47" s="34">
        <f t="shared" si="87"/>
        <v>3785</v>
      </c>
      <c r="BJ47" s="34">
        <f t="shared" si="88"/>
        <v>378.5</v>
      </c>
      <c r="BK47" s="34">
        <f t="shared" si="89"/>
        <v>4163.5</v>
      </c>
      <c r="BL47" s="15"/>
      <c r="BM47" s="35">
        <f t="shared" si="90"/>
        <v>31</v>
      </c>
      <c r="BN47" s="34">
        <f t="shared" si="91"/>
        <v>3911.17</v>
      </c>
      <c r="BO47" s="34">
        <f t="shared" si="92"/>
        <v>391.12</v>
      </c>
      <c r="BP47" s="34">
        <f t="shared" si="93"/>
        <v>4302.29</v>
      </c>
      <c r="BQ47" s="15"/>
      <c r="BR47" s="35">
        <f t="shared" si="94"/>
        <v>26</v>
      </c>
      <c r="BS47" s="34">
        <f t="shared" si="95"/>
        <v>3280.33</v>
      </c>
      <c r="BT47" s="34">
        <f t="shared" si="96"/>
        <v>328.03</v>
      </c>
      <c r="BU47" s="34">
        <f t="shared" si="97"/>
        <v>3608.3599999999997</v>
      </c>
      <c r="BV47" s="15"/>
      <c r="BW47" s="35">
        <f t="shared" si="98"/>
        <v>0</v>
      </c>
      <c r="BX47" s="34">
        <f t="shared" si="99"/>
        <v>0</v>
      </c>
      <c r="BY47" s="34">
        <f t="shared" si="100"/>
        <v>0</v>
      </c>
      <c r="BZ47" s="34">
        <f t="shared" si="101"/>
        <v>0</v>
      </c>
      <c r="CA47" s="35">
        <f t="shared" si="102"/>
        <v>240</v>
      </c>
      <c r="CB47" s="34">
        <f t="shared" si="103"/>
        <v>30280.010000000002</v>
      </c>
      <c r="CC47" s="34">
        <f t="shared" si="104"/>
        <v>3028.0099999999993</v>
      </c>
      <c r="CD47" s="34">
        <f t="shared" si="105"/>
        <v>33308.020000000004</v>
      </c>
      <c r="CE47" s="16">
        <f t="shared" si="106"/>
        <v>-0.01</v>
      </c>
      <c r="CF47" s="16">
        <f t="shared" si="107"/>
        <v>-0.01</v>
      </c>
      <c r="CG47" s="31" t="s">
        <v>231</v>
      </c>
      <c r="CH47" s="31" t="s">
        <v>232</v>
      </c>
      <c r="CI47" s="31" t="s">
        <v>49</v>
      </c>
      <c r="CJ47" s="31" t="s">
        <v>233</v>
      </c>
      <c r="CK47" s="31" t="s">
        <v>234</v>
      </c>
      <c r="CL47" s="31" t="s">
        <v>235</v>
      </c>
      <c r="CM47" s="29">
        <v>46175</v>
      </c>
      <c r="CN47" s="28" t="s">
        <v>236</v>
      </c>
      <c r="CO47" s="28"/>
      <c r="CP47" s="28"/>
    </row>
    <row r="48" spans="1:94" ht="40.049999999999997" customHeight="1" x14ac:dyDescent="0.25">
      <c r="A48" s="62">
        <v>47</v>
      </c>
      <c r="B48" s="63">
        <v>203</v>
      </c>
      <c r="C48" s="1" t="s">
        <v>129</v>
      </c>
      <c r="D48" s="2" t="s">
        <v>225</v>
      </c>
      <c r="E48" s="2" t="s">
        <v>225</v>
      </c>
      <c r="F48" s="1" t="s">
        <v>241</v>
      </c>
      <c r="G48" s="2" t="s">
        <v>242</v>
      </c>
      <c r="H48" s="64">
        <v>9.3640000000000008</v>
      </c>
      <c r="I48" s="1" t="s">
        <v>46</v>
      </c>
      <c r="J48" s="3">
        <v>735</v>
      </c>
      <c r="K48" s="1">
        <v>240</v>
      </c>
      <c r="L48" s="4">
        <v>55060</v>
      </c>
      <c r="M48" s="4">
        <v>5506</v>
      </c>
      <c r="N48" s="4">
        <v>60566</v>
      </c>
      <c r="O48" s="15" t="s">
        <v>243</v>
      </c>
      <c r="P48" s="31" t="s">
        <v>230</v>
      </c>
      <c r="Q48" s="35">
        <f t="shared" si="54"/>
        <v>240</v>
      </c>
      <c r="R48" s="14">
        <v>46113</v>
      </c>
      <c r="S48" s="14">
        <f t="shared" si="57"/>
        <v>46352</v>
      </c>
      <c r="T48" s="34">
        <v>44000</v>
      </c>
      <c r="U48" s="34">
        <f t="shared" si="58"/>
        <v>4400</v>
      </c>
      <c r="V48" s="34">
        <f t="shared" si="59"/>
        <v>48400</v>
      </c>
      <c r="W48" s="35"/>
      <c r="X48" s="14">
        <f t="shared" si="60"/>
        <v>46113</v>
      </c>
      <c r="Y48" s="14" t="str">
        <f t="shared" si="61"/>
        <v/>
      </c>
      <c r="Z48" s="34"/>
      <c r="AA48" s="34">
        <f t="shared" si="62"/>
        <v>0</v>
      </c>
      <c r="AB48" s="34">
        <f t="shared" si="63"/>
        <v>0</v>
      </c>
      <c r="AC48" s="15"/>
      <c r="AD48" s="35">
        <f t="shared" si="64"/>
        <v>0</v>
      </c>
      <c r="AE48" s="34">
        <f t="shared" si="65"/>
        <v>0</v>
      </c>
      <c r="AF48" s="34">
        <f t="shared" si="66"/>
        <v>0</v>
      </c>
      <c r="AG48" s="34">
        <f t="shared" si="67"/>
        <v>0</v>
      </c>
      <c r="AH48" s="15"/>
      <c r="AI48" s="35">
        <f t="shared" si="68"/>
        <v>30</v>
      </c>
      <c r="AJ48" s="34">
        <f t="shared" si="69"/>
        <v>5500</v>
      </c>
      <c r="AK48" s="34">
        <f t="shared" si="70"/>
        <v>550</v>
      </c>
      <c r="AL48" s="34">
        <f t="shared" si="71"/>
        <v>6050</v>
      </c>
      <c r="AM48" s="15"/>
      <c r="AN48" s="35">
        <f t="shared" si="72"/>
        <v>31</v>
      </c>
      <c r="AO48" s="34">
        <f t="shared" si="55"/>
        <v>5683.33</v>
      </c>
      <c r="AP48" s="34">
        <f t="shared" si="73"/>
        <v>568.33000000000004</v>
      </c>
      <c r="AQ48" s="34">
        <f t="shared" si="74"/>
        <v>6251.66</v>
      </c>
      <c r="AR48" s="15"/>
      <c r="AS48" s="35">
        <f t="shared" si="75"/>
        <v>30</v>
      </c>
      <c r="AT48" s="34">
        <f t="shared" si="56"/>
        <v>5500</v>
      </c>
      <c r="AU48" s="34">
        <f t="shared" si="76"/>
        <v>550</v>
      </c>
      <c r="AV48" s="34">
        <f t="shared" si="77"/>
        <v>6050</v>
      </c>
      <c r="AW48" s="15"/>
      <c r="AX48" s="35">
        <f t="shared" si="78"/>
        <v>31</v>
      </c>
      <c r="AY48" s="34">
        <f t="shared" si="79"/>
        <v>5683.33</v>
      </c>
      <c r="AZ48" s="34">
        <f t="shared" si="80"/>
        <v>568.33000000000004</v>
      </c>
      <c r="BA48" s="34">
        <f t="shared" si="81"/>
        <v>6251.66</v>
      </c>
      <c r="BB48" s="15"/>
      <c r="BC48" s="35">
        <f t="shared" si="82"/>
        <v>31</v>
      </c>
      <c r="BD48" s="34">
        <f t="shared" si="83"/>
        <v>5683.33</v>
      </c>
      <c r="BE48" s="34">
        <f t="shared" si="84"/>
        <v>568.33000000000004</v>
      </c>
      <c r="BF48" s="34">
        <f t="shared" si="85"/>
        <v>6251.66</v>
      </c>
      <c r="BG48" s="15"/>
      <c r="BH48" s="35">
        <f t="shared" si="86"/>
        <v>30</v>
      </c>
      <c r="BI48" s="34">
        <f t="shared" si="87"/>
        <v>5500</v>
      </c>
      <c r="BJ48" s="34">
        <f t="shared" si="88"/>
        <v>550</v>
      </c>
      <c r="BK48" s="34">
        <f t="shared" si="89"/>
        <v>6050</v>
      </c>
      <c r="BL48" s="15"/>
      <c r="BM48" s="35">
        <f t="shared" si="90"/>
        <v>31</v>
      </c>
      <c r="BN48" s="34">
        <f t="shared" si="91"/>
        <v>5683.33</v>
      </c>
      <c r="BO48" s="34">
        <f t="shared" si="92"/>
        <v>568.33000000000004</v>
      </c>
      <c r="BP48" s="34">
        <f t="shared" si="93"/>
        <v>6251.66</v>
      </c>
      <c r="BQ48" s="15"/>
      <c r="BR48" s="35">
        <f t="shared" si="94"/>
        <v>26</v>
      </c>
      <c r="BS48" s="34">
        <f t="shared" si="95"/>
        <v>4766.67</v>
      </c>
      <c r="BT48" s="34">
        <f t="shared" si="96"/>
        <v>476.67</v>
      </c>
      <c r="BU48" s="34">
        <f t="shared" si="97"/>
        <v>5243.34</v>
      </c>
      <c r="BV48" s="15"/>
      <c r="BW48" s="35">
        <f t="shared" si="98"/>
        <v>0</v>
      </c>
      <c r="BX48" s="34">
        <f t="shared" si="99"/>
        <v>0</v>
      </c>
      <c r="BY48" s="34">
        <f t="shared" si="100"/>
        <v>0</v>
      </c>
      <c r="BZ48" s="34">
        <f t="shared" si="101"/>
        <v>0</v>
      </c>
      <c r="CA48" s="35">
        <f t="shared" si="102"/>
        <v>240</v>
      </c>
      <c r="CB48" s="34">
        <f t="shared" si="103"/>
        <v>43999.990000000005</v>
      </c>
      <c r="CC48" s="34">
        <f t="shared" si="104"/>
        <v>4399.99</v>
      </c>
      <c r="CD48" s="34">
        <f t="shared" si="105"/>
        <v>48399.98</v>
      </c>
      <c r="CE48" s="16">
        <f t="shared" si="106"/>
        <v>0.01</v>
      </c>
      <c r="CF48" s="16">
        <f t="shared" si="107"/>
        <v>0.01</v>
      </c>
      <c r="CG48" s="31" t="s">
        <v>231</v>
      </c>
      <c r="CH48" s="31" t="s">
        <v>232</v>
      </c>
      <c r="CI48" s="31" t="s">
        <v>49</v>
      </c>
      <c r="CJ48" s="31" t="s">
        <v>233</v>
      </c>
      <c r="CK48" s="31" t="s">
        <v>234</v>
      </c>
      <c r="CL48" s="31" t="s">
        <v>235</v>
      </c>
      <c r="CM48" s="29">
        <v>46175</v>
      </c>
      <c r="CN48" s="28" t="s">
        <v>236</v>
      </c>
      <c r="CO48" s="28"/>
      <c r="CP48" s="28"/>
    </row>
    <row r="49" spans="1:94" ht="40.049999999999997" customHeight="1" x14ac:dyDescent="0.25">
      <c r="A49" s="62">
        <v>48</v>
      </c>
      <c r="B49" s="63">
        <v>203</v>
      </c>
      <c r="C49" s="1" t="s">
        <v>129</v>
      </c>
      <c r="D49" s="2" t="s">
        <v>225</v>
      </c>
      <c r="E49" s="2" t="s">
        <v>244</v>
      </c>
      <c r="F49" s="1" t="s">
        <v>245</v>
      </c>
      <c r="G49" s="2" t="s">
        <v>246</v>
      </c>
      <c r="H49" s="64">
        <v>7.62</v>
      </c>
      <c r="I49" s="1" t="s">
        <v>46</v>
      </c>
      <c r="J49" s="3">
        <v>735</v>
      </c>
      <c r="K49" s="1">
        <v>240</v>
      </c>
      <c r="L49" s="4">
        <v>44806</v>
      </c>
      <c r="M49" s="4">
        <v>4481</v>
      </c>
      <c r="N49" s="4">
        <v>49287</v>
      </c>
      <c r="O49" s="15" t="s">
        <v>247</v>
      </c>
      <c r="P49" s="31" t="s">
        <v>230</v>
      </c>
      <c r="Q49" s="35">
        <f t="shared" si="54"/>
        <v>240</v>
      </c>
      <c r="R49" s="14">
        <v>46113</v>
      </c>
      <c r="S49" s="14">
        <f t="shared" si="57"/>
        <v>46352</v>
      </c>
      <c r="T49" s="34">
        <v>44000</v>
      </c>
      <c r="U49" s="34">
        <f t="shared" si="58"/>
        <v>4400</v>
      </c>
      <c r="V49" s="34">
        <f t="shared" si="59"/>
        <v>48400</v>
      </c>
      <c r="W49" s="35"/>
      <c r="X49" s="14">
        <f t="shared" si="60"/>
        <v>46113</v>
      </c>
      <c r="Y49" s="14" t="str">
        <f t="shared" si="61"/>
        <v/>
      </c>
      <c r="Z49" s="34"/>
      <c r="AA49" s="34">
        <f t="shared" si="62"/>
        <v>0</v>
      </c>
      <c r="AB49" s="34">
        <f t="shared" si="63"/>
        <v>0</v>
      </c>
      <c r="AC49" s="15"/>
      <c r="AD49" s="35">
        <f t="shared" si="64"/>
        <v>0</v>
      </c>
      <c r="AE49" s="34">
        <f t="shared" si="65"/>
        <v>0</v>
      </c>
      <c r="AF49" s="34">
        <f t="shared" si="66"/>
        <v>0</v>
      </c>
      <c r="AG49" s="34">
        <f t="shared" si="67"/>
        <v>0</v>
      </c>
      <c r="AH49" s="15"/>
      <c r="AI49" s="35">
        <f t="shared" si="68"/>
        <v>30</v>
      </c>
      <c r="AJ49" s="34">
        <f t="shared" si="69"/>
        <v>5500</v>
      </c>
      <c r="AK49" s="34">
        <f t="shared" si="70"/>
        <v>550</v>
      </c>
      <c r="AL49" s="34">
        <f t="shared" si="71"/>
        <v>6050</v>
      </c>
      <c r="AM49" s="15"/>
      <c r="AN49" s="35">
        <f t="shared" si="72"/>
        <v>31</v>
      </c>
      <c r="AO49" s="34">
        <f t="shared" si="55"/>
        <v>5683.33</v>
      </c>
      <c r="AP49" s="34">
        <f t="shared" si="73"/>
        <v>568.33000000000004</v>
      </c>
      <c r="AQ49" s="34">
        <f t="shared" si="74"/>
        <v>6251.66</v>
      </c>
      <c r="AR49" s="15"/>
      <c r="AS49" s="35">
        <f t="shared" si="75"/>
        <v>30</v>
      </c>
      <c r="AT49" s="34">
        <f t="shared" si="56"/>
        <v>5500</v>
      </c>
      <c r="AU49" s="34">
        <f t="shared" si="76"/>
        <v>550</v>
      </c>
      <c r="AV49" s="34">
        <f t="shared" si="77"/>
        <v>6050</v>
      </c>
      <c r="AW49" s="15"/>
      <c r="AX49" s="35">
        <f t="shared" si="78"/>
        <v>31</v>
      </c>
      <c r="AY49" s="34">
        <f t="shared" si="79"/>
        <v>5683.33</v>
      </c>
      <c r="AZ49" s="34">
        <f t="shared" si="80"/>
        <v>568.33000000000004</v>
      </c>
      <c r="BA49" s="34">
        <f t="shared" si="81"/>
        <v>6251.66</v>
      </c>
      <c r="BB49" s="15"/>
      <c r="BC49" s="35">
        <f t="shared" si="82"/>
        <v>31</v>
      </c>
      <c r="BD49" s="34">
        <f t="shared" si="83"/>
        <v>5683.33</v>
      </c>
      <c r="BE49" s="34">
        <f t="shared" si="84"/>
        <v>568.33000000000004</v>
      </c>
      <c r="BF49" s="34">
        <f t="shared" si="85"/>
        <v>6251.66</v>
      </c>
      <c r="BG49" s="15"/>
      <c r="BH49" s="35">
        <f t="shared" si="86"/>
        <v>30</v>
      </c>
      <c r="BI49" s="34">
        <f t="shared" si="87"/>
        <v>5500</v>
      </c>
      <c r="BJ49" s="34">
        <f t="shared" si="88"/>
        <v>550</v>
      </c>
      <c r="BK49" s="34">
        <f t="shared" si="89"/>
        <v>6050</v>
      </c>
      <c r="BL49" s="15"/>
      <c r="BM49" s="35">
        <f t="shared" si="90"/>
        <v>31</v>
      </c>
      <c r="BN49" s="34">
        <f t="shared" si="91"/>
        <v>5683.33</v>
      </c>
      <c r="BO49" s="34">
        <f t="shared" si="92"/>
        <v>568.33000000000004</v>
      </c>
      <c r="BP49" s="34">
        <f t="shared" si="93"/>
        <v>6251.66</v>
      </c>
      <c r="BQ49" s="15"/>
      <c r="BR49" s="35">
        <f t="shared" si="94"/>
        <v>26</v>
      </c>
      <c r="BS49" s="34">
        <f t="shared" si="95"/>
        <v>4766.67</v>
      </c>
      <c r="BT49" s="34">
        <f t="shared" si="96"/>
        <v>476.67</v>
      </c>
      <c r="BU49" s="34">
        <f t="shared" si="97"/>
        <v>5243.34</v>
      </c>
      <c r="BV49" s="15"/>
      <c r="BW49" s="35">
        <f t="shared" si="98"/>
        <v>0</v>
      </c>
      <c r="BX49" s="34">
        <f t="shared" si="99"/>
        <v>0</v>
      </c>
      <c r="BY49" s="34">
        <f t="shared" si="100"/>
        <v>0</v>
      </c>
      <c r="BZ49" s="34">
        <f t="shared" si="101"/>
        <v>0</v>
      </c>
      <c r="CA49" s="35">
        <f t="shared" si="102"/>
        <v>240</v>
      </c>
      <c r="CB49" s="34">
        <f t="shared" si="103"/>
        <v>43999.990000000005</v>
      </c>
      <c r="CC49" s="34">
        <f t="shared" si="104"/>
        <v>4399.99</v>
      </c>
      <c r="CD49" s="34">
        <f t="shared" si="105"/>
        <v>48399.98</v>
      </c>
      <c r="CE49" s="16">
        <f t="shared" si="106"/>
        <v>0.01</v>
      </c>
      <c r="CF49" s="16">
        <f t="shared" si="107"/>
        <v>0.01</v>
      </c>
      <c r="CG49" s="31" t="s">
        <v>231</v>
      </c>
      <c r="CH49" s="31" t="s">
        <v>232</v>
      </c>
      <c r="CI49" s="31" t="s">
        <v>49</v>
      </c>
      <c r="CJ49" s="31" t="s">
        <v>233</v>
      </c>
      <c r="CK49" s="31" t="s">
        <v>234</v>
      </c>
      <c r="CL49" s="31" t="s">
        <v>235</v>
      </c>
      <c r="CM49" s="29">
        <v>46175</v>
      </c>
      <c r="CN49" s="28" t="s">
        <v>236</v>
      </c>
      <c r="CO49" s="28"/>
      <c r="CP49" s="28"/>
    </row>
    <row r="50" spans="1:94" ht="40.049999999999997" customHeight="1" x14ac:dyDescent="0.25">
      <c r="A50" s="62">
        <v>49</v>
      </c>
      <c r="B50" s="63">
        <v>203</v>
      </c>
      <c r="C50" s="1" t="s">
        <v>129</v>
      </c>
      <c r="D50" s="2" t="s">
        <v>225</v>
      </c>
      <c r="E50" s="2" t="s">
        <v>248</v>
      </c>
      <c r="F50" s="1" t="s">
        <v>249</v>
      </c>
      <c r="G50" s="2" t="s">
        <v>250</v>
      </c>
      <c r="H50" s="64">
        <v>8.24</v>
      </c>
      <c r="I50" s="1" t="s">
        <v>46</v>
      </c>
      <c r="J50" s="3">
        <v>735</v>
      </c>
      <c r="K50" s="1">
        <v>240</v>
      </c>
      <c r="L50" s="4">
        <v>48451</v>
      </c>
      <c r="M50" s="4">
        <v>4845</v>
      </c>
      <c r="N50" s="4">
        <v>53296</v>
      </c>
      <c r="O50" s="15" t="s">
        <v>251</v>
      </c>
      <c r="P50" s="31" t="s">
        <v>230</v>
      </c>
      <c r="Q50" s="35">
        <f t="shared" si="54"/>
        <v>240</v>
      </c>
      <c r="R50" s="14">
        <v>46113</v>
      </c>
      <c r="S50" s="14">
        <f t="shared" si="57"/>
        <v>46352</v>
      </c>
      <c r="T50" s="34">
        <v>44000</v>
      </c>
      <c r="U50" s="34">
        <f t="shared" si="58"/>
        <v>4400</v>
      </c>
      <c r="V50" s="34">
        <f t="shared" si="59"/>
        <v>48400</v>
      </c>
      <c r="W50" s="35"/>
      <c r="X50" s="14">
        <f t="shared" si="60"/>
        <v>46113</v>
      </c>
      <c r="Y50" s="14" t="str">
        <f t="shared" si="61"/>
        <v/>
      </c>
      <c r="Z50" s="34"/>
      <c r="AA50" s="34">
        <f t="shared" si="62"/>
        <v>0</v>
      </c>
      <c r="AB50" s="34">
        <f t="shared" si="63"/>
        <v>0</v>
      </c>
      <c r="AC50" s="15"/>
      <c r="AD50" s="35">
        <f t="shared" si="64"/>
        <v>0</v>
      </c>
      <c r="AE50" s="34">
        <f t="shared" si="65"/>
        <v>0</v>
      </c>
      <c r="AF50" s="34">
        <f t="shared" si="66"/>
        <v>0</v>
      </c>
      <c r="AG50" s="34">
        <f t="shared" si="67"/>
        <v>0</v>
      </c>
      <c r="AH50" s="15"/>
      <c r="AI50" s="35">
        <f t="shared" si="68"/>
        <v>30</v>
      </c>
      <c r="AJ50" s="34">
        <f t="shared" si="69"/>
        <v>5500</v>
      </c>
      <c r="AK50" s="34">
        <f t="shared" si="70"/>
        <v>550</v>
      </c>
      <c r="AL50" s="34">
        <f t="shared" si="71"/>
        <v>6050</v>
      </c>
      <c r="AM50" s="15"/>
      <c r="AN50" s="35">
        <f t="shared" si="72"/>
        <v>31</v>
      </c>
      <c r="AO50" s="34">
        <f t="shared" si="55"/>
        <v>5683.33</v>
      </c>
      <c r="AP50" s="34">
        <f t="shared" si="73"/>
        <v>568.33000000000004</v>
      </c>
      <c r="AQ50" s="34">
        <f t="shared" si="74"/>
        <v>6251.66</v>
      </c>
      <c r="AR50" s="15"/>
      <c r="AS50" s="35">
        <f t="shared" si="75"/>
        <v>30</v>
      </c>
      <c r="AT50" s="34">
        <f t="shared" si="56"/>
        <v>5500</v>
      </c>
      <c r="AU50" s="34">
        <f t="shared" si="76"/>
        <v>550</v>
      </c>
      <c r="AV50" s="34">
        <f t="shared" si="77"/>
        <v>6050</v>
      </c>
      <c r="AW50" s="15"/>
      <c r="AX50" s="35">
        <f t="shared" si="78"/>
        <v>31</v>
      </c>
      <c r="AY50" s="34">
        <f t="shared" si="79"/>
        <v>5683.33</v>
      </c>
      <c r="AZ50" s="34">
        <f t="shared" si="80"/>
        <v>568.33000000000004</v>
      </c>
      <c r="BA50" s="34">
        <f t="shared" si="81"/>
        <v>6251.66</v>
      </c>
      <c r="BB50" s="15"/>
      <c r="BC50" s="35">
        <f t="shared" si="82"/>
        <v>31</v>
      </c>
      <c r="BD50" s="34">
        <f t="shared" si="83"/>
        <v>5683.33</v>
      </c>
      <c r="BE50" s="34">
        <f t="shared" si="84"/>
        <v>568.33000000000004</v>
      </c>
      <c r="BF50" s="34">
        <f t="shared" si="85"/>
        <v>6251.66</v>
      </c>
      <c r="BG50" s="15"/>
      <c r="BH50" s="35">
        <f t="shared" si="86"/>
        <v>30</v>
      </c>
      <c r="BI50" s="34">
        <f t="shared" si="87"/>
        <v>5500</v>
      </c>
      <c r="BJ50" s="34">
        <f t="shared" si="88"/>
        <v>550</v>
      </c>
      <c r="BK50" s="34">
        <f t="shared" si="89"/>
        <v>6050</v>
      </c>
      <c r="BL50" s="15"/>
      <c r="BM50" s="35">
        <f t="shared" si="90"/>
        <v>31</v>
      </c>
      <c r="BN50" s="34">
        <f t="shared" si="91"/>
        <v>5683.33</v>
      </c>
      <c r="BO50" s="34">
        <f t="shared" si="92"/>
        <v>568.33000000000004</v>
      </c>
      <c r="BP50" s="34">
        <f t="shared" si="93"/>
        <v>6251.66</v>
      </c>
      <c r="BQ50" s="15"/>
      <c r="BR50" s="35">
        <f t="shared" si="94"/>
        <v>26</v>
      </c>
      <c r="BS50" s="34">
        <f t="shared" si="95"/>
        <v>4766.67</v>
      </c>
      <c r="BT50" s="34">
        <f t="shared" si="96"/>
        <v>476.67</v>
      </c>
      <c r="BU50" s="34">
        <f t="shared" si="97"/>
        <v>5243.34</v>
      </c>
      <c r="BV50" s="15"/>
      <c r="BW50" s="35">
        <f t="shared" si="98"/>
        <v>0</v>
      </c>
      <c r="BX50" s="34">
        <f t="shared" si="99"/>
        <v>0</v>
      </c>
      <c r="BY50" s="34">
        <f t="shared" si="100"/>
        <v>0</v>
      </c>
      <c r="BZ50" s="34">
        <f t="shared" si="101"/>
        <v>0</v>
      </c>
      <c r="CA50" s="35">
        <f t="shared" si="102"/>
        <v>240</v>
      </c>
      <c r="CB50" s="34">
        <f t="shared" si="103"/>
        <v>43999.990000000005</v>
      </c>
      <c r="CC50" s="34">
        <f t="shared" si="104"/>
        <v>4399.99</v>
      </c>
      <c r="CD50" s="34">
        <f t="shared" si="105"/>
        <v>48399.98</v>
      </c>
      <c r="CE50" s="16">
        <f t="shared" si="106"/>
        <v>0.01</v>
      </c>
      <c r="CF50" s="16">
        <f t="shared" si="107"/>
        <v>0.01</v>
      </c>
      <c r="CG50" s="31" t="s">
        <v>231</v>
      </c>
      <c r="CH50" s="31" t="s">
        <v>232</v>
      </c>
      <c r="CI50" s="31" t="s">
        <v>49</v>
      </c>
      <c r="CJ50" s="31" t="s">
        <v>233</v>
      </c>
      <c r="CK50" s="31" t="s">
        <v>234</v>
      </c>
      <c r="CL50" s="31" t="s">
        <v>235</v>
      </c>
      <c r="CM50" s="29">
        <v>46175</v>
      </c>
      <c r="CN50" s="28" t="s">
        <v>236</v>
      </c>
      <c r="CO50" s="28"/>
      <c r="CP50" s="28"/>
    </row>
    <row r="51" spans="1:94" ht="40.049999999999997" customHeight="1" x14ac:dyDescent="0.25">
      <c r="A51" s="62">
        <v>50</v>
      </c>
      <c r="B51" s="63">
        <v>203</v>
      </c>
      <c r="C51" s="1" t="s">
        <v>129</v>
      </c>
      <c r="D51" s="2" t="s">
        <v>225</v>
      </c>
      <c r="E51" s="2" t="s">
        <v>252</v>
      </c>
      <c r="F51" s="1" t="s">
        <v>253</v>
      </c>
      <c r="G51" s="2" t="s">
        <v>254</v>
      </c>
      <c r="H51" s="64">
        <v>6.4459999999999997</v>
      </c>
      <c r="I51" s="1" t="s">
        <v>46</v>
      </c>
      <c r="J51" s="3">
        <v>735</v>
      </c>
      <c r="K51" s="1">
        <v>240</v>
      </c>
      <c r="L51" s="4">
        <v>37902</v>
      </c>
      <c r="M51" s="4">
        <v>3790</v>
      </c>
      <c r="N51" s="4">
        <v>41692</v>
      </c>
      <c r="O51" s="15" t="s">
        <v>255</v>
      </c>
      <c r="P51" s="31" t="s">
        <v>230</v>
      </c>
      <c r="Q51" s="35">
        <f t="shared" si="54"/>
        <v>240</v>
      </c>
      <c r="R51" s="14">
        <v>46113</v>
      </c>
      <c r="S51" s="14">
        <f t="shared" si="57"/>
        <v>46352</v>
      </c>
      <c r="T51" s="34">
        <v>37900</v>
      </c>
      <c r="U51" s="34">
        <f t="shared" si="58"/>
        <v>3790</v>
      </c>
      <c r="V51" s="34">
        <f t="shared" si="59"/>
        <v>41690</v>
      </c>
      <c r="W51" s="35"/>
      <c r="X51" s="14">
        <f t="shared" si="60"/>
        <v>46113</v>
      </c>
      <c r="Y51" s="14" t="str">
        <f t="shared" si="61"/>
        <v/>
      </c>
      <c r="Z51" s="34"/>
      <c r="AA51" s="34">
        <f t="shared" si="62"/>
        <v>0</v>
      </c>
      <c r="AB51" s="34">
        <f t="shared" si="63"/>
        <v>0</v>
      </c>
      <c r="AC51" s="15"/>
      <c r="AD51" s="35">
        <f t="shared" si="64"/>
        <v>0</v>
      </c>
      <c r="AE51" s="34">
        <f t="shared" si="65"/>
        <v>0</v>
      </c>
      <c r="AF51" s="34">
        <f t="shared" si="66"/>
        <v>0</v>
      </c>
      <c r="AG51" s="34">
        <f t="shared" si="67"/>
        <v>0</v>
      </c>
      <c r="AH51" s="15"/>
      <c r="AI51" s="35">
        <f t="shared" si="68"/>
        <v>30</v>
      </c>
      <c r="AJ51" s="34">
        <f t="shared" si="69"/>
        <v>4737.5</v>
      </c>
      <c r="AK51" s="34">
        <f t="shared" si="70"/>
        <v>473.75</v>
      </c>
      <c r="AL51" s="34">
        <f t="shared" si="71"/>
        <v>5211.25</v>
      </c>
      <c r="AM51" s="15"/>
      <c r="AN51" s="35">
        <f t="shared" si="72"/>
        <v>31</v>
      </c>
      <c r="AO51" s="34">
        <f t="shared" si="55"/>
        <v>4895.42</v>
      </c>
      <c r="AP51" s="34">
        <f t="shared" si="73"/>
        <v>489.54</v>
      </c>
      <c r="AQ51" s="34">
        <f t="shared" si="74"/>
        <v>5384.96</v>
      </c>
      <c r="AR51" s="15"/>
      <c r="AS51" s="35">
        <f t="shared" si="75"/>
        <v>30</v>
      </c>
      <c r="AT51" s="34">
        <f t="shared" si="56"/>
        <v>4737.5</v>
      </c>
      <c r="AU51" s="34">
        <f t="shared" si="76"/>
        <v>473.75</v>
      </c>
      <c r="AV51" s="34">
        <f t="shared" si="77"/>
        <v>5211.25</v>
      </c>
      <c r="AW51" s="15"/>
      <c r="AX51" s="35">
        <f t="shared" si="78"/>
        <v>31</v>
      </c>
      <c r="AY51" s="34">
        <f t="shared" si="79"/>
        <v>4895.42</v>
      </c>
      <c r="AZ51" s="34">
        <f t="shared" si="80"/>
        <v>489.54</v>
      </c>
      <c r="BA51" s="34">
        <f t="shared" si="81"/>
        <v>5384.96</v>
      </c>
      <c r="BB51" s="15"/>
      <c r="BC51" s="35">
        <f t="shared" si="82"/>
        <v>31</v>
      </c>
      <c r="BD51" s="34">
        <f t="shared" si="83"/>
        <v>4895.42</v>
      </c>
      <c r="BE51" s="34">
        <f t="shared" si="84"/>
        <v>489.54</v>
      </c>
      <c r="BF51" s="34">
        <f t="shared" si="85"/>
        <v>5384.96</v>
      </c>
      <c r="BG51" s="15"/>
      <c r="BH51" s="35">
        <f t="shared" si="86"/>
        <v>30</v>
      </c>
      <c r="BI51" s="34">
        <f t="shared" si="87"/>
        <v>4737.5</v>
      </c>
      <c r="BJ51" s="34">
        <f t="shared" si="88"/>
        <v>473.75</v>
      </c>
      <c r="BK51" s="34">
        <f t="shared" si="89"/>
        <v>5211.25</v>
      </c>
      <c r="BL51" s="15"/>
      <c r="BM51" s="35">
        <f t="shared" si="90"/>
        <v>31</v>
      </c>
      <c r="BN51" s="34">
        <f t="shared" si="91"/>
        <v>4895.42</v>
      </c>
      <c r="BO51" s="34">
        <f t="shared" si="92"/>
        <v>489.54</v>
      </c>
      <c r="BP51" s="34">
        <f t="shared" si="93"/>
        <v>5384.96</v>
      </c>
      <c r="BQ51" s="15"/>
      <c r="BR51" s="35">
        <f t="shared" si="94"/>
        <v>26</v>
      </c>
      <c r="BS51" s="34">
        <f t="shared" si="95"/>
        <v>4105.83</v>
      </c>
      <c r="BT51" s="34">
        <f t="shared" si="96"/>
        <v>410.58</v>
      </c>
      <c r="BU51" s="34">
        <f t="shared" si="97"/>
        <v>4516.41</v>
      </c>
      <c r="BV51" s="15"/>
      <c r="BW51" s="35">
        <f t="shared" si="98"/>
        <v>0</v>
      </c>
      <c r="BX51" s="34">
        <f t="shared" si="99"/>
        <v>0</v>
      </c>
      <c r="BY51" s="34">
        <f t="shared" si="100"/>
        <v>0</v>
      </c>
      <c r="BZ51" s="34">
        <f t="shared" si="101"/>
        <v>0</v>
      </c>
      <c r="CA51" s="35">
        <f t="shared" si="102"/>
        <v>240</v>
      </c>
      <c r="CB51" s="34">
        <f t="shared" si="103"/>
        <v>37900.01</v>
      </c>
      <c r="CC51" s="34">
        <f t="shared" si="104"/>
        <v>3789.99</v>
      </c>
      <c r="CD51" s="34">
        <f t="shared" si="105"/>
        <v>41690</v>
      </c>
      <c r="CE51" s="16">
        <f t="shared" si="106"/>
        <v>-0.01</v>
      </c>
      <c r="CF51" s="16">
        <f t="shared" si="107"/>
        <v>0.01</v>
      </c>
      <c r="CG51" s="31" t="s">
        <v>231</v>
      </c>
      <c r="CH51" s="31" t="s">
        <v>232</v>
      </c>
      <c r="CI51" s="31" t="s">
        <v>49</v>
      </c>
      <c r="CJ51" s="31" t="s">
        <v>233</v>
      </c>
      <c r="CK51" s="31" t="s">
        <v>234</v>
      </c>
      <c r="CL51" s="31" t="s">
        <v>235</v>
      </c>
      <c r="CM51" s="29">
        <v>46175</v>
      </c>
      <c r="CN51" s="28" t="s">
        <v>236</v>
      </c>
      <c r="CO51" s="28"/>
      <c r="CP51" s="28"/>
    </row>
  </sheetData>
  <conditionalFormatting sqref="S2:S51">
    <cfRule type="expression" dxfId="64" priority="1">
      <formula>S2&gt;DATE(2026,12,31)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P127"/>
  <sheetViews>
    <sheetView showGridLines="0" zoomScale="60" zoomScaleNormal="60" workbookViewId="0">
      <pane ySplit="1" topLeftCell="A2" activePane="bottomLeft" state="frozenSplit"/>
      <selection activeCell="P1" sqref="P1"/>
      <selection pane="bottomLeft" activeCell="C6" sqref="C6"/>
    </sheetView>
  </sheetViews>
  <sheetFormatPr baseColWidth="10" defaultColWidth="16.77734375" defaultRowHeight="13.2" x14ac:dyDescent="0.25"/>
  <cols>
    <col min="1" max="1" width="15.77734375" style="9" customWidth="1"/>
    <col min="2" max="3" width="16.77734375" style="9" customWidth="1"/>
    <col min="4" max="4" width="17.77734375" style="9" customWidth="1"/>
    <col min="5" max="6" width="16.77734375" style="9" customWidth="1"/>
    <col min="7" max="7" width="50.77734375" style="9" customWidth="1"/>
    <col min="8" max="84" width="16.77734375" style="9" customWidth="1"/>
    <col min="85" max="85" width="18" style="9" customWidth="1"/>
    <col min="86" max="86" width="16.77734375" style="9" customWidth="1"/>
    <col min="87" max="16384" width="16.77734375" style="9"/>
  </cols>
  <sheetData>
    <row r="1" spans="1:94" ht="45" customHeight="1" x14ac:dyDescent="0.25">
      <c r="A1" s="5" t="s">
        <v>0</v>
      </c>
      <c r="B1" s="71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72" t="s">
        <v>7</v>
      </c>
      <c r="I1" s="5" t="s">
        <v>8</v>
      </c>
      <c r="J1" s="6" t="s">
        <v>9</v>
      </c>
      <c r="K1" s="5" t="s">
        <v>10</v>
      </c>
      <c r="L1" s="7" t="s">
        <v>11</v>
      </c>
      <c r="M1" s="7" t="s">
        <v>12</v>
      </c>
      <c r="N1" s="8" t="s">
        <v>13</v>
      </c>
      <c r="O1" s="11" t="s">
        <v>14</v>
      </c>
      <c r="P1" s="11" t="s">
        <v>15</v>
      </c>
      <c r="Q1" s="11" t="s">
        <v>256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257</v>
      </c>
      <c r="X1" s="11" t="s">
        <v>17</v>
      </c>
      <c r="Y1" s="11" t="s">
        <v>18</v>
      </c>
      <c r="Z1" s="11" t="s">
        <v>23</v>
      </c>
      <c r="AA1" s="11" t="s">
        <v>20</v>
      </c>
      <c r="AB1" s="11" t="s">
        <v>24</v>
      </c>
      <c r="AC1" s="12" t="s">
        <v>25</v>
      </c>
      <c r="AD1" s="17">
        <v>46112</v>
      </c>
      <c r="AE1" s="13" t="s">
        <v>26</v>
      </c>
      <c r="AF1" s="13" t="s">
        <v>27</v>
      </c>
      <c r="AG1" s="13" t="s">
        <v>13</v>
      </c>
      <c r="AH1" s="12" t="s">
        <v>25</v>
      </c>
      <c r="AI1" s="18">
        <v>46142</v>
      </c>
      <c r="AJ1" s="13" t="s">
        <v>26</v>
      </c>
      <c r="AK1" s="13" t="s">
        <v>27</v>
      </c>
      <c r="AL1" s="13" t="s">
        <v>13</v>
      </c>
      <c r="AM1" s="12" t="s">
        <v>25</v>
      </c>
      <c r="AN1" s="19">
        <v>46173</v>
      </c>
      <c r="AO1" s="13" t="s">
        <v>26</v>
      </c>
      <c r="AP1" s="13" t="s">
        <v>27</v>
      </c>
      <c r="AQ1" s="13" t="s">
        <v>13</v>
      </c>
      <c r="AR1" s="12" t="s">
        <v>25</v>
      </c>
      <c r="AS1" s="20">
        <v>46203</v>
      </c>
      <c r="AT1" s="13" t="s">
        <v>26</v>
      </c>
      <c r="AU1" s="13" t="s">
        <v>27</v>
      </c>
      <c r="AV1" s="13" t="s">
        <v>13</v>
      </c>
      <c r="AW1" s="12" t="s">
        <v>25</v>
      </c>
      <c r="AX1" s="21">
        <v>46234</v>
      </c>
      <c r="AY1" s="13" t="s">
        <v>26</v>
      </c>
      <c r="AZ1" s="13" t="s">
        <v>27</v>
      </c>
      <c r="BA1" s="13" t="s">
        <v>13</v>
      </c>
      <c r="BB1" s="12" t="s">
        <v>25</v>
      </c>
      <c r="BC1" s="22">
        <v>46265</v>
      </c>
      <c r="BD1" s="13" t="s">
        <v>26</v>
      </c>
      <c r="BE1" s="13" t="s">
        <v>27</v>
      </c>
      <c r="BF1" s="13" t="s">
        <v>13</v>
      </c>
      <c r="BG1" s="12" t="s">
        <v>25</v>
      </c>
      <c r="BH1" s="23">
        <v>46295</v>
      </c>
      <c r="BI1" s="13" t="s">
        <v>26</v>
      </c>
      <c r="BJ1" s="13" t="s">
        <v>27</v>
      </c>
      <c r="BK1" s="13" t="s">
        <v>13</v>
      </c>
      <c r="BL1" s="12" t="s">
        <v>25</v>
      </c>
      <c r="BM1" s="24">
        <v>46326</v>
      </c>
      <c r="BN1" s="13" t="s">
        <v>26</v>
      </c>
      <c r="BO1" s="13" t="s">
        <v>27</v>
      </c>
      <c r="BP1" s="13" t="s">
        <v>13</v>
      </c>
      <c r="BQ1" s="12" t="s">
        <v>25</v>
      </c>
      <c r="BR1" s="25">
        <v>46356</v>
      </c>
      <c r="BS1" s="13" t="s">
        <v>26</v>
      </c>
      <c r="BT1" s="13" t="s">
        <v>27</v>
      </c>
      <c r="BU1" s="13" t="s">
        <v>13</v>
      </c>
      <c r="BV1" s="12" t="s">
        <v>25</v>
      </c>
      <c r="BW1" s="26">
        <v>46387</v>
      </c>
      <c r="BX1" s="13" t="s">
        <v>26</v>
      </c>
      <c r="BY1" s="13" t="s">
        <v>27</v>
      </c>
      <c r="BZ1" s="13" t="s">
        <v>13</v>
      </c>
      <c r="CA1" s="12" t="s">
        <v>28</v>
      </c>
      <c r="CB1" s="12" t="s">
        <v>26</v>
      </c>
      <c r="CC1" s="12" t="s">
        <v>27</v>
      </c>
      <c r="CD1" s="12" t="s">
        <v>13</v>
      </c>
      <c r="CE1" s="12" t="s">
        <v>29</v>
      </c>
      <c r="CF1" s="12" t="s">
        <v>30</v>
      </c>
      <c r="CG1" s="27" t="s">
        <v>31</v>
      </c>
      <c r="CH1" s="27" t="s">
        <v>32</v>
      </c>
      <c r="CI1" s="27" t="s">
        <v>33</v>
      </c>
      <c r="CJ1" s="27" t="s">
        <v>34</v>
      </c>
      <c r="CK1" s="27" t="s">
        <v>35</v>
      </c>
      <c r="CL1" s="27" t="s">
        <v>36</v>
      </c>
      <c r="CM1" s="27" t="s">
        <v>37</v>
      </c>
      <c r="CN1" s="27" t="s">
        <v>38</v>
      </c>
      <c r="CO1" s="27" t="s">
        <v>39</v>
      </c>
      <c r="CP1" s="27" t="s">
        <v>40</v>
      </c>
    </row>
    <row r="2" spans="1:94" ht="40.049999999999997" customHeight="1" x14ac:dyDescent="0.25">
      <c r="A2" s="62">
        <v>51</v>
      </c>
      <c r="B2" s="63">
        <v>105</v>
      </c>
      <c r="C2" s="1" t="s">
        <v>258</v>
      </c>
      <c r="D2" s="2" t="s">
        <v>259</v>
      </c>
      <c r="E2" s="2" t="s">
        <v>260</v>
      </c>
      <c r="F2" s="2" t="s">
        <v>261</v>
      </c>
      <c r="G2" s="2" t="s">
        <v>262</v>
      </c>
      <c r="H2" s="64">
        <v>17</v>
      </c>
      <c r="I2" s="1" t="s">
        <v>46</v>
      </c>
      <c r="J2" s="3">
        <v>804</v>
      </c>
      <c r="K2" s="1">
        <v>240</v>
      </c>
      <c r="L2" s="4">
        <v>109344</v>
      </c>
      <c r="M2" s="4">
        <v>10935</v>
      </c>
      <c r="N2" s="4">
        <v>120279</v>
      </c>
      <c r="O2" s="31" t="s">
        <v>263</v>
      </c>
      <c r="P2" s="31" t="s">
        <v>264</v>
      </c>
      <c r="Q2" s="35">
        <f t="shared" ref="Q2:Q33" si="0">+$K2</f>
        <v>240</v>
      </c>
      <c r="R2" s="14">
        <v>46119</v>
      </c>
      <c r="S2" s="14">
        <f t="shared" ref="S2:S33" si="1">IF(Q2+R2=0,"",Q2+R2-1)</f>
        <v>46358</v>
      </c>
      <c r="T2" s="34">
        <v>109344</v>
      </c>
      <c r="U2" s="34">
        <f t="shared" ref="U2:U33" si="2">+ROUND(T2*0.1,2)</f>
        <v>10934.4</v>
      </c>
      <c r="V2" s="34">
        <f t="shared" ref="V2:V33" si="3">+SUM(T2:U2)</f>
        <v>120278.39999999999</v>
      </c>
      <c r="W2" s="35"/>
      <c r="X2" s="14">
        <f t="shared" ref="X2:X33" si="4">+$R2</f>
        <v>46119</v>
      </c>
      <c r="Y2" s="14" t="str">
        <f t="shared" ref="Y2:Y33" si="5">IF(W2&gt;0,X2+W2-1,"")</f>
        <v/>
      </c>
      <c r="Z2" s="34"/>
      <c r="AA2" s="34">
        <f t="shared" ref="AA2:AA33" si="6">+ROUND(Z2*0.1,2)</f>
        <v>0</v>
      </c>
      <c r="AB2" s="34">
        <f t="shared" ref="AB2:AB33" si="7">+SUM(Z2:AA2)</f>
        <v>0</v>
      </c>
      <c r="AC2" s="15"/>
      <c r="AD2" s="35">
        <f t="shared" ref="AD2:AD33" si="8">MAX(0,MIN(IF($Y2&lt;&gt;"",$Y2,$S2),AD$1)-MAX($R2,EOMONTH(AD$1,-1)+1)+1)</f>
        <v>0</v>
      </c>
      <c r="AE2" s="34">
        <f t="shared" ref="AE2:AE33" si="9">ROUND(IF($Z2="",$T2,$Z2)*(AD2/IF($W2="",$Q2,$W2)),2)</f>
        <v>0</v>
      </c>
      <c r="AF2" s="34">
        <f t="shared" ref="AF2:AF33" si="10">+ROUND(AE2*0.1,2)</f>
        <v>0</v>
      </c>
      <c r="AG2" s="34">
        <f t="shared" ref="AG2:AG33" si="11">+SUM(AE2:AF2)</f>
        <v>0</v>
      </c>
      <c r="AH2" s="15"/>
      <c r="AI2" s="35">
        <f t="shared" ref="AI2:AI33" si="12">MAX(0,MIN(IF($Y2&lt;&gt;"",$Y2,$S2),AI$1)-MAX($R2,EOMONTH(AI$1,-1)+1)+1)</f>
        <v>24</v>
      </c>
      <c r="AJ2" s="34">
        <f t="shared" ref="AJ2:AJ33" si="13">ROUND(IF($Z2="",$T2,$Z2)*(AI2/IF($W2="",$Q2,$W2)),2)</f>
        <v>10934.4</v>
      </c>
      <c r="AK2" s="34">
        <f t="shared" ref="AK2:AK33" si="14">+ROUND(AJ2*0.1,2)</f>
        <v>1093.44</v>
      </c>
      <c r="AL2" s="34">
        <f t="shared" ref="AL2:AL33" si="15">+SUM(AJ2:AK2)</f>
        <v>12027.84</v>
      </c>
      <c r="AM2" s="15"/>
      <c r="AN2" s="35">
        <f t="shared" ref="AN2:AN33" si="16">MAX(0,MIN(IF($Y2&lt;&gt;"",$Y2,$S2),AN$1)-MAX($R2,EOMONTH(AN$1,-1)+1)+1)</f>
        <v>31</v>
      </c>
      <c r="AO2" s="34">
        <f t="shared" ref="AO2:AO33" si="17">ROUND(IF($Z2="",$T2,$Z2)*(AN2/IF($W2="",$Q2,$W2)),2)</f>
        <v>14123.6</v>
      </c>
      <c r="AP2" s="34">
        <f t="shared" ref="AP2:AP33" si="18">+ROUND(AO2*0.1,2)</f>
        <v>1412.36</v>
      </c>
      <c r="AQ2" s="34">
        <f t="shared" ref="AQ2:AQ33" si="19">+SUM(AO2:AP2)</f>
        <v>15535.960000000001</v>
      </c>
      <c r="AR2" s="15"/>
      <c r="AS2" s="35">
        <f t="shared" ref="AS2:AS33" si="20">MAX(0,MIN(IF($Y2&lt;&gt;"",$Y2,$S2),AS$1)-MAX($R2,EOMONTH(AS$1,-1)+1)+1)</f>
        <v>30</v>
      </c>
      <c r="AT2" s="34">
        <f t="shared" ref="AT2:AT33" si="21">ROUND(IF($Z2="",$T2,$Z2)*(AS2/IF($W2="",$Q2,$W2)),2)</f>
        <v>13668</v>
      </c>
      <c r="AU2" s="34">
        <f t="shared" ref="AU2:AU33" si="22">+ROUND(AT2*0.1,2)</f>
        <v>1366.8</v>
      </c>
      <c r="AV2" s="34">
        <f t="shared" ref="AV2:AV33" si="23">+SUM(AT2:AU2)</f>
        <v>15034.8</v>
      </c>
      <c r="AW2" s="15"/>
      <c r="AX2" s="35">
        <f t="shared" ref="AX2:AX33" si="24">MAX(0,MIN(IF($Y2&lt;&gt;"",$Y2,$S2),AX$1)-MAX($R2,EOMONTH(AX$1,-1)+1)+1)</f>
        <v>31</v>
      </c>
      <c r="AY2" s="34">
        <f t="shared" ref="AY2:AY33" si="25">ROUND(IF($Z2="",$T2,$Z2)*(AX2/IF($W2="",$Q2,$W2)),2)</f>
        <v>14123.6</v>
      </c>
      <c r="AZ2" s="34">
        <f t="shared" ref="AZ2:AZ33" si="26">+ROUND(AY2*0.1,2)</f>
        <v>1412.36</v>
      </c>
      <c r="BA2" s="34">
        <f t="shared" ref="BA2:BA33" si="27">+SUM(AY2:AZ2)</f>
        <v>15535.960000000001</v>
      </c>
      <c r="BB2" s="15"/>
      <c r="BC2" s="35">
        <f t="shared" ref="BC2:BC33" si="28">MAX(0,MIN(IF($Y2&lt;&gt;"",$Y2,$S2),BC$1)-MAX($R2,EOMONTH(BC$1,-1)+1)+1)</f>
        <v>31</v>
      </c>
      <c r="BD2" s="34">
        <f t="shared" ref="BD2:BD33" si="29">ROUND(IF($Z2="",$T2,$Z2)*(BC2/IF($W2="",$Q2,$W2)),2)</f>
        <v>14123.6</v>
      </c>
      <c r="BE2" s="34">
        <f t="shared" ref="BE2:BE33" si="30">+ROUND(BD2*0.1,2)</f>
        <v>1412.36</v>
      </c>
      <c r="BF2" s="34">
        <f t="shared" ref="BF2:BF33" si="31">+SUM(BD2:BE2)</f>
        <v>15535.960000000001</v>
      </c>
      <c r="BG2" s="15"/>
      <c r="BH2" s="35">
        <f t="shared" ref="BH2:BH33" si="32">MAX(0,MIN(IF($Y2&lt;&gt;"",$Y2,$S2),BH$1)-MAX($R2,EOMONTH(BH$1,-1)+1)+1)</f>
        <v>30</v>
      </c>
      <c r="BI2" s="34">
        <f t="shared" ref="BI2:BI33" si="33">ROUND(IF($Z2="",$T2,$Z2)*(BH2/IF($W2="",$Q2,$W2)),2)</f>
        <v>13668</v>
      </c>
      <c r="BJ2" s="34">
        <f t="shared" ref="BJ2:BJ33" si="34">+ROUND(BI2*0.1,2)</f>
        <v>1366.8</v>
      </c>
      <c r="BK2" s="34">
        <f t="shared" ref="BK2:BK33" si="35">+SUM(BI2:BJ2)</f>
        <v>15034.8</v>
      </c>
      <c r="BL2" s="15"/>
      <c r="BM2" s="35">
        <f t="shared" ref="BM2:BM33" si="36">MAX(0,MIN(IF($Y2&lt;&gt;"",$Y2,$S2),BM$1)-MAX($R2,EOMONTH(BM$1,-1)+1)+1)</f>
        <v>31</v>
      </c>
      <c r="BN2" s="34">
        <f t="shared" ref="BN2:BN33" si="37">ROUND(IF($Z2="",$T2,$Z2)*(BM2/IF($W2="",$Q2,$W2)),2)</f>
        <v>14123.6</v>
      </c>
      <c r="BO2" s="34">
        <f t="shared" ref="BO2:BO33" si="38">+ROUND(BN2*0.1,2)</f>
        <v>1412.36</v>
      </c>
      <c r="BP2" s="34">
        <f t="shared" ref="BP2:BP33" si="39">+SUM(BN2:BO2)</f>
        <v>15535.960000000001</v>
      </c>
      <c r="BQ2" s="15"/>
      <c r="BR2" s="35">
        <f t="shared" ref="BR2:BR33" si="40">MAX(0,MIN(IF($Y2&lt;&gt;"",$Y2,$S2),BR$1)-MAX($R2,EOMONTH(BR$1,-1)+1)+1)</f>
        <v>30</v>
      </c>
      <c r="BS2" s="34">
        <f t="shared" ref="BS2:BS33" si="41">ROUND(IF($Z2="",$T2,$Z2)*(BR2/IF($W2="",$Q2,$W2)),2)</f>
        <v>13668</v>
      </c>
      <c r="BT2" s="34">
        <f t="shared" ref="BT2:BT33" si="42">+ROUND(BS2*0.1,2)</f>
        <v>1366.8</v>
      </c>
      <c r="BU2" s="34">
        <f t="shared" ref="BU2:BU33" si="43">+SUM(BS2:BT2)</f>
        <v>15034.8</v>
      </c>
      <c r="BV2" s="15"/>
      <c r="BW2" s="35">
        <f t="shared" ref="BW2:BW33" si="44">MAX(0,MIN(IF($Y2&lt;&gt;"",$Y2,$S2),BW$1)-MAX($R2,EOMONTH(BW$1,-1)+1)+1)</f>
        <v>2</v>
      </c>
      <c r="BX2" s="34">
        <f t="shared" ref="BX2:BX33" si="45">ROUND(IF($Z2="",$T2,$Z2)*(BW2/IF($W2="",$Q2,$W2)),2)</f>
        <v>911.2</v>
      </c>
      <c r="BY2" s="34">
        <f t="shared" ref="BY2:BY33" si="46">+ROUND(BX2*0.1,2)</f>
        <v>91.12</v>
      </c>
      <c r="BZ2" s="34">
        <f t="shared" ref="BZ2:BZ33" si="47">+SUM(BX2:BY2)</f>
        <v>1002.32</v>
      </c>
      <c r="CA2" s="35">
        <f t="shared" ref="CA2:CA33" si="48">+AD2+AI2+AN2+AS2+AX2+BC2+BH2+BM2+BR2+BW2</f>
        <v>240</v>
      </c>
      <c r="CB2" s="34">
        <f t="shared" ref="CB2:CB33" si="49">+AE2+AJ2+AO2+AT2+AY2+BD2+BI2+BN2+BS2+BX2</f>
        <v>109344</v>
      </c>
      <c r="CC2" s="34">
        <f t="shared" ref="CC2:CC33" si="50">+AF2+AK2+AP2+AU2+AZ2+BE2+BJ2+BO2+BT2+BY2</f>
        <v>10934.4</v>
      </c>
      <c r="CD2" s="34">
        <f t="shared" ref="CD2:CD33" si="51">+SUM(CB2:CC2)</f>
        <v>120278.39999999999</v>
      </c>
      <c r="CE2" s="16">
        <f t="shared" ref="CE2:CE33" si="52">ROUND(IF($Y2&lt;&gt;"",$Z2,$T2)-CB2,2)</f>
        <v>0</v>
      </c>
      <c r="CF2" s="16">
        <f t="shared" ref="CF2:CF33" si="53">ROUND(IF($Y2&lt;&gt;"",$AA2,$U2)-CC2,2)</f>
        <v>0</v>
      </c>
      <c r="CG2" s="31" t="s">
        <v>265</v>
      </c>
      <c r="CH2" s="31" t="s">
        <v>266</v>
      </c>
      <c r="CI2" s="31" t="s">
        <v>49</v>
      </c>
      <c r="CJ2" s="31" t="s">
        <v>267</v>
      </c>
      <c r="CK2" s="31" t="s">
        <v>268</v>
      </c>
      <c r="CL2" s="31" t="s">
        <v>269</v>
      </c>
      <c r="CM2" s="29">
        <v>46092</v>
      </c>
      <c r="CN2" s="28" t="s">
        <v>270</v>
      </c>
      <c r="CO2" s="28"/>
      <c r="CP2" s="28"/>
    </row>
    <row r="3" spans="1:94" ht="40.049999999999997" customHeight="1" x14ac:dyDescent="0.25">
      <c r="A3" s="62">
        <v>52</v>
      </c>
      <c r="B3" s="63">
        <v>105</v>
      </c>
      <c r="C3" s="1" t="s">
        <v>258</v>
      </c>
      <c r="D3" s="2" t="s">
        <v>259</v>
      </c>
      <c r="E3" s="2" t="s">
        <v>271</v>
      </c>
      <c r="F3" s="2" t="s">
        <v>272</v>
      </c>
      <c r="G3" s="2" t="s">
        <v>273</v>
      </c>
      <c r="H3" s="64">
        <v>14.086</v>
      </c>
      <c r="I3" s="1" t="s">
        <v>46</v>
      </c>
      <c r="J3" s="3">
        <v>798</v>
      </c>
      <c r="K3" s="1">
        <v>240</v>
      </c>
      <c r="L3" s="4">
        <v>89926</v>
      </c>
      <c r="M3" s="4">
        <v>8993</v>
      </c>
      <c r="N3" s="4">
        <v>98919</v>
      </c>
      <c r="O3" s="31" t="s">
        <v>274</v>
      </c>
      <c r="P3" s="31" t="s">
        <v>275</v>
      </c>
      <c r="Q3" s="35">
        <f t="shared" si="0"/>
        <v>240</v>
      </c>
      <c r="R3" s="14">
        <v>46119</v>
      </c>
      <c r="S3" s="14">
        <f t="shared" si="1"/>
        <v>46358</v>
      </c>
      <c r="T3" s="34">
        <v>89926</v>
      </c>
      <c r="U3" s="34">
        <f t="shared" si="2"/>
        <v>8992.6</v>
      </c>
      <c r="V3" s="34">
        <f t="shared" si="3"/>
        <v>98918.6</v>
      </c>
      <c r="W3" s="35"/>
      <c r="X3" s="14">
        <f t="shared" si="4"/>
        <v>46119</v>
      </c>
      <c r="Y3" s="14" t="str">
        <f t="shared" si="5"/>
        <v/>
      </c>
      <c r="Z3" s="34"/>
      <c r="AA3" s="34">
        <f t="shared" si="6"/>
        <v>0</v>
      </c>
      <c r="AB3" s="34">
        <f t="shared" si="7"/>
        <v>0</v>
      </c>
      <c r="AC3" s="15"/>
      <c r="AD3" s="35">
        <f t="shared" si="8"/>
        <v>0</v>
      </c>
      <c r="AE3" s="34">
        <f t="shared" si="9"/>
        <v>0</v>
      </c>
      <c r="AF3" s="34">
        <f t="shared" si="10"/>
        <v>0</v>
      </c>
      <c r="AG3" s="34">
        <f t="shared" si="11"/>
        <v>0</v>
      </c>
      <c r="AH3" s="15"/>
      <c r="AI3" s="35">
        <f t="shared" si="12"/>
        <v>24</v>
      </c>
      <c r="AJ3" s="34">
        <f t="shared" si="13"/>
        <v>8992.6</v>
      </c>
      <c r="AK3" s="34">
        <f t="shared" si="14"/>
        <v>899.26</v>
      </c>
      <c r="AL3" s="34">
        <f t="shared" si="15"/>
        <v>9891.86</v>
      </c>
      <c r="AM3" s="15"/>
      <c r="AN3" s="35">
        <f t="shared" si="16"/>
        <v>31</v>
      </c>
      <c r="AO3" s="34">
        <f t="shared" si="17"/>
        <v>11615.44</v>
      </c>
      <c r="AP3" s="34">
        <f t="shared" si="18"/>
        <v>1161.54</v>
      </c>
      <c r="AQ3" s="34">
        <f t="shared" si="19"/>
        <v>12776.98</v>
      </c>
      <c r="AR3" s="15"/>
      <c r="AS3" s="35">
        <f t="shared" si="20"/>
        <v>30</v>
      </c>
      <c r="AT3" s="34">
        <f t="shared" si="21"/>
        <v>11240.75</v>
      </c>
      <c r="AU3" s="34">
        <f t="shared" si="22"/>
        <v>1124.08</v>
      </c>
      <c r="AV3" s="34">
        <f t="shared" si="23"/>
        <v>12364.83</v>
      </c>
      <c r="AW3" s="15"/>
      <c r="AX3" s="35">
        <f t="shared" si="24"/>
        <v>31</v>
      </c>
      <c r="AY3" s="34">
        <f t="shared" si="25"/>
        <v>11615.44</v>
      </c>
      <c r="AZ3" s="34">
        <f t="shared" si="26"/>
        <v>1161.54</v>
      </c>
      <c r="BA3" s="34">
        <f t="shared" si="27"/>
        <v>12776.98</v>
      </c>
      <c r="BB3" s="15"/>
      <c r="BC3" s="35">
        <f t="shared" si="28"/>
        <v>31</v>
      </c>
      <c r="BD3" s="34">
        <f t="shared" si="29"/>
        <v>11615.44</v>
      </c>
      <c r="BE3" s="34">
        <f t="shared" si="30"/>
        <v>1161.54</v>
      </c>
      <c r="BF3" s="34">
        <f t="shared" si="31"/>
        <v>12776.98</v>
      </c>
      <c r="BG3" s="15"/>
      <c r="BH3" s="35">
        <f t="shared" si="32"/>
        <v>30</v>
      </c>
      <c r="BI3" s="34">
        <f t="shared" si="33"/>
        <v>11240.75</v>
      </c>
      <c r="BJ3" s="34">
        <f t="shared" si="34"/>
        <v>1124.08</v>
      </c>
      <c r="BK3" s="34">
        <f t="shared" si="35"/>
        <v>12364.83</v>
      </c>
      <c r="BL3" s="15"/>
      <c r="BM3" s="35">
        <f t="shared" si="36"/>
        <v>31</v>
      </c>
      <c r="BN3" s="34">
        <f t="shared" si="37"/>
        <v>11615.44</v>
      </c>
      <c r="BO3" s="34">
        <f t="shared" si="38"/>
        <v>1161.54</v>
      </c>
      <c r="BP3" s="34">
        <f t="shared" si="39"/>
        <v>12776.98</v>
      </c>
      <c r="BQ3" s="15"/>
      <c r="BR3" s="35">
        <f t="shared" si="40"/>
        <v>30</v>
      </c>
      <c r="BS3" s="34">
        <f t="shared" si="41"/>
        <v>11240.75</v>
      </c>
      <c r="BT3" s="34">
        <f t="shared" si="42"/>
        <v>1124.08</v>
      </c>
      <c r="BU3" s="34">
        <f t="shared" si="43"/>
        <v>12364.83</v>
      </c>
      <c r="BV3" s="15"/>
      <c r="BW3" s="35">
        <f t="shared" si="44"/>
        <v>2</v>
      </c>
      <c r="BX3" s="34">
        <f t="shared" si="45"/>
        <v>749.38</v>
      </c>
      <c r="BY3" s="34">
        <f t="shared" si="46"/>
        <v>74.94</v>
      </c>
      <c r="BZ3" s="34">
        <f t="shared" si="47"/>
        <v>824.31999999999994</v>
      </c>
      <c r="CA3" s="35">
        <f t="shared" si="48"/>
        <v>240</v>
      </c>
      <c r="CB3" s="34">
        <f t="shared" si="49"/>
        <v>89925.99000000002</v>
      </c>
      <c r="CC3" s="34">
        <f t="shared" si="50"/>
        <v>8992.6</v>
      </c>
      <c r="CD3" s="34">
        <f t="shared" si="51"/>
        <v>98918.590000000026</v>
      </c>
      <c r="CE3" s="16">
        <f t="shared" si="52"/>
        <v>0.01</v>
      </c>
      <c r="CF3" s="16">
        <f t="shared" si="53"/>
        <v>0</v>
      </c>
      <c r="CG3" s="31" t="s">
        <v>265</v>
      </c>
      <c r="CH3" s="31" t="s">
        <v>266</v>
      </c>
      <c r="CI3" s="31" t="s">
        <v>49</v>
      </c>
      <c r="CJ3" s="31" t="s">
        <v>267</v>
      </c>
      <c r="CK3" s="31" t="s">
        <v>268</v>
      </c>
      <c r="CL3" s="31" t="s">
        <v>269</v>
      </c>
      <c r="CM3" s="29">
        <v>46092</v>
      </c>
      <c r="CN3" s="28" t="s">
        <v>270</v>
      </c>
      <c r="CO3" s="28"/>
      <c r="CP3" s="28"/>
    </row>
    <row r="4" spans="1:94" ht="40.049999999999997" customHeight="1" x14ac:dyDescent="0.25">
      <c r="A4" s="62">
        <v>53</v>
      </c>
      <c r="B4" s="63">
        <v>105</v>
      </c>
      <c r="C4" s="1" t="s">
        <v>258</v>
      </c>
      <c r="D4" s="2" t="s">
        <v>259</v>
      </c>
      <c r="E4" s="2" t="s">
        <v>259</v>
      </c>
      <c r="F4" s="2" t="s">
        <v>276</v>
      </c>
      <c r="G4" s="2" t="s">
        <v>277</v>
      </c>
      <c r="H4" s="64">
        <v>14.829000000000001</v>
      </c>
      <c r="I4" s="1" t="s">
        <v>46</v>
      </c>
      <c r="J4" s="3">
        <v>808</v>
      </c>
      <c r="K4" s="1">
        <v>240</v>
      </c>
      <c r="L4" s="4">
        <v>95855</v>
      </c>
      <c r="M4" s="4">
        <v>9586</v>
      </c>
      <c r="N4" s="4">
        <v>105441</v>
      </c>
      <c r="O4" s="31" t="s">
        <v>278</v>
      </c>
      <c r="P4" s="31" t="s">
        <v>275</v>
      </c>
      <c r="Q4" s="35">
        <f t="shared" si="0"/>
        <v>240</v>
      </c>
      <c r="R4" s="14">
        <v>46127</v>
      </c>
      <c r="S4" s="14">
        <f t="shared" si="1"/>
        <v>46366</v>
      </c>
      <c r="T4" s="34">
        <v>95855</v>
      </c>
      <c r="U4" s="34">
        <f t="shared" si="2"/>
        <v>9585.5</v>
      </c>
      <c r="V4" s="34">
        <f t="shared" si="3"/>
        <v>105440.5</v>
      </c>
      <c r="W4" s="35"/>
      <c r="X4" s="14">
        <f t="shared" si="4"/>
        <v>46127</v>
      </c>
      <c r="Y4" s="14" t="str">
        <f t="shared" si="5"/>
        <v/>
      </c>
      <c r="Z4" s="34"/>
      <c r="AA4" s="34">
        <f t="shared" si="6"/>
        <v>0</v>
      </c>
      <c r="AB4" s="34">
        <f t="shared" si="7"/>
        <v>0</v>
      </c>
      <c r="AC4" s="15"/>
      <c r="AD4" s="35">
        <f t="shared" si="8"/>
        <v>0</v>
      </c>
      <c r="AE4" s="34">
        <f t="shared" si="9"/>
        <v>0</v>
      </c>
      <c r="AF4" s="34">
        <f t="shared" si="10"/>
        <v>0</v>
      </c>
      <c r="AG4" s="34">
        <f t="shared" si="11"/>
        <v>0</v>
      </c>
      <c r="AH4" s="15"/>
      <c r="AI4" s="35">
        <f t="shared" si="12"/>
        <v>16</v>
      </c>
      <c r="AJ4" s="34">
        <f t="shared" si="13"/>
        <v>6390.33</v>
      </c>
      <c r="AK4" s="34">
        <f t="shared" si="14"/>
        <v>639.03</v>
      </c>
      <c r="AL4" s="34">
        <f t="shared" si="15"/>
        <v>7029.36</v>
      </c>
      <c r="AM4" s="15"/>
      <c r="AN4" s="35">
        <f t="shared" si="16"/>
        <v>31</v>
      </c>
      <c r="AO4" s="34">
        <f t="shared" si="17"/>
        <v>12381.27</v>
      </c>
      <c r="AP4" s="34">
        <f t="shared" si="18"/>
        <v>1238.1300000000001</v>
      </c>
      <c r="AQ4" s="34">
        <f t="shared" si="19"/>
        <v>13619.400000000001</v>
      </c>
      <c r="AR4" s="15"/>
      <c r="AS4" s="35">
        <f t="shared" si="20"/>
        <v>30</v>
      </c>
      <c r="AT4" s="34">
        <f t="shared" si="21"/>
        <v>11981.88</v>
      </c>
      <c r="AU4" s="34">
        <f t="shared" si="22"/>
        <v>1198.19</v>
      </c>
      <c r="AV4" s="34">
        <f t="shared" si="23"/>
        <v>13180.07</v>
      </c>
      <c r="AW4" s="15"/>
      <c r="AX4" s="35">
        <f t="shared" si="24"/>
        <v>31</v>
      </c>
      <c r="AY4" s="34">
        <f t="shared" si="25"/>
        <v>12381.27</v>
      </c>
      <c r="AZ4" s="34">
        <f t="shared" si="26"/>
        <v>1238.1300000000001</v>
      </c>
      <c r="BA4" s="34">
        <f t="shared" si="27"/>
        <v>13619.400000000001</v>
      </c>
      <c r="BB4" s="15"/>
      <c r="BC4" s="35">
        <f t="shared" si="28"/>
        <v>31</v>
      </c>
      <c r="BD4" s="34">
        <f t="shared" si="29"/>
        <v>12381.27</v>
      </c>
      <c r="BE4" s="34">
        <f t="shared" si="30"/>
        <v>1238.1300000000001</v>
      </c>
      <c r="BF4" s="34">
        <f t="shared" si="31"/>
        <v>13619.400000000001</v>
      </c>
      <c r="BG4" s="15"/>
      <c r="BH4" s="35">
        <f t="shared" si="32"/>
        <v>30</v>
      </c>
      <c r="BI4" s="34">
        <f t="shared" si="33"/>
        <v>11981.88</v>
      </c>
      <c r="BJ4" s="34">
        <f t="shared" si="34"/>
        <v>1198.19</v>
      </c>
      <c r="BK4" s="34">
        <f t="shared" si="35"/>
        <v>13180.07</v>
      </c>
      <c r="BL4" s="15"/>
      <c r="BM4" s="35">
        <f t="shared" si="36"/>
        <v>31</v>
      </c>
      <c r="BN4" s="34">
        <f t="shared" si="37"/>
        <v>12381.27</v>
      </c>
      <c r="BO4" s="34">
        <f t="shared" si="38"/>
        <v>1238.1300000000001</v>
      </c>
      <c r="BP4" s="34">
        <f t="shared" si="39"/>
        <v>13619.400000000001</v>
      </c>
      <c r="BQ4" s="15"/>
      <c r="BR4" s="35">
        <f t="shared" si="40"/>
        <v>30</v>
      </c>
      <c r="BS4" s="34">
        <f t="shared" si="41"/>
        <v>11981.88</v>
      </c>
      <c r="BT4" s="34">
        <f t="shared" si="42"/>
        <v>1198.19</v>
      </c>
      <c r="BU4" s="34">
        <f t="shared" si="43"/>
        <v>13180.07</v>
      </c>
      <c r="BV4" s="15"/>
      <c r="BW4" s="35">
        <f t="shared" si="44"/>
        <v>10</v>
      </c>
      <c r="BX4" s="34">
        <f t="shared" si="45"/>
        <v>3993.96</v>
      </c>
      <c r="BY4" s="34">
        <f t="shared" si="46"/>
        <v>399.4</v>
      </c>
      <c r="BZ4" s="34">
        <f t="shared" si="47"/>
        <v>4393.3599999999997</v>
      </c>
      <c r="CA4" s="35">
        <f t="shared" si="48"/>
        <v>240</v>
      </c>
      <c r="CB4" s="34">
        <f t="shared" si="49"/>
        <v>95855.010000000024</v>
      </c>
      <c r="CC4" s="34">
        <f t="shared" si="50"/>
        <v>9585.52</v>
      </c>
      <c r="CD4" s="34">
        <f t="shared" si="51"/>
        <v>105440.53000000003</v>
      </c>
      <c r="CE4" s="16">
        <f t="shared" si="52"/>
        <v>-0.01</v>
      </c>
      <c r="CF4" s="16">
        <f t="shared" si="53"/>
        <v>-0.02</v>
      </c>
      <c r="CG4" s="31" t="s">
        <v>265</v>
      </c>
      <c r="CH4" s="31" t="s">
        <v>266</v>
      </c>
      <c r="CI4" s="31" t="s">
        <v>49</v>
      </c>
      <c r="CJ4" s="31" t="s">
        <v>267</v>
      </c>
      <c r="CK4" s="31" t="s">
        <v>268</v>
      </c>
      <c r="CL4" s="31" t="s">
        <v>269</v>
      </c>
      <c r="CM4" s="29">
        <v>46092</v>
      </c>
      <c r="CN4" s="28" t="s">
        <v>270</v>
      </c>
      <c r="CO4" s="28"/>
      <c r="CP4" s="28"/>
    </row>
    <row r="5" spans="1:94" ht="40.049999999999997" customHeight="1" x14ac:dyDescent="0.25">
      <c r="A5" s="62">
        <v>54</v>
      </c>
      <c r="B5" s="63">
        <v>105</v>
      </c>
      <c r="C5" s="1" t="s">
        <v>258</v>
      </c>
      <c r="D5" s="2" t="s">
        <v>259</v>
      </c>
      <c r="E5" s="2" t="s">
        <v>259</v>
      </c>
      <c r="F5" s="2" t="s">
        <v>279</v>
      </c>
      <c r="G5" s="2" t="s">
        <v>280</v>
      </c>
      <c r="H5" s="64">
        <v>7.4710000000000001</v>
      </c>
      <c r="I5" s="1" t="s">
        <v>46</v>
      </c>
      <c r="J5" s="3">
        <v>824</v>
      </c>
      <c r="K5" s="1">
        <v>240</v>
      </c>
      <c r="L5" s="4">
        <v>49249</v>
      </c>
      <c r="M5" s="4">
        <v>4925</v>
      </c>
      <c r="N5" s="4">
        <v>54174</v>
      </c>
      <c r="O5" s="31" t="s">
        <v>281</v>
      </c>
      <c r="P5" s="31" t="s">
        <v>264</v>
      </c>
      <c r="Q5" s="35">
        <f t="shared" si="0"/>
        <v>240</v>
      </c>
      <c r="R5" s="14">
        <v>46127</v>
      </c>
      <c r="S5" s="14">
        <f t="shared" si="1"/>
        <v>46366</v>
      </c>
      <c r="T5" s="34">
        <v>49249</v>
      </c>
      <c r="U5" s="34">
        <f t="shared" si="2"/>
        <v>4924.8999999999996</v>
      </c>
      <c r="V5" s="34">
        <f t="shared" si="3"/>
        <v>54173.9</v>
      </c>
      <c r="W5" s="35"/>
      <c r="X5" s="14">
        <f t="shared" si="4"/>
        <v>46127</v>
      </c>
      <c r="Y5" s="14" t="str">
        <f t="shared" si="5"/>
        <v/>
      </c>
      <c r="Z5" s="34"/>
      <c r="AA5" s="34">
        <f t="shared" si="6"/>
        <v>0</v>
      </c>
      <c r="AB5" s="34">
        <f t="shared" si="7"/>
        <v>0</v>
      </c>
      <c r="AC5" s="15"/>
      <c r="AD5" s="35">
        <f t="shared" si="8"/>
        <v>0</v>
      </c>
      <c r="AE5" s="34">
        <f t="shared" si="9"/>
        <v>0</v>
      </c>
      <c r="AF5" s="34">
        <f t="shared" si="10"/>
        <v>0</v>
      </c>
      <c r="AG5" s="34">
        <f t="shared" si="11"/>
        <v>0</v>
      </c>
      <c r="AH5" s="15"/>
      <c r="AI5" s="35">
        <f t="shared" si="12"/>
        <v>16</v>
      </c>
      <c r="AJ5" s="34">
        <f t="shared" si="13"/>
        <v>3283.27</v>
      </c>
      <c r="AK5" s="34">
        <f t="shared" si="14"/>
        <v>328.33</v>
      </c>
      <c r="AL5" s="34">
        <f t="shared" si="15"/>
        <v>3611.6</v>
      </c>
      <c r="AM5" s="15"/>
      <c r="AN5" s="35">
        <f t="shared" si="16"/>
        <v>31</v>
      </c>
      <c r="AO5" s="34">
        <f t="shared" si="17"/>
        <v>6361.33</v>
      </c>
      <c r="AP5" s="34">
        <f t="shared" si="18"/>
        <v>636.13</v>
      </c>
      <c r="AQ5" s="34">
        <f t="shared" si="19"/>
        <v>6997.46</v>
      </c>
      <c r="AR5" s="15"/>
      <c r="AS5" s="35">
        <f t="shared" si="20"/>
        <v>30</v>
      </c>
      <c r="AT5" s="34">
        <f t="shared" si="21"/>
        <v>6156.13</v>
      </c>
      <c r="AU5" s="34">
        <f t="shared" si="22"/>
        <v>615.61</v>
      </c>
      <c r="AV5" s="34">
        <f t="shared" si="23"/>
        <v>6771.74</v>
      </c>
      <c r="AW5" s="15"/>
      <c r="AX5" s="35">
        <f t="shared" si="24"/>
        <v>31</v>
      </c>
      <c r="AY5" s="34">
        <f t="shared" si="25"/>
        <v>6361.33</v>
      </c>
      <c r="AZ5" s="34">
        <f t="shared" si="26"/>
        <v>636.13</v>
      </c>
      <c r="BA5" s="34">
        <f t="shared" si="27"/>
        <v>6997.46</v>
      </c>
      <c r="BB5" s="15"/>
      <c r="BC5" s="35">
        <f t="shared" si="28"/>
        <v>31</v>
      </c>
      <c r="BD5" s="34">
        <f t="shared" si="29"/>
        <v>6361.33</v>
      </c>
      <c r="BE5" s="34">
        <f t="shared" si="30"/>
        <v>636.13</v>
      </c>
      <c r="BF5" s="34">
        <f t="shared" si="31"/>
        <v>6997.46</v>
      </c>
      <c r="BG5" s="15"/>
      <c r="BH5" s="35">
        <f t="shared" si="32"/>
        <v>30</v>
      </c>
      <c r="BI5" s="34">
        <f t="shared" si="33"/>
        <v>6156.13</v>
      </c>
      <c r="BJ5" s="34">
        <f t="shared" si="34"/>
        <v>615.61</v>
      </c>
      <c r="BK5" s="34">
        <f t="shared" si="35"/>
        <v>6771.74</v>
      </c>
      <c r="BL5" s="15"/>
      <c r="BM5" s="35">
        <f t="shared" si="36"/>
        <v>31</v>
      </c>
      <c r="BN5" s="34">
        <f t="shared" si="37"/>
        <v>6361.33</v>
      </c>
      <c r="BO5" s="34">
        <f t="shared" si="38"/>
        <v>636.13</v>
      </c>
      <c r="BP5" s="34">
        <f t="shared" si="39"/>
        <v>6997.46</v>
      </c>
      <c r="BQ5" s="15"/>
      <c r="BR5" s="35">
        <f t="shared" si="40"/>
        <v>30</v>
      </c>
      <c r="BS5" s="34">
        <f t="shared" si="41"/>
        <v>6156.13</v>
      </c>
      <c r="BT5" s="34">
        <f t="shared" si="42"/>
        <v>615.61</v>
      </c>
      <c r="BU5" s="34">
        <f t="shared" si="43"/>
        <v>6771.74</v>
      </c>
      <c r="BV5" s="15"/>
      <c r="BW5" s="35">
        <f t="shared" si="44"/>
        <v>10</v>
      </c>
      <c r="BX5" s="34">
        <f t="shared" si="45"/>
        <v>2052.04</v>
      </c>
      <c r="BY5" s="34">
        <f t="shared" si="46"/>
        <v>205.2</v>
      </c>
      <c r="BZ5" s="34">
        <f t="shared" si="47"/>
        <v>2257.2399999999998</v>
      </c>
      <c r="CA5" s="35">
        <f t="shared" si="48"/>
        <v>240</v>
      </c>
      <c r="CB5" s="34">
        <f t="shared" si="49"/>
        <v>49249.02</v>
      </c>
      <c r="CC5" s="34">
        <f t="shared" si="50"/>
        <v>4924.88</v>
      </c>
      <c r="CD5" s="34">
        <f t="shared" si="51"/>
        <v>54173.899999999994</v>
      </c>
      <c r="CE5" s="16">
        <f t="shared" si="52"/>
        <v>-0.02</v>
      </c>
      <c r="CF5" s="16">
        <f t="shared" si="53"/>
        <v>0.02</v>
      </c>
      <c r="CG5" s="31" t="s">
        <v>265</v>
      </c>
      <c r="CH5" s="31" t="s">
        <v>266</v>
      </c>
      <c r="CI5" s="31" t="s">
        <v>49</v>
      </c>
      <c r="CJ5" s="31" t="s">
        <v>267</v>
      </c>
      <c r="CK5" s="31" t="s">
        <v>268</v>
      </c>
      <c r="CL5" s="31" t="s">
        <v>269</v>
      </c>
      <c r="CM5" s="29">
        <v>46092</v>
      </c>
      <c r="CN5" s="28" t="s">
        <v>270</v>
      </c>
      <c r="CO5" s="28"/>
      <c r="CP5" s="28"/>
    </row>
    <row r="6" spans="1:94" ht="40.049999999999997" customHeight="1" x14ac:dyDescent="0.25">
      <c r="A6" s="62">
        <v>55</v>
      </c>
      <c r="B6" s="63">
        <v>105</v>
      </c>
      <c r="C6" s="1" t="s">
        <v>258</v>
      </c>
      <c r="D6" s="2" t="s">
        <v>259</v>
      </c>
      <c r="E6" s="2" t="s">
        <v>259</v>
      </c>
      <c r="F6" s="2" t="s">
        <v>282</v>
      </c>
      <c r="G6" s="2" t="s">
        <v>283</v>
      </c>
      <c r="H6" s="64">
        <v>11.487</v>
      </c>
      <c r="I6" s="1" t="s">
        <v>46</v>
      </c>
      <c r="J6" s="3">
        <v>806</v>
      </c>
      <c r="K6" s="1">
        <v>240</v>
      </c>
      <c r="L6" s="4">
        <v>74069</v>
      </c>
      <c r="M6" s="4">
        <v>7407</v>
      </c>
      <c r="N6" s="4">
        <v>81476</v>
      </c>
      <c r="O6" s="31" t="s">
        <v>284</v>
      </c>
      <c r="P6" s="31" t="s">
        <v>275</v>
      </c>
      <c r="Q6" s="35">
        <f t="shared" si="0"/>
        <v>240</v>
      </c>
      <c r="R6" s="14">
        <v>46122</v>
      </c>
      <c r="S6" s="14">
        <f t="shared" si="1"/>
        <v>46361</v>
      </c>
      <c r="T6" s="34">
        <v>74069</v>
      </c>
      <c r="U6" s="34">
        <f t="shared" si="2"/>
        <v>7406.9</v>
      </c>
      <c r="V6" s="34">
        <f t="shared" si="3"/>
        <v>81475.899999999994</v>
      </c>
      <c r="W6" s="35"/>
      <c r="X6" s="14">
        <f t="shared" si="4"/>
        <v>46122</v>
      </c>
      <c r="Y6" s="14" t="str">
        <f t="shared" si="5"/>
        <v/>
      </c>
      <c r="Z6" s="34"/>
      <c r="AA6" s="34">
        <f t="shared" si="6"/>
        <v>0</v>
      </c>
      <c r="AB6" s="34">
        <f t="shared" si="7"/>
        <v>0</v>
      </c>
      <c r="AC6" s="15"/>
      <c r="AD6" s="35">
        <f t="shared" si="8"/>
        <v>0</v>
      </c>
      <c r="AE6" s="34">
        <f t="shared" si="9"/>
        <v>0</v>
      </c>
      <c r="AF6" s="34">
        <f t="shared" si="10"/>
        <v>0</v>
      </c>
      <c r="AG6" s="34">
        <f t="shared" si="11"/>
        <v>0</v>
      </c>
      <c r="AH6" s="15"/>
      <c r="AI6" s="35">
        <f t="shared" si="12"/>
        <v>21</v>
      </c>
      <c r="AJ6" s="34">
        <f t="shared" si="13"/>
        <v>6481.04</v>
      </c>
      <c r="AK6" s="34">
        <f t="shared" si="14"/>
        <v>648.1</v>
      </c>
      <c r="AL6" s="34">
        <f t="shared" si="15"/>
        <v>7129.14</v>
      </c>
      <c r="AM6" s="15"/>
      <c r="AN6" s="35">
        <f t="shared" si="16"/>
        <v>31</v>
      </c>
      <c r="AO6" s="34">
        <f t="shared" si="17"/>
        <v>9567.25</v>
      </c>
      <c r="AP6" s="34">
        <f t="shared" si="18"/>
        <v>956.73</v>
      </c>
      <c r="AQ6" s="34">
        <f t="shared" si="19"/>
        <v>10523.98</v>
      </c>
      <c r="AR6" s="15"/>
      <c r="AS6" s="35">
        <f t="shared" si="20"/>
        <v>30</v>
      </c>
      <c r="AT6" s="34">
        <f t="shared" si="21"/>
        <v>9258.6299999999992</v>
      </c>
      <c r="AU6" s="34">
        <f t="shared" si="22"/>
        <v>925.86</v>
      </c>
      <c r="AV6" s="34">
        <f t="shared" si="23"/>
        <v>10184.49</v>
      </c>
      <c r="AW6" s="15"/>
      <c r="AX6" s="35">
        <f t="shared" si="24"/>
        <v>31</v>
      </c>
      <c r="AY6" s="34">
        <f t="shared" si="25"/>
        <v>9567.25</v>
      </c>
      <c r="AZ6" s="34">
        <f t="shared" si="26"/>
        <v>956.73</v>
      </c>
      <c r="BA6" s="34">
        <f t="shared" si="27"/>
        <v>10523.98</v>
      </c>
      <c r="BB6" s="15"/>
      <c r="BC6" s="35">
        <f t="shared" si="28"/>
        <v>31</v>
      </c>
      <c r="BD6" s="34">
        <f t="shared" si="29"/>
        <v>9567.25</v>
      </c>
      <c r="BE6" s="34">
        <f t="shared" si="30"/>
        <v>956.73</v>
      </c>
      <c r="BF6" s="34">
        <f t="shared" si="31"/>
        <v>10523.98</v>
      </c>
      <c r="BG6" s="15"/>
      <c r="BH6" s="35">
        <f t="shared" si="32"/>
        <v>30</v>
      </c>
      <c r="BI6" s="34">
        <f t="shared" si="33"/>
        <v>9258.6299999999992</v>
      </c>
      <c r="BJ6" s="34">
        <f t="shared" si="34"/>
        <v>925.86</v>
      </c>
      <c r="BK6" s="34">
        <f t="shared" si="35"/>
        <v>10184.49</v>
      </c>
      <c r="BL6" s="15"/>
      <c r="BM6" s="35">
        <f t="shared" si="36"/>
        <v>31</v>
      </c>
      <c r="BN6" s="34">
        <f t="shared" si="37"/>
        <v>9567.25</v>
      </c>
      <c r="BO6" s="34">
        <f t="shared" si="38"/>
        <v>956.73</v>
      </c>
      <c r="BP6" s="34">
        <f t="shared" si="39"/>
        <v>10523.98</v>
      </c>
      <c r="BQ6" s="15"/>
      <c r="BR6" s="35">
        <f t="shared" si="40"/>
        <v>30</v>
      </c>
      <c r="BS6" s="34">
        <f t="shared" si="41"/>
        <v>9258.6299999999992</v>
      </c>
      <c r="BT6" s="34">
        <f t="shared" si="42"/>
        <v>925.86</v>
      </c>
      <c r="BU6" s="34">
        <f t="shared" si="43"/>
        <v>10184.49</v>
      </c>
      <c r="BV6" s="15"/>
      <c r="BW6" s="35">
        <f t="shared" si="44"/>
        <v>5</v>
      </c>
      <c r="BX6" s="34">
        <f t="shared" si="45"/>
        <v>1543.1</v>
      </c>
      <c r="BY6" s="34">
        <f t="shared" si="46"/>
        <v>154.31</v>
      </c>
      <c r="BZ6" s="34">
        <f t="shared" si="47"/>
        <v>1697.4099999999999</v>
      </c>
      <c r="CA6" s="35">
        <f t="shared" si="48"/>
        <v>240</v>
      </c>
      <c r="CB6" s="34">
        <f t="shared" si="49"/>
        <v>74069.03</v>
      </c>
      <c r="CC6" s="34">
        <f t="shared" si="50"/>
        <v>7406.91</v>
      </c>
      <c r="CD6" s="34">
        <f t="shared" si="51"/>
        <v>81475.94</v>
      </c>
      <c r="CE6" s="16">
        <f t="shared" si="52"/>
        <v>-0.03</v>
      </c>
      <c r="CF6" s="16">
        <f t="shared" si="53"/>
        <v>-0.01</v>
      </c>
      <c r="CG6" s="31" t="s">
        <v>265</v>
      </c>
      <c r="CH6" s="31" t="s">
        <v>266</v>
      </c>
      <c r="CI6" s="31" t="s">
        <v>49</v>
      </c>
      <c r="CJ6" s="31" t="s">
        <v>267</v>
      </c>
      <c r="CK6" s="31" t="s">
        <v>268</v>
      </c>
      <c r="CL6" s="31" t="s">
        <v>269</v>
      </c>
      <c r="CM6" s="29">
        <v>46092</v>
      </c>
      <c r="CN6" s="28" t="s">
        <v>270</v>
      </c>
      <c r="CO6" s="28"/>
      <c r="CP6" s="28"/>
    </row>
    <row r="7" spans="1:94" ht="40.049999999999997" customHeight="1" x14ac:dyDescent="0.25">
      <c r="A7" s="62">
        <v>56</v>
      </c>
      <c r="B7" s="63">
        <v>105</v>
      </c>
      <c r="C7" s="1" t="s">
        <v>258</v>
      </c>
      <c r="D7" s="2" t="s">
        <v>259</v>
      </c>
      <c r="E7" s="2" t="s">
        <v>285</v>
      </c>
      <c r="F7" s="2" t="s">
        <v>286</v>
      </c>
      <c r="G7" s="2" t="s">
        <v>287</v>
      </c>
      <c r="H7" s="64">
        <v>9.2629999999999999</v>
      </c>
      <c r="I7" s="1" t="s">
        <v>46</v>
      </c>
      <c r="J7" s="3">
        <v>842</v>
      </c>
      <c r="K7" s="1">
        <v>240</v>
      </c>
      <c r="L7" s="4">
        <v>62396</v>
      </c>
      <c r="M7" s="4">
        <v>6240</v>
      </c>
      <c r="N7" s="4">
        <v>68636</v>
      </c>
      <c r="O7" s="31" t="s">
        <v>288</v>
      </c>
      <c r="P7" s="31" t="s">
        <v>275</v>
      </c>
      <c r="Q7" s="35">
        <f t="shared" si="0"/>
        <v>240</v>
      </c>
      <c r="R7" s="14">
        <v>46129</v>
      </c>
      <c r="S7" s="14">
        <f t="shared" si="1"/>
        <v>46368</v>
      </c>
      <c r="T7" s="34">
        <v>62396</v>
      </c>
      <c r="U7" s="34">
        <f t="shared" si="2"/>
        <v>6239.6</v>
      </c>
      <c r="V7" s="34">
        <f t="shared" si="3"/>
        <v>68635.600000000006</v>
      </c>
      <c r="W7" s="35"/>
      <c r="X7" s="14">
        <f t="shared" si="4"/>
        <v>46129</v>
      </c>
      <c r="Y7" s="14" t="str">
        <f t="shared" si="5"/>
        <v/>
      </c>
      <c r="Z7" s="34"/>
      <c r="AA7" s="34">
        <f t="shared" si="6"/>
        <v>0</v>
      </c>
      <c r="AB7" s="34">
        <f t="shared" si="7"/>
        <v>0</v>
      </c>
      <c r="AC7" s="15"/>
      <c r="AD7" s="35">
        <f t="shared" si="8"/>
        <v>0</v>
      </c>
      <c r="AE7" s="34">
        <f t="shared" si="9"/>
        <v>0</v>
      </c>
      <c r="AF7" s="34">
        <f t="shared" si="10"/>
        <v>0</v>
      </c>
      <c r="AG7" s="34">
        <f t="shared" si="11"/>
        <v>0</v>
      </c>
      <c r="AH7" s="15"/>
      <c r="AI7" s="35">
        <f t="shared" si="12"/>
        <v>14</v>
      </c>
      <c r="AJ7" s="34">
        <f t="shared" si="13"/>
        <v>3639.77</v>
      </c>
      <c r="AK7" s="34">
        <f t="shared" si="14"/>
        <v>363.98</v>
      </c>
      <c r="AL7" s="34">
        <f t="shared" si="15"/>
        <v>4003.75</v>
      </c>
      <c r="AM7" s="15"/>
      <c r="AN7" s="35">
        <f t="shared" si="16"/>
        <v>31</v>
      </c>
      <c r="AO7" s="34">
        <f t="shared" si="17"/>
        <v>8059.48</v>
      </c>
      <c r="AP7" s="34">
        <f t="shared" si="18"/>
        <v>805.95</v>
      </c>
      <c r="AQ7" s="34">
        <f t="shared" si="19"/>
        <v>8865.43</v>
      </c>
      <c r="AR7" s="15"/>
      <c r="AS7" s="35">
        <f t="shared" si="20"/>
        <v>30</v>
      </c>
      <c r="AT7" s="34">
        <f t="shared" si="21"/>
        <v>7799.5</v>
      </c>
      <c r="AU7" s="34">
        <f t="shared" si="22"/>
        <v>779.95</v>
      </c>
      <c r="AV7" s="34">
        <f t="shared" si="23"/>
        <v>8579.4500000000007</v>
      </c>
      <c r="AW7" s="15"/>
      <c r="AX7" s="35">
        <f t="shared" si="24"/>
        <v>31</v>
      </c>
      <c r="AY7" s="34">
        <f t="shared" si="25"/>
        <v>8059.48</v>
      </c>
      <c r="AZ7" s="34">
        <f t="shared" si="26"/>
        <v>805.95</v>
      </c>
      <c r="BA7" s="34">
        <f t="shared" si="27"/>
        <v>8865.43</v>
      </c>
      <c r="BB7" s="15"/>
      <c r="BC7" s="35">
        <f t="shared" si="28"/>
        <v>31</v>
      </c>
      <c r="BD7" s="34">
        <f t="shared" si="29"/>
        <v>8059.48</v>
      </c>
      <c r="BE7" s="34">
        <f t="shared" si="30"/>
        <v>805.95</v>
      </c>
      <c r="BF7" s="34">
        <f t="shared" si="31"/>
        <v>8865.43</v>
      </c>
      <c r="BG7" s="15"/>
      <c r="BH7" s="35">
        <f t="shared" si="32"/>
        <v>30</v>
      </c>
      <c r="BI7" s="34">
        <f t="shared" si="33"/>
        <v>7799.5</v>
      </c>
      <c r="BJ7" s="34">
        <f t="shared" si="34"/>
        <v>779.95</v>
      </c>
      <c r="BK7" s="34">
        <f t="shared" si="35"/>
        <v>8579.4500000000007</v>
      </c>
      <c r="BL7" s="15"/>
      <c r="BM7" s="35">
        <f t="shared" si="36"/>
        <v>31</v>
      </c>
      <c r="BN7" s="34">
        <f t="shared" si="37"/>
        <v>8059.48</v>
      </c>
      <c r="BO7" s="34">
        <f t="shared" si="38"/>
        <v>805.95</v>
      </c>
      <c r="BP7" s="34">
        <f t="shared" si="39"/>
        <v>8865.43</v>
      </c>
      <c r="BQ7" s="15"/>
      <c r="BR7" s="35">
        <f t="shared" si="40"/>
        <v>30</v>
      </c>
      <c r="BS7" s="34">
        <f t="shared" si="41"/>
        <v>7799.5</v>
      </c>
      <c r="BT7" s="34">
        <f t="shared" si="42"/>
        <v>779.95</v>
      </c>
      <c r="BU7" s="34">
        <f t="shared" si="43"/>
        <v>8579.4500000000007</v>
      </c>
      <c r="BV7" s="15"/>
      <c r="BW7" s="35">
        <f t="shared" si="44"/>
        <v>12</v>
      </c>
      <c r="BX7" s="34">
        <f t="shared" si="45"/>
        <v>3119.8</v>
      </c>
      <c r="BY7" s="34">
        <f t="shared" si="46"/>
        <v>311.98</v>
      </c>
      <c r="BZ7" s="34">
        <f t="shared" si="47"/>
        <v>3431.78</v>
      </c>
      <c r="CA7" s="35">
        <f t="shared" si="48"/>
        <v>240</v>
      </c>
      <c r="CB7" s="34">
        <f t="shared" si="49"/>
        <v>62395.990000000005</v>
      </c>
      <c r="CC7" s="34">
        <f t="shared" si="50"/>
        <v>6239.6099999999988</v>
      </c>
      <c r="CD7" s="34">
        <f t="shared" si="51"/>
        <v>68635.600000000006</v>
      </c>
      <c r="CE7" s="16">
        <f t="shared" si="52"/>
        <v>0.01</v>
      </c>
      <c r="CF7" s="16">
        <f t="shared" si="53"/>
        <v>-0.01</v>
      </c>
      <c r="CG7" s="31" t="s">
        <v>265</v>
      </c>
      <c r="CH7" s="31" t="s">
        <v>266</v>
      </c>
      <c r="CI7" s="31" t="s">
        <v>49</v>
      </c>
      <c r="CJ7" s="31" t="s">
        <v>267</v>
      </c>
      <c r="CK7" s="31" t="s">
        <v>268</v>
      </c>
      <c r="CL7" s="31" t="s">
        <v>269</v>
      </c>
      <c r="CM7" s="29">
        <v>46092</v>
      </c>
      <c r="CN7" s="28" t="s">
        <v>270</v>
      </c>
      <c r="CO7" s="28"/>
      <c r="CP7" s="28"/>
    </row>
    <row r="8" spans="1:94" ht="40.049999999999997" customHeight="1" x14ac:dyDescent="0.25">
      <c r="A8" s="62">
        <v>57</v>
      </c>
      <c r="B8" s="63">
        <v>105</v>
      </c>
      <c r="C8" s="1" t="s">
        <v>258</v>
      </c>
      <c r="D8" s="2" t="s">
        <v>259</v>
      </c>
      <c r="E8" s="2" t="s">
        <v>289</v>
      </c>
      <c r="F8" s="2" t="s">
        <v>290</v>
      </c>
      <c r="G8" s="2" t="s">
        <v>291</v>
      </c>
      <c r="H8" s="64">
        <v>12.122</v>
      </c>
      <c r="I8" s="1" t="s">
        <v>46</v>
      </c>
      <c r="J8" s="3">
        <v>796</v>
      </c>
      <c r="K8" s="1">
        <v>240</v>
      </c>
      <c r="L8" s="4">
        <v>77193</v>
      </c>
      <c r="M8" s="4">
        <v>7719</v>
      </c>
      <c r="N8" s="4">
        <v>84912</v>
      </c>
      <c r="O8" s="31" t="s">
        <v>292</v>
      </c>
      <c r="P8" s="31" t="s">
        <v>293</v>
      </c>
      <c r="Q8" s="35">
        <f t="shared" si="0"/>
        <v>240</v>
      </c>
      <c r="R8" s="14">
        <v>46136</v>
      </c>
      <c r="S8" s="14">
        <f t="shared" si="1"/>
        <v>46375</v>
      </c>
      <c r="T8" s="34">
        <v>77193</v>
      </c>
      <c r="U8" s="34">
        <f t="shared" si="2"/>
        <v>7719.3</v>
      </c>
      <c r="V8" s="34">
        <f t="shared" si="3"/>
        <v>84912.3</v>
      </c>
      <c r="W8" s="35"/>
      <c r="X8" s="14">
        <f t="shared" si="4"/>
        <v>46136</v>
      </c>
      <c r="Y8" s="14" t="str">
        <f t="shared" si="5"/>
        <v/>
      </c>
      <c r="Z8" s="34"/>
      <c r="AA8" s="34">
        <f t="shared" si="6"/>
        <v>0</v>
      </c>
      <c r="AB8" s="34">
        <f t="shared" si="7"/>
        <v>0</v>
      </c>
      <c r="AC8" s="15"/>
      <c r="AD8" s="35">
        <f t="shared" si="8"/>
        <v>0</v>
      </c>
      <c r="AE8" s="34">
        <f t="shared" si="9"/>
        <v>0</v>
      </c>
      <c r="AF8" s="34">
        <f t="shared" si="10"/>
        <v>0</v>
      </c>
      <c r="AG8" s="34">
        <f t="shared" si="11"/>
        <v>0</v>
      </c>
      <c r="AH8" s="15"/>
      <c r="AI8" s="35">
        <f t="shared" si="12"/>
        <v>7</v>
      </c>
      <c r="AJ8" s="34">
        <f t="shared" si="13"/>
        <v>2251.46</v>
      </c>
      <c r="AK8" s="34">
        <f t="shared" si="14"/>
        <v>225.15</v>
      </c>
      <c r="AL8" s="34">
        <f t="shared" si="15"/>
        <v>2476.61</v>
      </c>
      <c r="AM8" s="15"/>
      <c r="AN8" s="35">
        <f t="shared" si="16"/>
        <v>31</v>
      </c>
      <c r="AO8" s="34">
        <f t="shared" si="17"/>
        <v>9970.76</v>
      </c>
      <c r="AP8" s="34">
        <f t="shared" si="18"/>
        <v>997.08</v>
      </c>
      <c r="AQ8" s="34">
        <f t="shared" si="19"/>
        <v>10967.84</v>
      </c>
      <c r="AR8" s="15"/>
      <c r="AS8" s="35">
        <f t="shared" si="20"/>
        <v>30</v>
      </c>
      <c r="AT8" s="34">
        <f t="shared" si="21"/>
        <v>9649.1299999999992</v>
      </c>
      <c r="AU8" s="34">
        <f t="shared" si="22"/>
        <v>964.91</v>
      </c>
      <c r="AV8" s="34">
        <f t="shared" si="23"/>
        <v>10614.039999999999</v>
      </c>
      <c r="AW8" s="15"/>
      <c r="AX8" s="35">
        <f t="shared" si="24"/>
        <v>31</v>
      </c>
      <c r="AY8" s="34">
        <f t="shared" si="25"/>
        <v>9970.76</v>
      </c>
      <c r="AZ8" s="34">
        <f t="shared" si="26"/>
        <v>997.08</v>
      </c>
      <c r="BA8" s="34">
        <f t="shared" si="27"/>
        <v>10967.84</v>
      </c>
      <c r="BB8" s="15"/>
      <c r="BC8" s="35">
        <f t="shared" si="28"/>
        <v>31</v>
      </c>
      <c r="BD8" s="34">
        <f t="shared" si="29"/>
        <v>9970.76</v>
      </c>
      <c r="BE8" s="34">
        <f t="shared" si="30"/>
        <v>997.08</v>
      </c>
      <c r="BF8" s="34">
        <f t="shared" si="31"/>
        <v>10967.84</v>
      </c>
      <c r="BG8" s="15"/>
      <c r="BH8" s="35">
        <f t="shared" si="32"/>
        <v>30</v>
      </c>
      <c r="BI8" s="34">
        <f t="shared" si="33"/>
        <v>9649.1299999999992</v>
      </c>
      <c r="BJ8" s="34">
        <f t="shared" si="34"/>
        <v>964.91</v>
      </c>
      <c r="BK8" s="34">
        <f t="shared" si="35"/>
        <v>10614.039999999999</v>
      </c>
      <c r="BL8" s="15"/>
      <c r="BM8" s="35">
        <f t="shared" si="36"/>
        <v>31</v>
      </c>
      <c r="BN8" s="34">
        <f t="shared" si="37"/>
        <v>9970.76</v>
      </c>
      <c r="BO8" s="34">
        <f t="shared" si="38"/>
        <v>997.08</v>
      </c>
      <c r="BP8" s="34">
        <f t="shared" si="39"/>
        <v>10967.84</v>
      </c>
      <c r="BQ8" s="15"/>
      <c r="BR8" s="35">
        <f t="shared" si="40"/>
        <v>30</v>
      </c>
      <c r="BS8" s="34">
        <f t="shared" si="41"/>
        <v>9649.1299999999992</v>
      </c>
      <c r="BT8" s="34">
        <f t="shared" si="42"/>
        <v>964.91</v>
      </c>
      <c r="BU8" s="34">
        <f t="shared" si="43"/>
        <v>10614.039999999999</v>
      </c>
      <c r="BV8" s="15"/>
      <c r="BW8" s="35">
        <f t="shared" si="44"/>
        <v>19</v>
      </c>
      <c r="BX8" s="34">
        <f t="shared" si="45"/>
        <v>6111.11</v>
      </c>
      <c r="BY8" s="34">
        <f t="shared" si="46"/>
        <v>611.11</v>
      </c>
      <c r="BZ8" s="34">
        <f t="shared" si="47"/>
        <v>6722.2199999999993</v>
      </c>
      <c r="CA8" s="35">
        <f t="shared" si="48"/>
        <v>240</v>
      </c>
      <c r="CB8" s="34">
        <f t="shared" si="49"/>
        <v>77193</v>
      </c>
      <c r="CC8" s="34">
        <f t="shared" si="50"/>
        <v>7719.3099999999995</v>
      </c>
      <c r="CD8" s="34">
        <f t="shared" si="51"/>
        <v>84912.31</v>
      </c>
      <c r="CE8" s="16">
        <f t="shared" si="52"/>
        <v>0</v>
      </c>
      <c r="CF8" s="16">
        <f t="shared" si="53"/>
        <v>-0.01</v>
      </c>
      <c r="CG8" s="31" t="s">
        <v>265</v>
      </c>
      <c r="CH8" s="31" t="s">
        <v>266</v>
      </c>
      <c r="CI8" s="31" t="s">
        <v>49</v>
      </c>
      <c r="CJ8" s="31" t="s">
        <v>267</v>
      </c>
      <c r="CK8" s="31" t="s">
        <v>268</v>
      </c>
      <c r="CL8" s="31" t="s">
        <v>269</v>
      </c>
      <c r="CM8" s="29">
        <v>46092</v>
      </c>
      <c r="CN8" s="28" t="s">
        <v>270</v>
      </c>
      <c r="CO8" s="28"/>
      <c r="CP8" s="28"/>
    </row>
    <row r="9" spans="1:94" ht="40.049999999999997" customHeight="1" x14ac:dyDescent="0.25">
      <c r="A9" s="62">
        <v>58</v>
      </c>
      <c r="B9" s="63">
        <v>105</v>
      </c>
      <c r="C9" s="1" t="s">
        <v>258</v>
      </c>
      <c r="D9" s="2" t="s">
        <v>259</v>
      </c>
      <c r="E9" s="2" t="s">
        <v>294</v>
      </c>
      <c r="F9" s="2" t="s">
        <v>295</v>
      </c>
      <c r="G9" s="2" t="s">
        <v>296</v>
      </c>
      <c r="H9" s="64">
        <v>10.013999999999999</v>
      </c>
      <c r="I9" s="1" t="s">
        <v>46</v>
      </c>
      <c r="J9" s="3">
        <v>796</v>
      </c>
      <c r="K9" s="1">
        <v>240</v>
      </c>
      <c r="L9" s="4">
        <v>63770</v>
      </c>
      <c r="M9" s="4">
        <v>6377</v>
      </c>
      <c r="N9" s="4">
        <v>70147</v>
      </c>
      <c r="O9" s="31" t="s">
        <v>297</v>
      </c>
      <c r="P9" s="31" t="s">
        <v>264</v>
      </c>
      <c r="Q9" s="35">
        <f t="shared" si="0"/>
        <v>240</v>
      </c>
      <c r="R9" s="14">
        <v>46122</v>
      </c>
      <c r="S9" s="14">
        <f t="shared" si="1"/>
        <v>46361</v>
      </c>
      <c r="T9" s="34">
        <v>63770</v>
      </c>
      <c r="U9" s="34">
        <f t="shared" si="2"/>
        <v>6377</v>
      </c>
      <c r="V9" s="34">
        <f t="shared" si="3"/>
        <v>70147</v>
      </c>
      <c r="W9" s="35"/>
      <c r="X9" s="14">
        <f t="shared" si="4"/>
        <v>46122</v>
      </c>
      <c r="Y9" s="14" t="str">
        <f t="shared" si="5"/>
        <v/>
      </c>
      <c r="Z9" s="34"/>
      <c r="AA9" s="34">
        <f t="shared" si="6"/>
        <v>0</v>
      </c>
      <c r="AB9" s="34">
        <f t="shared" si="7"/>
        <v>0</v>
      </c>
      <c r="AC9" s="15"/>
      <c r="AD9" s="35">
        <f t="shared" si="8"/>
        <v>0</v>
      </c>
      <c r="AE9" s="34">
        <f t="shared" si="9"/>
        <v>0</v>
      </c>
      <c r="AF9" s="34">
        <f t="shared" si="10"/>
        <v>0</v>
      </c>
      <c r="AG9" s="34">
        <f t="shared" si="11"/>
        <v>0</v>
      </c>
      <c r="AH9" s="15"/>
      <c r="AI9" s="35">
        <f t="shared" si="12"/>
        <v>21</v>
      </c>
      <c r="AJ9" s="34">
        <f t="shared" si="13"/>
        <v>5579.88</v>
      </c>
      <c r="AK9" s="34">
        <f t="shared" si="14"/>
        <v>557.99</v>
      </c>
      <c r="AL9" s="34">
        <f t="shared" si="15"/>
        <v>6137.87</v>
      </c>
      <c r="AM9" s="15"/>
      <c r="AN9" s="35">
        <f t="shared" si="16"/>
        <v>31</v>
      </c>
      <c r="AO9" s="34">
        <f t="shared" si="17"/>
        <v>8236.9599999999991</v>
      </c>
      <c r="AP9" s="34">
        <f t="shared" si="18"/>
        <v>823.7</v>
      </c>
      <c r="AQ9" s="34">
        <f t="shared" si="19"/>
        <v>9060.66</v>
      </c>
      <c r="AR9" s="15"/>
      <c r="AS9" s="35">
        <f t="shared" si="20"/>
        <v>30</v>
      </c>
      <c r="AT9" s="34">
        <f t="shared" si="21"/>
        <v>7971.25</v>
      </c>
      <c r="AU9" s="34">
        <f t="shared" si="22"/>
        <v>797.13</v>
      </c>
      <c r="AV9" s="34">
        <f t="shared" si="23"/>
        <v>8768.3799999999992</v>
      </c>
      <c r="AW9" s="15"/>
      <c r="AX9" s="35">
        <f t="shared" si="24"/>
        <v>31</v>
      </c>
      <c r="AY9" s="34">
        <f t="shared" si="25"/>
        <v>8236.9599999999991</v>
      </c>
      <c r="AZ9" s="34">
        <f t="shared" si="26"/>
        <v>823.7</v>
      </c>
      <c r="BA9" s="34">
        <f t="shared" si="27"/>
        <v>9060.66</v>
      </c>
      <c r="BB9" s="15"/>
      <c r="BC9" s="35">
        <f t="shared" si="28"/>
        <v>31</v>
      </c>
      <c r="BD9" s="34">
        <f t="shared" si="29"/>
        <v>8236.9599999999991</v>
      </c>
      <c r="BE9" s="34">
        <f t="shared" si="30"/>
        <v>823.7</v>
      </c>
      <c r="BF9" s="34">
        <f t="shared" si="31"/>
        <v>9060.66</v>
      </c>
      <c r="BG9" s="15"/>
      <c r="BH9" s="35">
        <f t="shared" si="32"/>
        <v>30</v>
      </c>
      <c r="BI9" s="34">
        <f t="shared" si="33"/>
        <v>7971.25</v>
      </c>
      <c r="BJ9" s="34">
        <f t="shared" si="34"/>
        <v>797.13</v>
      </c>
      <c r="BK9" s="34">
        <f t="shared" si="35"/>
        <v>8768.3799999999992</v>
      </c>
      <c r="BL9" s="15"/>
      <c r="BM9" s="35">
        <f t="shared" si="36"/>
        <v>31</v>
      </c>
      <c r="BN9" s="34">
        <f t="shared" si="37"/>
        <v>8236.9599999999991</v>
      </c>
      <c r="BO9" s="34">
        <f t="shared" si="38"/>
        <v>823.7</v>
      </c>
      <c r="BP9" s="34">
        <f t="shared" si="39"/>
        <v>9060.66</v>
      </c>
      <c r="BQ9" s="15"/>
      <c r="BR9" s="35">
        <f t="shared" si="40"/>
        <v>30</v>
      </c>
      <c r="BS9" s="34">
        <f t="shared" si="41"/>
        <v>7971.25</v>
      </c>
      <c r="BT9" s="34">
        <f t="shared" si="42"/>
        <v>797.13</v>
      </c>
      <c r="BU9" s="34">
        <f t="shared" si="43"/>
        <v>8768.3799999999992</v>
      </c>
      <c r="BV9" s="15"/>
      <c r="BW9" s="35">
        <f t="shared" si="44"/>
        <v>5</v>
      </c>
      <c r="BX9" s="34">
        <f t="shared" si="45"/>
        <v>1328.54</v>
      </c>
      <c r="BY9" s="34">
        <f t="shared" si="46"/>
        <v>132.85</v>
      </c>
      <c r="BZ9" s="34">
        <f t="shared" si="47"/>
        <v>1461.3899999999999</v>
      </c>
      <c r="CA9" s="35">
        <f t="shared" si="48"/>
        <v>240</v>
      </c>
      <c r="CB9" s="34">
        <f t="shared" si="49"/>
        <v>63770.009999999995</v>
      </c>
      <c r="CC9" s="34">
        <f t="shared" si="50"/>
        <v>6377.0300000000007</v>
      </c>
      <c r="CD9" s="34">
        <f t="shared" si="51"/>
        <v>70147.039999999994</v>
      </c>
      <c r="CE9" s="16">
        <f t="shared" si="52"/>
        <v>-0.01</v>
      </c>
      <c r="CF9" s="16">
        <f t="shared" si="53"/>
        <v>-0.03</v>
      </c>
      <c r="CG9" s="31" t="s">
        <v>265</v>
      </c>
      <c r="CH9" s="31" t="s">
        <v>266</v>
      </c>
      <c r="CI9" s="31" t="s">
        <v>49</v>
      </c>
      <c r="CJ9" s="31" t="s">
        <v>267</v>
      </c>
      <c r="CK9" s="31" t="s">
        <v>268</v>
      </c>
      <c r="CL9" s="31" t="s">
        <v>269</v>
      </c>
      <c r="CM9" s="29">
        <v>46092</v>
      </c>
      <c r="CN9" s="28" t="s">
        <v>270</v>
      </c>
      <c r="CO9" s="28"/>
      <c r="CP9" s="28"/>
    </row>
    <row r="10" spans="1:94" ht="40.049999999999997" customHeight="1" x14ac:dyDescent="0.25">
      <c r="A10" s="62">
        <v>59</v>
      </c>
      <c r="B10" s="63">
        <v>105</v>
      </c>
      <c r="C10" s="1" t="s">
        <v>258</v>
      </c>
      <c r="D10" s="2" t="s">
        <v>259</v>
      </c>
      <c r="E10" s="2" t="s">
        <v>298</v>
      </c>
      <c r="F10" s="2" t="s">
        <v>299</v>
      </c>
      <c r="G10" s="2" t="s">
        <v>300</v>
      </c>
      <c r="H10" s="64">
        <v>15.811999999999999</v>
      </c>
      <c r="I10" s="1" t="s">
        <v>46</v>
      </c>
      <c r="J10" s="3">
        <v>810</v>
      </c>
      <c r="K10" s="1">
        <v>240</v>
      </c>
      <c r="L10" s="4">
        <v>102462</v>
      </c>
      <c r="M10" s="4">
        <v>10246</v>
      </c>
      <c r="N10" s="4">
        <v>112708</v>
      </c>
      <c r="O10" s="31" t="s">
        <v>301</v>
      </c>
      <c r="P10" s="31" t="s">
        <v>264</v>
      </c>
      <c r="Q10" s="35">
        <f t="shared" si="0"/>
        <v>240</v>
      </c>
      <c r="R10" s="14">
        <v>46121</v>
      </c>
      <c r="S10" s="14">
        <f t="shared" si="1"/>
        <v>46360</v>
      </c>
      <c r="T10" s="34">
        <v>102462</v>
      </c>
      <c r="U10" s="34">
        <f t="shared" si="2"/>
        <v>10246.200000000001</v>
      </c>
      <c r="V10" s="34">
        <f t="shared" si="3"/>
        <v>112708.2</v>
      </c>
      <c r="W10" s="35"/>
      <c r="X10" s="14">
        <f t="shared" si="4"/>
        <v>46121</v>
      </c>
      <c r="Y10" s="14" t="str">
        <f t="shared" si="5"/>
        <v/>
      </c>
      <c r="Z10" s="34"/>
      <c r="AA10" s="34">
        <f t="shared" si="6"/>
        <v>0</v>
      </c>
      <c r="AB10" s="34">
        <f t="shared" si="7"/>
        <v>0</v>
      </c>
      <c r="AC10" s="15"/>
      <c r="AD10" s="35">
        <f t="shared" si="8"/>
        <v>0</v>
      </c>
      <c r="AE10" s="34">
        <f t="shared" si="9"/>
        <v>0</v>
      </c>
      <c r="AF10" s="34">
        <f t="shared" si="10"/>
        <v>0</v>
      </c>
      <c r="AG10" s="34">
        <f t="shared" si="11"/>
        <v>0</v>
      </c>
      <c r="AH10" s="15"/>
      <c r="AI10" s="35">
        <f t="shared" si="12"/>
        <v>22</v>
      </c>
      <c r="AJ10" s="34">
        <f t="shared" si="13"/>
        <v>9392.35</v>
      </c>
      <c r="AK10" s="34">
        <f t="shared" si="14"/>
        <v>939.24</v>
      </c>
      <c r="AL10" s="34">
        <f t="shared" si="15"/>
        <v>10331.59</v>
      </c>
      <c r="AM10" s="15"/>
      <c r="AN10" s="35">
        <f t="shared" si="16"/>
        <v>31</v>
      </c>
      <c r="AO10" s="34">
        <f t="shared" si="17"/>
        <v>13234.68</v>
      </c>
      <c r="AP10" s="34">
        <f t="shared" si="18"/>
        <v>1323.47</v>
      </c>
      <c r="AQ10" s="34">
        <f t="shared" si="19"/>
        <v>14558.15</v>
      </c>
      <c r="AR10" s="15"/>
      <c r="AS10" s="35">
        <f t="shared" si="20"/>
        <v>30</v>
      </c>
      <c r="AT10" s="34">
        <f t="shared" si="21"/>
        <v>12807.75</v>
      </c>
      <c r="AU10" s="34">
        <f t="shared" si="22"/>
        <v>1280.78</v>
      </c>
      <c r="AV10" s="34">
        <f t="shared" si="23"/>
        <v>14088.53</v>
      </c>
      <c r="AW10" s="15"/>
      <c r="AX10" s="35">
        <f t="shared" si="24"/>
        <v>31</v>
      </c>
      <c r="AY10" s="34">
        <f t="shared" si="25"/>
        <v>13234.68</v>
      </c>
      <c r="AZ10" s="34">
        <f t="shared" si="26"/>
        <v>1323.47</v>
      </c>
      <c r="BA10" s="34">
        <f t="shared" si="27"/>
        <v>14558.15</v>
      </c>
      <c r="BB10" s="15"/>
      <c r="BC10" s="35">
        <f t="shared" si="28"/>
        <v>31</v>
      </c>
      <c r="BD10" s="34">
        <f t="shared" si="29"/>
        <v>13234.68</v>
      </c>
      <c r="BE10" s="34">
        <f t="shared" si="30"/>
        <v>1323.47</v>
      </c>
      <c r="BF10" s="34">
        <f t="shared" si="31"/>
        <v>14558.15</v>
      </c>
      <c r="BG10" s="15"/>
      <c r="BH10" s="35">
        <f t="shared" si="32"/>
        <v>30</v>
      </c>
      <c r="BI10" s="34">
        <f t="shared" si="33"/>
        <v>12807.75</v>
      </c>
      <c r="BJ10" s="34">
        <f t="shared" si="34"/>
        <v>1280.78</v>
      </c>
      <c r="BK10" s="34">
        <f t="shared" si="35"/>
        <v>14088.53</v>
      </c>
      <c r="BL10" s="15"/>
      <c r="BM10" s="35">
        <f t="shared" si="36"/>
        <v>31</v>
      </c>
      <c r="BN10" s="34">
        <f t="shared" si="37"/>
        <v>13234.68</v>
      </c>
      <c r="BO10" s="34">
        <f t="shared" si="38"/>
        <v>1323.47</v>
      </c>
      <c r="BP10" s="34">
        <f t="shared" si="39"/>
        <v>14558.15</v>
      </c>
      <c r="BQ10" s="15"/>
      <c r="BR10" s="35">
        <f t="shared" si="40"/>
        <v>30</v>
      </c>
      <c r="BS10" s="34">
        <f t="shared" si="41"/>
        <v>12807.75</v>
      </c>
      <c r="BT10" s="34">
        <f t="shared" si="42"/>
        <v>1280.78</v>
      </c>
      <c r="BU10" s="34">
        <f t="shared" si="43"/>
        <v>14088.53</v>
      </c>
      <c r="BV10" s="15"/>
      <c r="BW10" s="35">
        <f t="shared" si="44"/>
        <v>4</v>
      </c>
      <c r="BX10" s="34">
        <f t="shared" si="45"/>
        <v>1707.7</v>
      </c>
      <c r="BY10" s="34">
        <f t="shared" si="46"/>
        <v>170.77</v>
      </c>
      <c r="BZ10" s="34">
        <f t="shared" si="47"/>
        <v>1878.47</v>
      </c>
      <c r="CA10" s="35">
        <f t="shared" si="48"/>
        <v>240</v>
      </c>
      <c r="CB10" s="34">
        <f t="shared" si="49"/>
        <v>102462.02</v>
      </c>
      <c r="CC10" s="34">
        <f t="shared" si="50"/>
        <v>10246.230000000001</v>
      </c>
      <c r="CD10" s="34">
        <f t="shared" si="51"/>
        <v>112708.25</v>
      </c>
      <c r="CE10" s="16">
        <f t="shared" si="52"/>
        <v>-0.02</v>
      </c>
      <c r="CF10" s="16">
        <f t="shared" si="53"/>
        <v>-0.03</v>
      </c>
      <c r="CG10" s="31" t="s">
        <v>265</v>
      </c>
      <c r="CH10" s="31" t="s">
        <v>266</v>
      </c>
      <c r="CI10" s="31" t="s">
        <v>49</v>
      </c>
      <c r="CJ10" s="31" t="s">
        <v>267</v>
      </c>
      <c r="CK10" s="31" t="s">
        <v>268</v>
      </c>
      <c r="CL10" s="31" t="s">
        <v>269</v>
      </c>
      <c r="CM10" s="29">
        <v>46092</v>
      </c>
      <c r="CN10" s="28" t="s">
        <v>270</v>
      </c>
      <c r="CO10" s="28"/>
      <c r="CP10" s="28"/>
    </row>
    <row r="11" spans="1:94" ht="40.049999999999997" customHeight="1" x14ac:dyDescent="0.25">
      <c r="A11" s="62">
        <v>60</v>
      </c>
      <c r="B11" s="63">
        <v>105</v>
      </c>
      <c r="C11" s="1" t="s">
        <v>258</v>
      </c>
      <c r="D11" s="2" t="s">
        <v>259</v>
      </c>
      <c r="E11" s="2" t="s">
        <v>298</v>
      </c>
      <c r="F11" s="2" t="s">
        <v>302</v>
      </c>
      <c r="G11" s="2" t="s">
        <v>303</v>
      </c>
      <c r="H11" s="64">
        <v>10.122</v>
      </c>
      <c r="I11" s="1" t="s">
        <v>46</v>
      </c>
      <c r="J11" s="3">
        <v>805</v>
      </c>
      <c r="K11" s="1">
        <v>240</v>
      </c>
      <c r="L11" s="4">
        <v>65186</v>
      </c>
      <c r="M11" s="4">
        <v>6519</v>
      </c>
      <c r="N11" s="4">
        <v>71705</v>
      </c>
      <c r="O11" s="31" t="s">
        <v>304</v>
      </c>
      <c r="P11" s="31" t="s">
        <v>305</v>
      </c>
      <c r="Q11" s="35">
        <f t="shared" si="0"/>
        <v>240</v>
      </c>
      <c r="R11" s="14">
        <v>46146</v>
      </c>
      <c r="S11" s="14">
        <f t="shared" si="1"/>
        <v>46385</v>
      </c>
      <c r="T11" s="34">
        <v>65186</v>
      </c>
      <c r="U11" s="34">
        <f t="shared" si="2"/>
        <v>6518.6</v>
      </c>
      <c r="V11" s="34">
        <f t="shared" si="3"/>
        <v>71704.600000000006</v>
      </c>
      <c r="W11" s="35">
        <v>226</v>
      </c>
      <c r="X11" s="14">
        <f t="shared" si="4"/>
        <v>46146</v>
      </c>
      <c r="Y11" s="14">
        <f t="shared" si="5"/>
        <v>46371</v>
      </c>
      <c r="Z11" s="34">
        <v>61383.19</v>
      </c>
      <c r="AA11" s="34">
        <f t="shared" si="6"/>
        <v>6138.32</v>
      </c>
      <c r="AB11" s="34">
        <f t="shared" si="7"/>
        <v>67521.510000000009</v>
      </c>
      <c r="AC11" s="15"/>
      <c r="AD11" s="35">
        <f t="shared" si="8"/>
        <v>0</v>
      </c>
      <c r="AE11" s="34">
        <f t="shared" si="9"/>
        <v>0</v>
      </c>
      <c r="AF11" s="34">
        <f t="shared" si="10"/>
        <v>0</v>
      </c>
      <c r="AG11" s="34">
        <f t="shared" si="11"/>
        <v>0</v>
      </c>
      <c r="AH11" s="15"/>
      <c r="AI11" s="35">
        <f t="shared" si="12"/>
        <v>0</v>
      </c>
      <c r="AJ11" s="34">
        <f t="shared" si="13"/>
        <v>0</v>
      </c>
      <c r="AK11" s="34">
        <f t="shared" si="14"/>
        <v>0</v>
      </c>
      <c r="AL11" s="34">
        <f t="shared" si="15"/>
        <v>0</v>
      </c>
      <c r="AM11" s="15"/>
      <c r="AN11" s="35">
        <f t="shared" si="16"/>
        <v>28</v>
      </c>
      <c r="AO11" s="34">
        <f t="shared" si="17"/>
        <v>7605</v>
      </c>
      <c r="AP11" s="34">
        <f t="shared" si="18"/>
        <v>760.5</v>
      </c>
      <c r="AQ11" s="34">
        <f t="shared" si="19"/>
        <v>8365.5</v>
      </c>
      <c r="AR11" s="15"/>
      <c r="AS11" s="35">
        <f t="shared" si="20"/>
        <v>30</v>
      </c>
      <c r="AT11" s="34">
        <f t="shared" si="21"/>
        <v>8148.21</v>
      </c>
      <c r="AU11" s="34">
        <f t="shared" si="22"/>
        <v>814.82</v>
      </c>
      <c r="AV11" s="34">
        <f t="shared" si="23"/>
        <v>8963.0300000000007</v>
      </c>
      <c r="AW11" s="15"/>
      <c r="AX11" s="35">
        <f t="shared" si="24"/>
        <v>31</v>
      </c>
      <c r="AY11" s="34">
        <f t="shared" si="25"/>
        <v>8419.82</v>
      </c>
      <c r="AZ11" s="34">
        <f t="shared" si="26"/>
        <v>841.98</v>
      </c>
      <c r="BA11" s="34">
        <f t="shared" si="27"/>
        <v>9261.7999999999993</v>
      </c>
      <c r="BB11" s="15"/>
      <c r="BC11" s="35">
        <f t="shared" si="28"/>
        <v>31</v>
      </c>
      <c r="BD11" s="34">
        <f t="shared" si="29"/>
        <v>8419.82</v>
      </c>
      <c r="BE11" s="34">
        <f t="shared" si="30"/>
        <v>841.98</v>
      </c>
      <c r="BF11" s="34">
        <f t="shared" si="31"/>
        <v>9261.7999999999993</v>
      </c>
      <c r="BG11" s="15"/>
      <c r="BH11" s="35">
        <f t="shared" si="32"/>
        <v>30</v>
      </c>
      <c r="BI11" s="34">
        <f t="shared" si="33"/>
        <v>8148.21</v>
      </c>
      <c r="BJ11" s="34">
        <f t="shared" si="34"/>
        <v>814.82</v>
      </c>
      <c r="BK11" s="34">
        <f t="shared" si="35"/>
        <v>8963.0300000000007</v>
      </c>
      <c r="BL11" s="15"/>
      <c r="BM11" s="35">
        <f t="shared" si="36"/>
        <v>31</v>
      </c>
      <c r="BN11" s="34">
        <f t="shared" si="37"/>
        <v>8419.82</v>
      </c>
      <c r="BO11" s="34">
        <f t="shared" si="38"/>
        <v>841.98</v>
      </c>
      <c r="BP11" s="34">
        <f t="shared" si="39"/>
        <v>9261.7999999999993</v>
      </c>
      <c r="BQ11" s="15"/>
      <c r="BR11" s="35">
        <f t="shared" si="40"/>
        <v>30</v>
      </c>
      <c r="BS11" s="34">
        <f t="shared" si="41"/>
        <v>8148.21</v>
      </c>
      <c r="BT11" s="34">
        <f t="shared" si="42"/>
        <v>814.82</v>
      </c>
      <c r="BU11" s="34">
        <f t="shared" si="43"/>
        <v>8963.0300000000007</v>
      </c>
      <c r="BV11" s="15"/>
      <c r="BW11" s="35">
        <f t="shared" si="44"/>
        <v>15</v>
      </c>
      <c r="BX11" s="34">
        <f t="shared" si="45"/>
        <v>4074.11</v>
      </c>
      <c r="BY11" s="34">
        <f t="shared" si="46"/>
        <v>407.41</v>
      </c>
      <c r="BZ11" s="34">
        <f t="shared" si="47"/>
        <v>4481.5200000000004</v>
      </c>
      <c r="CA11" s="35">
        <f t="shared" si="48"/>
        <v>226</v>
      </c>
      <c r="CB11" s="34">
        <f t="shared" si="49"/>
        <v>61383.199999999997</v>
      </c>
      <c r="CC11" s="34">
        <f t="shared" si="50"/>
        <v>6138.3099999999995</v>
      </c>
      <c r="CD11" s="34">
        <f t="shared" si="51"/>
        <v>67521.509999999995</v>
      </c>
      <c r="CE11" s="16">
        <f t="shared" si="52"/>
        <v>-0.01</v>
      </c>
      <c r="CF11" s="16">
        <f t="shared" si="53"/>
        <v>0.01</v>
      </c>
      <c r="CG11" s="31" t="s">
        <v>265</v>
      </c>
      <c r="CH11" s="31" t="s">
        <v>266</v>
      </c>
      <c r="CI11" s="31" t="s">
        <v>49</v>
      </c>
      <c r="CJ11" s="31" t="s">
        <v>267</v>
      </c>
      <c r="CK11" s="31" t="s">
        <v>268</v>
      </c>
      <c r="CL11" s="31" t="s">
        <v>269</v>
      </c>
      <c r="CM11" s="29">
        <v>46092</v>
      </c>
      <c r="CN11" s="28" t="s">
        <v>270</v>
      </c>
      <c r="CO11" s="28"/>
      <c r="CP11" s="28"/>
    </row>
    <row r="12" spans="1:94" ht="40.049999999999997" customHeight="1" x14ac:dyDescent="0.25">
      <c r="A12" s="62">
        <v>61</v>
      </c>
      <c r="B12" s="63">
        <v>105</v>
      </c>
      <c r="C12" s="1" t="s">
        <v>258</v>
      </c>
      <c r="D12" s="2" t="s">
        <v>259</v>
      </c>
      <c r="E12" s="2" t="s">
        <v>306</v>
      </c>
      <c r="F12" s="2" t="s">
        <v>307</v>
      </c>
      <c r="G12" s="2" t="s">
        <v>308</v>
      </c>
      <c r="H12" s="64">
        <v>13.443</v>
      </c>
      <c r="I12" s="1" t="s">
        <v>46</v>
      </c>
      <c r="J12" s="3">
        <v>804</v>
      </c>
      <c r="K12" s="1">
        <v>240</v>
      </c>
      <c r="L12" s="4">
        <v>86466</v>
      </c>
      <c r="M12" s="4">
        <v>8647</v>
      </c>
      <c r="N12" s="4">
        <v>95113</v>
      </c>
      <c r="O12" s="31" t="s">
        <v>309</v>
      </c>
      <c r="P12" s="31" t="s">
        <v>264</v>
      </c>
      <c r="Q12" s="35">
        <f t="shared" si="0"/>
        <v>240</v>
      </c>
      <c r="R12" s="14">
        <v>46122</v>
      </c>
      <c r="S12" s="14">
        <f t="shared" si="1"/>
        <v>46361</v>
      </c>
      <c r="T12" s="34">
        <v>86466</v>
      </c>
      <c r="U12" s="34">
        <f t="shared" si="2"/>
        <v>8646.6</v>
      </c>
      <c r="V12" s="34">
        <f t="shared" si="3"/>
        <v>95112.6</v>
      </c>
      <c r="W12" s="35"/>
      <c r="X12" s="14">
        <f t="shared" si="4"/>
        <v>46122</v>
      </c>
      <c r="Y12" s="14" t="str">
        <f t="shared" si="5"/>
        <v/>
      </c>
      <c r="Z12" s="34"/>
      <c r="AA12" s="34">
        <f t="shared" si="6"/>
        <v>0</v>
      </c>
      <c r="AB12" s="34">
        <f t="shared" si="7"/>
        <v>0</v>
      </c>
      <c r="AC12" s="15"/>
      <c r="AD12" s="35">
        <f t="shared" si="8"/>
        <v>0</v>
      </c>
      <c r="AE12" s="34">
        <f t="shared" si="9"/>
        <v>0</v>
      </c>
      <c r="AF12" s="34">
        <f t="shared" si="10"/>
        <v>0</v>
      </c>
      <c r="AG12" s="34">
        <f t="shared" si="11"/>
        <v>0</v>
      </c>
      <c r="AH12" s="15"/>
      <c r="AI12" s="35">
        <f t="shared" si="12"/>
        <v>21</v>
      </c>
      <c r="AJ12" s="34">
        <f t="shared" si="13"/>
        <v>7565.78</v>
      </c>
      <c r="AK12" s="34">
        <f t="shared" si="14"/>
        <v>756.58</v>
      </c>
      <c r="AL12" s="34">
        <f t="shared" si="15"/>
        <v>8322.36</v>
      </c>
      <c r="AM12" s="15"/>
      <c r="AN12" s="35">
        <f t="shared" si="16"/>
        <v>31</v>
      </c>
      <c r="AO12" s="34">
        <f t="shared" si="17"/>
        <v>11168.53</v>
      </c>
      <c r="AP12" s="34">
        <f t="shared" si="18"/>
        <v>1116.8499999999999</v>
      </c>
      <c r="AQ12" s="34">
        <f t="shared" si="19"/>
        <v>12285.380000000001</v>
      </c>
      <c r="AR12" s="15"/>
      <c r="AS12" s="35">
        <f t="shared" si="20"/>
        <v>30</v>
      </c>
      <c r="AT12" s="34">
        <f t="shared" si="21"/>
        <v>10808.25</v>
      </c>
      <c r="AU12" s="34">
        <f t="shared" si="22"/>
        <v>1080.83</v>
      </c>
      <c r="AV12" s="34">
        <f t="shared" si="23"/>
        <v>11889.08</v>
      </c>
      <c r="AW12" s="15"/>
      <c r="AX12" s="35">
        <f t="shared" si="24"/>
        <v>31</v>
      </c>
      <c r="AY12" s="34">
        <f t="shared" si="25"/>
        <v>11168.53</v>
      </c>
      <c r="AZ12" s="34">
        <f t="shared" si="26"/>
        <v>1116.8499999999999</v>
      </c>
      <c r="BA12" s="34">
        <f t="shared" si="27"/>
        <v>12285.380000000001</v>
      </c>
      <c r="BB12" s="15"/>
      <c r="BC12" s="35">
        <f t="shared" si="28"/>
        <v>31</v>
      </c>
      <c r="BD12" s="34">
        <f t="shared" si="29"/>
        <v>11168.53</v>
      </c>
      <c r="BE12" s="34">
        <f t="shared" si="30"/>
        <v>1116.8499999999999</v>
      </c>
      <c r="BF12" s="34">
        <f t="shared" si="31"/>
        <v>12285.380000000001</v>
      </c>
      <c r="BG12" s="15"/>
      <c r="BH12" s="35">
        <f t="shared" si="32"/>
        <v>30</v>
      </c>
      <c r="BI12" s="34">
        <f t="shared" si="33"/>
        <v>10808.25</v>
      </c>
      <c r="BJ12" s="34">
        <f t="shared" si="34"/>
        <v>1080.83</v>
      </c>
      <c r="BK12" s="34">
        <f t="shared" si="35"/>
        <v>11889.08</v>
      </c>
      <c r="BL12" s="15"/>
      <c r="BM12" s="35">
        <f t="shared" si="36"/>
        <v>31</v>
      </c>
      <c r="BN12" s="34">
        <f t="shared" si="37"/>
        <v>11168.53</v>
      </c>
      <c r="BO12" s="34">
        <f t="shared" si="38"/>
        <v>1116.8499999999999</v>
      </c>
      <c r="BP12" s="34">
        <f t="shared" si="39"/>
        <v>12285.380000000001</v>
      </c>
      <c r="BQ12" s="15"/>
      <c r="BR12" s="35">
        <f t="shared" si="40"/>
        <v>30</v>
      </c>
      <c r="BS12" s="34">
        <f t="shared" si="41"/>
        <v>10808.25</v>
      </c>
      <c r="BT12" s="34">
        <f t="shared" si="42"/>
        <v>1080.83</v>
      </c>
      <c r="BU12" s="34">
        <f t="shared" si="43"/>
        <v>11889.08</v>
      </c>
      <c r="BV12" s="15"/>
      <c r="BW12" s="35">
        <f t="shared" si="44"/>
        <v>5</v>
      </c>
      <c r="BX12" s="34">
        <f t="shared" si="45"/>
        <v>1801.38</v>
      </c>
      <c r="BY12" s="34">
        <f t="shared" si="46"/>
        <v>180.14</v>
      </c>
      <c r="BZ12" s="34">
        <f t="shared" si="47"/>
        <v>1981.52</v>
      </c>
      <c r="CA12" s="35">
        <f t="shared" si="48"/>
        <v>240</v>
      </c>
      <c r="CB12" s="34">
        <f t="shared" si="49"/>
        <v>86466.030000000013</v>
      </c>
      <c r="CC12" s="34">
        <f t="shared" si="50"/>
        <v>8646.6099999999988</v>
      </c>
      <c r="CD12" s="34">
        <f t="shared" si="51"/>
        <v>95112.640000000014</v>
      </c>
      <c r="CE12" s="16">
        <f t="shared" si="52"/>
        <v>-0.03</v>
      </c>
      <c r="CF12" s="16">
        <f t="shared" si="53"/>
        <v>-0.01</v>
      </c>
      <c r="CG12" s="31" t="s">
        <v>265</v>
      </c>
      <c r="CH12" s="31" t="s">
        <v>266</v>
      </c>
      <c r="CI12" s="31" t="s">
        <v>49</v>
      </c>
      <c r="CJ12" s="31" t="s">
        <v>267</v>
      </c>
      <c r="CK12" s="31" t="s">
        <v>268</v>
      </c>
      <c r="CL12" s="31" t="s">
        <v>269</v>
      </c>
      <c r="CM12" s="29">
        <v>46092</v>
      </c>
      <c r="CN12" s="28" t="s">
        <v>270</v>
      </c>
      <c r="CO12" s="28"/>
      <c r="CP12" s="28"/>
    </row>
    <row r="13" spans="1:94" ht="40.049999999999997" customHeight="1" x14ac:dyDescent="0.25">
      <c r="A13" s="62">
        <v>62</v>
      </c>
      <c r="B13" s="63">
        <v>105</v>
      </c>
      <c r="C13" s="1" t="s">
        <v>258</v>
      </c>
      <c r="D13" s="2" t="s">
        <v>259</v>
      </c>
      <c r="E13" s="2" t="s">
        <v>310</v>
      </c>
      <c r="F13" s="2" t="s">
        <v>311</v>
      </c>
      <c r="G13" s="2" t="s">
        <v>312</v>
      </c>
      <c r="H13" s="64">
        <v>5.17</v>
      </c>
      <c r="I13" s="1" t="s">
        <v>46</v>
      </c>
      <c r="J13" s="3">
        <v>795</v>
      </c>
      <c r="K13" s="1">
        <v>240</v>
      </c>
      <c r="L13" s="4">
        <v>32882</v>
      </c>
      <c r="M13" s="4">
        <v>3289</v>
      </c>
      <c r="N13" s="4">
        <v>36171</v>
      </c>
      <c r="O13" s="31" t="s">
        <v>313</v>
      </c>
      <c r="P13" s="31" t="s">
        <v>314</v>
      </c>
      <c r="Q13" s="35">
        <f t="shared" si="0"/>
        <v>240</v>
      </c>
      <c r="R13" s="14">
        <v>46097</v>
      </c>
      <c r="S13" s="14">
        <f t="shared" si="1"/>
        <v>46336</v>
      </c>
      <c r="T13" s="34">
        <v>32882</v>
      </c>
      <c r="U13" s="34">
        <f t="shared" si="2"/>
        <v>3288.2</v>
      </c>
      <c r="V13" s="34">
        <f t="shared" si="3"/>
        <v>36170.199999999997</v>
      </c>
      <c r="W13" s="35"/>
      <c r="X13" s="14">
        <f t="shared" si="4"/>
        <v>46097</v>
      </c>
      <c r="Y13" s="14" t="str">
        <f t="shared" si="5"/>
        <v/>
      </c>
      <c r="Z13" s="34"/>
      <c r="AA13" s="34">
        <f t="shared" si="6"/>
        <v>0</v>
      </c>
      <c r="AB13" s="34">
        <f t="shared" si="7"/>
        <v>0</v>
      </c>
      <c r="AC13" s="15"/>
      <c r="AD13" s="35">
        <f t="shared" si="8"/>
        <v>16</v>
      </c>
      <c r="AE13" s="34">
        <f t="shared" si="9"/>
        <v>2192.13</v>
      </c>
      <c r="AF13" s="34">
        <f t="shared" si="10"/>
        <v>219.21</v>
      </c>
      <c r="AG13" s="34">
        <f t="shared" si="11"/>
        <v>2411.34</v>
      </c>
      <c r="AH13" s="15"/>
      <c r="AI13" s="35">
        <f t="shared" si="12"/>
        <v>30</v>
      </c>
      <c r="AJ13" s="34">
        <f t="shared" si="13"/>
        <v>4110.25</v>
      </c>
      <c r="AK13" s="34">
        <f t="shared" si="14"/>
        <v>411.03</v>
      </c>
      <c r="AL13" s="34">
        <f t="shared" si="15"/>
        <v>4521.28</v>
      </c>
      <c r="AM13" s="15"/>
      <c r="AN13" s="35">
        <f t="shared" si="16"/>
        <v>31</v>
      </c>
      <c r="AO13" s="34">
        <f t="shared" si="17"/>
        <v>4247.26</v>
      </c>
      <c r="AP13" s="34">
        <f t="shared" si="18"/>
        <v>424.73</v>
      </c>
      <c r="AQ13" s="34">
        <f t="shared" si="19"/>
        <v>4671.99</v>
      </c>
      <c r="AR13" s="15"/>
      <c r="AS13" s="35">
        <f t="shared" si="20"/>
        <v>30</v>
      </c>
      <c r="AT13" s="34">
        <f t="shared" si="21"/>
        <v>4110.25</v>
      </c>
      <c r="AU13" s="34">
        <f t="shared" si="22"/>
        <v>411.03</v>
      </c>
      <c r="AV13" s="34">
        <f t="shared" si="23"/>
        <v>4521.28</v>
      </c>
      <c r="AW13" s="15"/>
      <c r="AX13" s="35">
        <f t="shared" si="24"/>
        <v>31</v>
      </c>
      <c r="AY13" s="34">
        <f t="shared" si="25"/>
        <v>4247.26</v>
      </c>
      <c r="AZ13" s="34">
        <f t="shared" si="26"/>
        <v>424.73</v>
      </c>
      <c r="BA13" s="34">
        <f t="shared" si="27"/>
        <v>4671.99</v>
      </c>
      <c r="BB13" s="15"/>
      <c r="BC13" s="35">
        <f t="shared" si="28"/>
        <v>31</v>
      </c>
      <c r="BD13" s="34">
        <f t="shared" si="29"/>
        <v>4247.26</v>
      </c>
      <c r="BE13" s="34">
        <f t="shared" si="30"/>
        <v>424.73</v>
      </c>
      <c r="BF13" s="34">
        <f t="shared" si="31"/>
        <v>4671.99</v>
      </c>
      <c r="BG13" s="15"/>
      <c r="BH13" s="35">
        <f t="shared" si="32"/>
        <v>30</v>
      </c>
      <c r="BI13" s="34">
        <f t="shared" si="33"/>
        <v>4110.25</v>
      </c>
      <c r="BJ13" s="34">
        <f t="shared" si="34"/>
        <v>411.03</v>
      </c>
      <c r="BK13" s="34">
        <f t="shared" si="35"/>
        <v>4521.28</v>
      </c>
      <c r="BL13" s="15"/>
      <c r="BM13" s="35">
        <f t="shared" si="36"/>
        <v>31</v>
      </c>
      <c r="BN13" s="34">
        <f t="shared" si="37"/>
        <v>4247.26</v>
      </c>
      <c r="BO13" s="34">
        <f t="shared" si="38"/>
        <v>424.73</v>
      </c>
      <c r="BP13" s="34">
        <f t="shared" si="39"/>
        <v>4671.99</v>
      </c>
      <c r="BQ13" s="15"/>
      <c r="BR13" s="35">
        <f t="shared" si="40"/>
        <v>10</v>
      </c>
      <c r="BS13" s="34">
        <f t="shared" si="41"/>
        <v>1370.08</v>
      </c>
      <c r="BT13" s="34">
        <f t="shared" si="42"/>
        <v>137.01</v>
      </c>
      <c r="BU13" s="34">
        <f t="shared" si="43"/>
        <v>1507.09</v>
      </c>
      <c r="BV13" s="15"/>
      <c r="BW13" s="35">
        <f t="shared" si="44"/>
        <v>0</v>
      </c>
      <c r="BX13" s="34">
        <f t="shared" si="45"/>
        <v>0</v>
      </c>
      <c r="BY13" s="34">
        <f t="shared" si="46"/>
        <v>0</v>
      </c>
      <c r="BZ13" s="34">
        <f t="shared" si="47"/>
        <v>0</v>
      </c>
      <c r="CA13" s="35">
        <f t="shared" si="48"/>
        <v>240</v>
      </c>
      <c r="CB13" s="34">
        <f t="shared" si="49"/>
        <v>32882.000000000007</v>
      </c>
      <c r="CC13" s="34">
        <f t="shared" si="50"/>
        <v>3288.2299999999996</v>
      </c>
      <c r="CD13" s="34">
        <f t="shared" si="51"/>
        <v>36170.23000000001</v>
      </c>
      <c r="CE13" s="16">
        <f t="shared" si="52"/>
        <v>0</v>
      </c>
      <c r="CF13" s="16">
        <f t="shared" si="53"/>
        <v>-0.03</v>
      </c>
      <c r="CG13" s="31" t="s">
        <v>265</v>
      </c>
      <c r="CH13" s="31" t="s">
        <v>266</v>
      </c>
      <c r="CI13" s="31" t="s">
        <v>49</v>
      </c>
      <c r="CJ13" s="31" t="s">
        <v>267</v>
      </c>
      <c r="CK13" s="31" t="s">
        <v>268</v>
      </c>
      <c r="CL13" s="31" t="s">
        <v>269</v>
      </c>
      <c r="CM13" s="29">
        <v>46092</v>
      </c>
      <c r="CN13" s="28" t="s">
        <v>270</v>
      </c>
      <c r="CO13" s="28"/>
      <c r="CP13" s="28"/>
    </row>
    <row r="14" spans="1:94" ht="40.049999999999997" customHeight="1" x14ac:dyDescent="0.25">
      <c r="A14" s="62">
        <v>63</v>
      </c>
      <c r="B14" s="63">
        <v>105</v>
      </c>
      <c r="C14" s="1" t="s">
        <v>258</v>
      </c>
      <c r="D14" s="2" t="s">
        <v>259</v>
      </c>
      <c r="E14" s="2" t="s">
        <v>315</v>
      </c>
      <c r="F14" s="2" t="s">
        <v>316</v>
      </c>
      <c r="G14" s="2" t="s">
        <v>317</v>
      </c>
      <c r="H14" s="64">
        <v>10.585000000000001</v>
      </c>
      <c r="I14" s="1" t="s">
        <v>46</v>
      </c>
      <c r="J14" s="3">
        <v>812</v>
      </c>
      <c r="K14" s="1">
        <v>240</v>
      </c>
      <c r="L14" s="4">
        <v>68761</v>
      </c>
      <c r="M14" s="4">
        <v>6876</v>
      </c>
      <c r="N14" s="4">
        <v>75637</v>
      </c>
      <c r="O14" s="31" t="s">
        <v>318</v>
      </c>
      <c r="P14" s="31" t="s">
        <v>319</v>
      </c>
      <c r="Q14" s="35">
        <f t="shared" si="0"/>
        <v>240</v>
      </c>
      <c r="R14" s="14">
        <v>46150</v>
      </c>
      <c r="S14" s="14">
        <f t="shared" si="1"/>
        <v>46389</v>
      </c>
      <c r="T14" s="34">
        <v>68761</v>
      </c>
      <c r="U14" s="34">
        <f t="shared" si="2"/>
        <v>6876.1</v>
      </c>
      <c r="V14" s="34">
        <f t="shared" si="3"/>
        <v>75637.100000000006</v>
      </c>
      <c r="W14" s="35">
        <v>222</v>
      </c>
      <c r="X14" s="14">
        <f t="shared" si="4"/>
        <v>46150</v>
      </c>
      <c r="Y14" s="14">
        <f t="shared" si="5"/>
        <v>46371</v>
      </c>
      <c r="Z14" s="34">
        <v>63603.15</v>
      </c>
      <c r="AA14" s="34">
        <f t="shared" si="6"/>
        <v>6360.32</v>
      </c>
      <c r="AB14" s="34">
        <f t="shared" si="7"/>
        <v>69963.47</v>
      </c>
      <c r="AC14" s="15"/>
      <c r="AD14" s="35">
        <f t="shared" si="8"/>
        <v>0</v>
      </c>
      <c r="AE14" s="34">
        <f t="shared" si="9"/>
        <v>0</v>
      </c>
      <c r="AF14" s="34">
        <f t="shared" si="10"/>
        <v>0</v>
      </c>
      <c r="AG14" s="34">
        <f t="shared" si="11"/>
        <v>0</v>
      </c>
      <c r="AH14" s="15"/>
      <c r="AI14" s="35">
        <f t="shared" si="12"/>
        <v>0</v>
      </c>
      <c r="AJ14" s="34">
        <f t="shared" si="13"/>
        <v>0</v>
      </c>
      <c r="AK14" s="34">
        <f t="shared" si="14"/>
        <v>0</v>
      </c>
      <c r="AL14" s="34">
        <f t="shared" si="15"/>
        <v>0</v>
      </c>
      <c r="AM14" s="15"/>
      <c r="AN14" s="35">
        <f t="shared" si="16"/>
        <v>24</v>
      </c>
      <c r="AO14" s="34">
        <f t="shared" si="17"/>
        <v>6876.02</v>
      </c>
      <c r="AP14" s="34">
        <f t="shared" si="18"/>
        <v>687.6</v>
      </c>
      <c r="AQ14" s="34">
        <f t="shared" si="19"/>
        <v>7563.6200000000008</v>
      </c>
      <c r="AR14" s="15"/>
      <c r="AS14" s="35">
        <f t="shared" si="20"/>
        <v>30</v>
      </c>
      <c r="AT14" s="34">
        <f t="shared" si="21"/>
        <v>8595.02</v>
      </c>
      <c r="AU14" s="34">
        <f t="shared" si="22"/>
        <v>859.5</v>
      </c>
      <c r="AV14" s="34">
        <f t="shared" si="23"/>
        <v>9454.52</v>
      </c>
      <c r="AW14" s="15"/>
      <c r="AX14" s="35">
        <f t="shared" si="24"/>
        <v>31</v>
      </c>
      <c r="AY14" s="34">
        <f t="shared" si="25"/>
        <v>8881.52</v>
      </c>
      <c r="AZ14" s="34">
        <f t="shared" si="26"/>
        <v>888.15</v>
      </c>
      <c r="BA14" s="34">
        <f t="shared" si="27"/>
        <v>9769.67</v>
      </c>
      <c r="BB14" s="15"/>
      <c r="BC14" s="35">
        <f t="shared" si="28"/>
        <v>31</v>
      </c>
      <c r="BD14" s="34">
        <f t="shared" si="29"/>
        <v>8881.52</v>
      </c>
      <c r="BE14" s="34">
        <f t="shared" si="30"/>
        <v>888.15</v>
      </c>
      <c r="BF14" s="34">
        <f t="shared" si="31"/>
        <v>9769.67</v>
      </c>
      <c r="BG14" s="15"/>
      <c r="BH14" s="35">
        <f t="shared" si="32"/>
        <v>30</v>
      </c>
      <c r="BI14" s="34">
        <f t="shared" si="33"/>
        <v>8595.02</v>
      </c>
      <c r="BJ14" s="34">
        <f t="shared" si="34"/>
        <v>859.5</v>
      </c>
      <c r="BK14" s="34">
        <f t="shared" si="35"/>
        <v>9454.52</v>
      </c>
      <c r="BL14" s="15"/>
      <c r="BM14" s="35">
        <f t="shared" si="36"/>
        <v>31</v>
      </c>
      <c r="BN14" s="34">
        <f t="shared" si="37"/>
        <v>8881.52</v>
      </c>
      <c r="BO14" s="34">
        <f t="shared" si="38"/>
        <v>888.15</v>
      </c>
      <c r="BP14" s="34">
        <f t="shared" si="39"/>
        <v>9769.67</v>
      </c>
      <c r="BQ14" s="15"/>
      <c r="BR14" s="35">
        <f t="shared" si="40"/>
        <v>30</v>
      </c>
      <c r="BS14" s="34">
        <f t="shared" si="41"/>
        <v>8595.02</v>
      </c>
      <c r="BT14" s="34">
        <f t="shared" si="42"/>
        <v>859.5</v>
      </c>
      <c r="BU14" s="34">
        <f t="shared" si="43"/>
        <v>9454.52</v>
      </c>
      <c r="BV14" s="15"/>
      <c r="BW14" s="35">
        <f t="shared" si="44"/>
        <v>15</v>
      </c>
      <c r="BX14" s="34">
        <f t="shared" si="45"/>
        <v>4297.51</v>
      </c>
      <c r="BY14" s="34">
        <f t="shared" si="46"/>
        <v>429.75</v>
      </c>
      <c r="BZ14" s="34">
        <f t="shared" si="47"/>
        <v>4727.26</v>
      </c>
      <c r="CA14" s="35">
        <f t="shared" si="48"/>
        <v>222</v>
      </c>
      <c r="CB14" s="34">
        <f t="shared" si="49"/>
        <v>63603.150000000016</v>
      </c>
      <c r="CC14" s="34">
        <f t="shared" si="50"/>
        <v>6360.2999999999993</v>
      </c>
      <c r="CD14" s="34">
        <f t="shared" si="51"/>
        <v>69963.450000000012</v>
      </c>
      <c r="CE14" s="16">
        <f t="shared" si="52"/>
        <v>0</v>
      </c>
      <c r="CF14" s="16">
        <f t="shared" si="53"/>
        <v>0.02</v>
      </c>
      <c r="CG14" s="31" t="s">
        <v>265</v>
      </c>
      <c r="CH14" s="31" t="s">
        <v>266</v>
      </c>
      <c r="CI14" s="31" t="s">
        <v>49</v>
      </c>
      <c r="CJ14" s="31" t="s">
        <v>267</v>
      </c>
      <c r="CK14" s="31" t="s">
        <v>268</v>
      </c>
      <c r="CL14" s="31" t="s">
        <v>269</v>
      </c>
      <c r="CM14" s="29">
        <v>46092</v>
      </c>
      <c r="CN14" s="28" t="s">
        <v>270</v>
      </c>
      <c r="CO14" s="28"/>
      <c r="CP14" s="28"/>
    </row>
    <row r="15" spans="1:94" ht="40.049999999999997" customHeight="1" x14ac:dyDescent="0.25">
      <c r="A15" s="62">
        <v>64</v>
      </c>
      <c r="B15" s="63">
        <v>105</v>
      </c>
      <c r="C15" s="1" t="s">
        <v>258</v>
      </c>
      <c r="D15" s="2" t="s">
        <v>259</v>
      </c>
      <c r="E15" s="2" t="s">
        <v>320</v>
      </c>
      <c r="F15" s="2" t="s">
        <v>321</v>
      </c>
      <c r="G15" s="2" t="s">
        <v>322</v>
      </c>
      <c r="H15" s="64">
        <v>7.2140000000000004</v>
      </c>
      <c r="I15" s="1" t="s">
        <v>46</v>
      </c>
      <c r="J15" s="3">
        <v>762</v>
      </c>
      <c r="K15" s="1">
        <v>240</v>
      </c>
      <c r="L15" s="4">
        <v>43977</v>
      </c>
      <c r="M15" s="4">
        <v>4398</v>
      </c>
      <c r="N15" s="4">
        <v>48375</v>
      </c>
      <c r="O15" s="31" t="s">
        <v>323</v>
      </c>
      <c r="P15" s="31" t="s">
        <v>264</v>
      </c>
      <c r="Q15" s="35">
        <f t="shared" si="0"/>
        <v>240</v>
      </c>
      <c r="R15" s="14">
        <v>46093</v>
      </c>
      <c r="S15" s="14">
        <f t="shared" si="1"/>
        <v>46332</v>
      </c>
      <c r="T15" s="34">
        <v>43977</v>
      </c>
      <c r="U15" s="34">
        <f t="shared" si="2"/>
        <v>4397.7</v>
      </c>
      <c r="V15" s="34">
        <f t="shared" si="3"/>
        <v>48374.7</v>
      </c>
      <c r="W15" s="35"/>
      <c r="X15" s="14">
        <f t="shared" si="4"/>
        <v>46093</v>
      </c>
      <c r="Y15" s="14" t="str">
        <f t="shared" si="5"/>
        <v/>
      </c>
      <c r="Z15" s="34"/>
      <c r="AA15" s="34">
        <f t="shared" si="6"/>
        <v>0</v>
      </c>
      <c r="AB15" s="34">
        <f t="shared" si="7"/>
        <v>0</v>
      </c>
      <c r="AC15" s="15"/>
      <c r="AD15" s="35">
        <f t="shared" si="8"/>
        <v>20</v>
      </c>
      <c r="AE15" s="34">
        <f t="shared" si="9"/>
        <v>3664.75</v>
      </c>
      <c r="AF15" s="34">
        <f t="shared" si="10"/>
        <v>366.48</v>
      </c>
      <c r="AG15" s="34">
        <f t="shared" si="11"/>
        <v>4031.23</v>
      </c>
      <c r="AH15" s="15"/>
      <c r="AI15" s="35">
        <f t="shared" si="12"/>
        <v>30</v>
      </c>
      <c r="AJ15" s="34">
        <f t="shared" si="13"/>
        <v>5497.13</v>
      </c>
      <c r="AK15" s="34">
        <f t="shared" si="14"/>
        <v>549.71</v>
      </c>
      <c r="AL15" s="34">
        <f t="shared" si="15"/>
        <v>6046.84</v>
      </c>
      <c r="AM15" s="15"/>
      <c r="AN15" s="35">
        <f t="shared" si="16"/>
        <v>31</v>
      </c>
      <c r="AO15" s="34">
        <f t="shared" si="17"/>
        <v>5680.36</v>
      </c>
      <c r="AP15" s="34">
        <f t="shared" si="18"/>
        <v>568.04</v>
      </c>
      <c r="AQ15" s="34">
        <f t="shared" si="19"/>
        <v>6248.4</v>
      </c>
      <c r="AR15" s="15"/>
      <c r="AS15" s="35">
        <f t="shared" si="20"/>
        <v>30</v>
      </c>
      <c r="AT15" s="34">
        <f t="shared" si="21"/>
        <v>5497.13</v>
      </c>
      <c r="AU15" s="34">
        <f t="shared" si="22"/>
        <v>549.71</v>
      </c>
      <c r="AV15" s="34">
        <f t="shared" si="23"/>
        <v>6046.84</v>
      </c>
      <c r="AW15" s="15"/>
      <c r="AX15" s="35">
        <f t="shared" si="24"/>
        <v>31</v>
      </c>
      <c r="AY15" s="34">
        <f t="shared" si="25"/>
        <v>5680.36</v>
      </c>
      <c r="AZ15" s="34">
        <f t="shared" si="26"/>
        <v>568.04</v>
      </c>
      <c r="BA15" s="34">
        <f t="shared" si="27"/>
        <v>6248.4</v>
      </c>
      <c r="BB15" s="15"/>
      <c r="BC15" s="35">
        <f t="shared" si="28"/>
        <v>31</v>
      </c>
      <c r="BD15" s="34">
        <f t="shared" si="29"/>
        <v>5680.36</v>
      </c>
      <c r="BE15" s="34">
        <f t="shared" si="30"/>
        <v>568.04</v>
      </c>
      <c r="BF15" s="34">
        <f t="shared" si="31"/>
        <v>6248.4</v>
      </c>
      <c r="BG15" s="15"/>
      <c r="BH15" s="35">
        <f t="shared" si="32"/>
        <v>30</v>
      </c>
      <c r="BI15" s="34">
        <f t="shared" si="33"/>
        <v>5497.13</v>
      </c>
      <c r="BJ15" s="34">
        <f t="shared" si="34"/>
        <v>549.71</v>
      </c>
      <c r="BK15" s="34">
        <f t="shared" si="35"/>
        <v>6046.84</v>
      </c>
      <c r="BL15" s="15"/>
      <c r="BM15" s="35">
        <f t="shared" si="36"/>
        <v>31</v>
      </c>
      <c r="BN15" s="34">
        <f t="shared" si="37"/>
        <v>5680.36</v>
      </c>
      <c r="BO15" s="34">
        <f t="shared" si="38"/>
        <v>568.04</v>
      </c>
      <c r="BP15" s="34">
        <f t="shared" si="39"/>
        <v>6248.4</v>
      </c>
      <c r="BQ15" s="15"/>
      <c r="BR15" s="35">
        <f t="shared" si="40"/>
        <v>6</v>
      </c>
      <c r="BS15" s="34">
        <f t="shared" si="41"/>
        <v>1099.43</v>
      </c>
      <c r="BT15" s="34">
        <f t="shared" si="42"/>
        <v>109.94</v>
      </c>
      <c r="BU15" s="34">
        <f t="shared" si="43"/>
        <v>1209.3700000000001</v>
      </c>
      <c r="BV15" s="15"/>
      <c r="BW15" s="35">
        <f t="shared" si="44"/>
        <v>0</v>
      </c>
      <c r="BX15" s="34">
        <f t="shared" si="45"/>
        <v>0</v>
      </c>
      <c r="BY15" s="34">
        <f t="shared" si="46"/>
        <v>0</v>
      </c>
      <c r="BZ15" s="34">
        <f t="shared" si="47"/>
        <v>0</v>
      </c>
      <c r="CA15" s="35">
        <f t="shared" si="48"/>
        <v>240</v>
      </c>
      <c r="CB15" s="34">
        <f t="shared" si="49"/>
        <v>43977.01</v>
      </c>
      <c r="CC15" s="34">
        <f t="shared" si="50"/>
        <v>4397.71</v>
      </c>
      <c r="CD15" s="34">
        <f t="shared" si="51"/>
        <v>48374.720000000001</v>
      </c>
      <c r="CE15" s="16">
        <f t="shared" si="52"/>
        <v>-0.01</v>
      </c>
      <c r="CF15" s="16">
        <f t="shared" si="53"/>
        <v>-0.01</v>
      </c>
      <c r="CG15" s="31" t="s">
        <v>265</v>
      </c>
      <c r="CH15" s="31" t="s">
        <v>266</v>
      </c>
      <c r="CI15" s="31" t="s">
        <v>49</v>
      </c>
      <c r="CJ15" s="31" t="s">
        <v>267</v>
      </c>
      <c r="CK15" s="31" t="s">
        <v>268</v>
      </c>
      <c r="CL15" s="31" t="s">
        <v>269</v>
      </c>
      <c r="CM15" s="29">
        <v>46092</v>
      </c>
      <c r="CN15" s="28" t="s">
        <v>270</v>
      </c>
      <c r="CO15" s="28"/>
      <c r="CP15" s="28"/>
    </row>
    <row r="16" spans="1:94" ht="40.049999999999997" customHeight="1" x14ac:dyDescent="0.25">
      <c r="A16" s="62">
        <v>65</v>
      </c>
      <c r="B16" s="63">
        <v>105</v>
      </c>
      <c r="C16" s="1" t="s">
        <v>258</v>
      </c>
      <c r="D16" s="2" t="s">
        <v>259</v>
      </c>
      <c r="E16" s="2" t="s">
        <v>324</v>
      </c>
      <c r="F16" s="2" t="s">
        <v>325</v>
      </c>
      <c r="G16" s="2" t="s">
        <v>326</v>
      </c>
      <c r="H16" s="64">
        <v>8.9320000000000004</v>
      </c>
      <c r="I16" s="1" t="s">
        <v>46</v>
      </c>
      <c r="J16" s="3">
        <v>821</v>
      </c>
      <c r="K16" s="1">
        <v>240</v>
      </c>
      <c r="L16" s="4">
        <v>58666</v>
      </c>
      <c r="M16" s="4">
        <v>5867</v>
      </c>
      <c r="N16" s="4">
        <v>64533</v>
      </c>
      <c r="O16" s="31" t="s">
        <v>327</v>
      </c>
      <c r="P16" s="31" t="s">
        <v>275</v>
      </c>
      <c r="Q16" s="35">
        <f t="shared" si="0"/>
        <v>240</v>
      </c>
      <c r="R16" s="14">
        <v>46122</v>
      </c>
      <c r="S16" s="14">
        <f t="shared" si="1"/>
        <v>46361</v>
      </c>
      <c r="T16" s="34">
        <v>58666</v>
      </c>
      <c r="U16" s="34">
        <f t="shared" si="2"/>
        <v>5866.6</v>
      </c>
      <c r="V16" s="34">
        <f t="shared" si="3"/>
        <v>64532.6</v>
      </c>
      <c r="W16" s="35"/>
      <c r="X16" s="14">
        <f t="shared" si="4"/>
        <v>46122</v>
      </c>
      <c r="Y16" s="14" t="str">
        <f t="shared" si="5"/>
        <v/>
      </c>
      <c r="Z16" s="34"/>
      <c r="AA16" s="34">
        <f t="shared" si="6"/>
        <v>0</v>
      </c>
      <c r="AB16" s="34">
        <f t="shared" si="7"/>
        <v>0</v>
      </c>
      <c r="AC16" s="15"/>
      <c r="AD16" s="35">
        <f t="shared" si="8"/>
        <v>0</v>
      </c>
      <c r="AE16" s="34">
        <f t="shared" si="9"/>
        <v>0</v>
      </c>
      <c r="AF16" s="34">
        <f t="shared" si="10"/>
        <v>0</v>
      </c>
      <c r="AG16" s="34">
        <f t="shared" si="11"/>
        <v>0</v>
      </c>
      <c r="AH16" s="15"/>
      <c r="AI16" s="35">
        <f t="shared" si="12"/>
        <v>21</v>
      </c>
      <c r="AJ16" s="34">
        <f t="shared" si="13"/>
        <v>5133.28</v>
      </c>
      <c r="AK16" s="34">
        <f t="shared" si="14"/>
        <v>513.33000000000004</v>
      </c>
      <c r="AL16" s="34">
        <f t="shared" si="15"/>
        <v>5646.61</v>
      </c>
      <c r="AM16" s="15"/>
      <c r="AN16" s="35">
        <f t="shared" si="16"/>
        <v>31</v>
      </c>
      <c r="AO16" s="34">
        <f t="shared" si="17"/>
        <v>7577.69</v>
      </c>
      <c r="AP16" s="34">
        <f t="shared" si="18"/>
        <v>757.77</v>
      </c>
      <c r="AQ16" s="34">
        <f t="shared" si="19"/>
        <v>8335.4599999999991</v>
      </c>
      <c r="AR16" s="15"/>
      <c r="AS16" s="35">
        <f t="shared" si="20"/>
        <v>30</v>
      </c>
      <c r="AT16" s="34">
        <f t="shared" si="21"/>
        <v>7333.25</v>
      </c>
      <c r="AU16" s="34">
        <f t="shared" si="22"/>
        <v>733.33</v>
      </c>
      <c r="AV16" s="34">
        <f t="shared" si="23"/>
        <v>8066.58</v>
      </c>
      <c r="AW16" s="15"/>
      <c r="AX16" s="35">
        <f t="shared" si="24"/>
        <v>31</v>
      </c>
      <c r="AY16" s="34">
        <f t="shared" si="25"/>
        <v>7577.69</v>
      </c>
      <c r="AZ16" s="34">
        <f t="shared" si="26"/>
        <v>757.77</v>
      </c>
      <c r="BA16" s="34">
        <f t="shared" si="27"/>
        <v>8335.4599999999991</v>
      </c>
      <c r="BB16" s="15"/>
      <c r="BC16" s="35">
        <f t="shared" si="28"/>
        <v>31</v>
      </c>
      <c r="BD16" s="34">
        <f t="shared" si="29"/>
        <v>7577.69</v>
      </c>
      <c r="BE16" s="34">
        <f t="shared" si="30"/>
        <v>757.77</v>
      </c>
      <c r="BF16" s="34">
        <f t="shared" si="31"/>
        <v>8335.4599999999991</v>
      </c>
      <c r="BG16" s="15"/>
      <c r="BH16" s="35">
        <f t="shared" si="32"/>
        <v>30</v>
      </c>
      <c r="BI16" s="34">
        <f t="shared" si="33"/>
        <v>7333.25</v>
      </c>
      <c r="BJ16" s="34">
        <f t="shared" si="34"/>
        <v>733.33</v>
      </c>
      <c r="BK16" s="34">
        <f t="shared" si="35"/>
        <v>8066.58</v>
      </c>
      <c r="BL16" s="15"/>
      <c r="BM16" s="35">
        <f t="shared" si="36"/>
        <v>31</v>
      </c>
      <c r="BN16" s="34">
        <f t="shared" si="37"/>
        <v>7577.69</v>
      </c>
      <c r="BO16" s="34">
        <f t="shared" si="38"/>
        <v>757.77</v>
      </c>
      <c r="BP16" s="34">
        <f t="shared" si="39"/>
        <v>8335.4599999999991</v>
      </c>
      <c r="BQ16" s="15"/>
      <c r="BR16" s="35">
        <f t="shared" si="40"/>
        <v>30</v>
      </c>
      <c r="BS16" s="34">
        <f t="shared" si="41"/>
        <v>7333.25</v>
      </c>
      <c r="BT16" s="34">
        <f t="shared" si="42"/>
        <v>733.33</v>
      </c>
      <c r="BU16" s="34">
        <f t="shared" si="43"/>
        <v>8066.58</v>
      </c>
      <c r="BV16" s="15"/>
      <c r="BW16" s="35">
        <f t="shared" si="44"/>
        <v>5</v>
      </c>
      <c r="BX16" s="34">
        <f t="shared" si="45"/>
        <v>1222.21</v>
      </c>
      <c r="BY16" s="34">
        <f t="shared" si="46"/>
        <v>122.22</v>
      </c>
      <c r="BZ16" s="34">
        <f t="shared" si="47"/>
        <v>1344.43</v>
      </c>
      <c r="CA16" s="35">
        <f t="shared" si="48"/>
        <v>240</v>
      </c>
      <c r="CB16" s="34">
        <f t="shared" si="49"/>
        <v>58666</v>
      </c>
      <c r="CC16" s="34">
        <f t="shared" si="50"/>
        <v>5866.62</v>
      </c>
      <c r="CD16" s="34">
        <f t="shared" si="51"/>
        <v>64532.62</v>
      </c>
      <c r="CE16" s="16">
        <f t="shared" si="52"/>
        <v>0</v>
      </c>
      <c r="CF16" s="16">
        <f t="shared" si="53"/>
        <v>-0.02</v>
      </c>
      <c r="CG16" s="31" t="s">
        <v>265</v>
      </c>
      <c r="CH16" s="31" t="s">
        <v>266</v>
      </c>
      <c r="CI16" s="31" t="s">
        <v>49</v>
      </c>
      <c r="CJ16" s="31" t="s">
        <v>267</v>
      </c>
      <c r="CK16" s="31" t="s">
        <v>268</v>
      </c>
      <c r="CL16" s="31" t="s">
        <v>269</v>
      </c>
      <c r="CM16" s="29">
        <v>46092</v>
      </c>
      <c r="CN16" s="28" t="s">
        <v>270</v>
      </c>
      <c r="CO16" s="28"/>
      <c r="CP16" s="28"/>
    </row>
    <row r="17" spans="1:94" ht="40.049999999999997" customHeight="1" x14ac:dyDescent="0.25">
      <c r="A17" s="62">
        <v>66</v>
      </c>
      <c r="B17" s="63">
        <v>105</v>
      </c>
      <c r="C17" s="1" t="s">
        <v>258</v>
      </c>
      <c r="D17" s="2" t="s">
        <v>259</v>
      </c>
      <c r="E17" s="2" t="s">
        <v>259</v>
      </c>
      <c r="F17" s="2" t="s">
        <v>328</v>
      </c>
      <c r="G17" s="2" t="s">
        <v>329</v>
      </c>
      <c r="H17" s="64">
        <v>15.84</v>
      </c>
      <c r="I17" s="1" t="s">
        <v>46</v>
      </c>
      <c r="J17" s="3">
        <v>810</v>
      </c>
      <c r="K17" s="1">
        <v>240</v>
      </c>
      <c r="L17" s="4">
        <v>102644</v>
      </c>
      <c r="M17" s="4">
        <v>10265</v>
      </c>
      <c r="N17" s="4">
        <v>112909</v>
      </c>
      <c r="O17" s="31" t="s">
        <v>330</v>
      </c>
      <c r="P17" s="31" t="s">
        <v>331</v>
      </c>
      <c r="Q17" s="35">
        <f t="shared" si="0"/>
        <v>240</v>
      </c>
      <c r="R17" s="14">
        <v>46149</v>
      </c>
      <c r="S17" s="14">
        <f t="shared" si="1"/>
        <v>46388</v>
      </c>
      <c r="T17" s="34">
        <v>102644</v>
      </c>
      <c r="U17" s="34">
        <f t="shared" si="2"/>
        <v>10264.4</v>
      </c>
      <c r="V17" s="34">
        <f t="shared" si="3"/>
        <v>112908.4</v>
      </c>
      <c r="W17" s="35">
        <v>223</v>
      </c>
      <c r="X17" s="14">
        <f t="shared" si="4"/>
        <v>46149</v>
      </c>
      <c r="Y17" s="14">
        <f t="shared" si="5"/>
        <v>46371</v>
      </c>
      <c r="Z17" s="34">
        <v>95372.64</v>
      </c>
      <c r="AA17" s="34">
        <f t="shared" si="6"/>
        <v>9537.26</v>
      </c>
      <c r="AB17" s="34">
        <f t="shared" si="7"/>
        <v>104909.9</v>
      </c>
      <c r="AC17" s="15"/>
      <c r="AD17" s="35">
        <f t="shared" si="8"/>
        <v>0</v>
      </c>
      <c r="AE17" s="34">
        <f t="shared" si="9"/>
        <v>0</v>
      </c>
      <c r="AF17" s="34">
        <f t="shared" si="10"/>
        <v>0</v>
      </c>
      <c r="AG17" s="34">
        <f t="shared" si="11"/>
        <v>0</v>
      </c>
      <c r="AH17" s="15"/>
      <c r="AI17" s="35">
        <f t="shared" si="12"/>
        <v>0</v>
      </c>
      <c r="AJ17" s="34">
        <f t="shared" si="13"/>
        <v>0</v>
      </c>
      <c r="AK17" s="34">
        <f t="shared" si="14"/>
        <v>0</v>
      </c>
      <c r="AL17" s="34">
        <f t="shared" si="15"/>
        <v>0</v>
      </c>
      <c r="AM17" s="15"/>
      <c r="AN17" s="35">
        <f t="shared" si="16"/>
        <v>25</v>
      </c>
      <c r="AO17" s="34">
        <f t="shared" si="17"/>
        <v>10692</v>
      </c>
      <c r="AP17" s="34">
        <f t="shared" si="18"/>
        <v>1069.2</v>
      </c>
      <c r="AQ17" s="34">
        <f t="shared" si="19"/>
        <v>11761.2</v>
      </c>
      <c r="AR17" s="15"/>
      <c r="AS17" s="35">
        <f t="shared" si="20"/>
        <v>30</v>
      </c>
      <c r="AT17" s="34">
        <f t="shared" si="21"/>
        <v>12830.4</v>
      </c>
      <c r="AU17" s="34">
        <f t="shared" si="22"/>
        <v>1283.04</v>
      </c>
      <c r="AV17" s="34">
        <f t="shared" si="23"/>
        <v>14113.439999999999</v>
      </c>
      <c r="AW17" s="15"/>
      <c r="AX17" s="35">
        <f t="shared" si="24"/>
        <v>31</v>
      </c>
      <c r="AY17" s="34">
        <f t="shared" si="25"/>
        <v>13258.08</v>
      </c>
      <c r="AZ17" s="34">
        <f t="shared" si="26"/>
        <v>1325.81</v>
      </c>
      <c r="BA17" s="34">
        <f t="shared" si="27"/>
        <v>14583.89</v>
      </c>
      <c r="BB17" s="15"/>
      <c r="BC17" s="35">
        <f t="shared" si="28"/>
        <v>31</v>
      </c>
      <c r="BD17" s="34">
        <f t="shared" si="29"/>
        <v>13258.08</v>
      </c>
      <c r="BE17" s="34">
        <f t="shared" si="30"/>
        <v>1325.81</v>
      </c>
      <c r="BF17" s="34">
        <f t="shared" si="31"/>
        <v>14583.89</v>
      </c>
      <c r="BG17" s="15"/>
      <c r="BH17" s="35">
        <f t="shared" si="32"/>
        <v>30</v>
      </c>
      <c r="BI17" s="34">
        <f t="shared" si="33"/>
        <v>12830.4</v>
      </c>
      <c r="BJ17" s="34">
        <f t="shared" si="34"/>
        <v>1283.04</v>
      </c>
      <c r="BK17" s="34">
        <f t="shared" si="35"/>
        <v>14113.439999999999</v>
      </c>
      <c r="BL17" s="15"/>
      <c r="BM17" s="35">
        <f t="shared" si="36"/>
        <v>31</v>
      </c>
      <c r="BN17" s="34">
        <f t="shared" si="37"/>
        <v>13258.08</v>
      </c>
      <c r="BO17" s="34">
        <f t="shared" si="38"/>
        <v>1325.81</v>
      </c>
      <c r="BP17" s="34">
        <f t="shared" si="39"/>
        <v>14583.89</v>
      </c>
      <c r="BQ17" s="15"/>
      <c r="BR17" s="35">
        <f t="shared" si="40"/>
        <v>30</v>
      </c>
      <c r="BS17" s="34">
        <f t="shared" si="41"/>
        <v>12830.4</v>
      </c>
      <c r="BT17" s="34">
        <f t="shared" si="42"/>
        <v>1283.04</v>
      </c>
      <c r="BU17" s="34">
        <f t="shared" si="43"/>
        <v>14113.439999999999</v>
      </c>
      <c r="BV17" s="15"/>
      <c r="BW17" s="35">
        <f t="shared" si="44"/>
        <v>15</v>
      </c>
      <c r="BX17" s="34">
        <f t="shared" si="45"/>
        <v>6415.2</v>
      </c>
      <c r="BY17" s="34">
        <f t="shared" si="46"/>
        <v>641.52</v>
      </c>
      <c r="BZ17" s="34">
        <f t="shared" si="47"/>
        <v>7056.7199999999993</v>
      </c>
      <c r="CA17" s="35">
        <f t="shared" si="48"/>
        <v>223</v>
      </c>
      <c r="CB17" s="34">
        <f t="shared" si="49"/>
        <v>95372.64</v>
      </c>
      <c r="CC17" s="34">
        <f t="shared" si="50"/>
        <v>9537.27</v>
      </c>
      <c r="CD17" s="34">
        <f t="shared" si="51"/>
        <v>104909.91</v>
      </c>
      <c r="CE17" s="16">
        <f t="shared" si="52"/>
        <v>0</v>
      </c>
      <c r="CF17" s="16">
        <f t="shared" si="53"/>
        <v>-0.01</v>
      </c>
      <c r="CG17" s="31" t="s">
        <v>265</v>
      </c>
      <c r="CH17" s="31" t="s">
        <v>266</v>
      </c>
      <c r="CI17" s="31" t="s">
        <v>49</v>
      </c>
      <c r="CJ17" s="31" t="s">
        <v>267</v>
      </c>
      <c r="CK17" s="31" t="s">
        <v>268</v>
      </c>
      <c r="CL17" s="31" t="s">
        <v>269</v>
      </c>
      <c r="CM17" s="29">
        <v>46092</v>
      </c>
      <c r="CN17" s="28" t="s">
        <v>270</v>
      </c>
      <c r="CO17" s="28"/>
      <c r="CP17" s="28"/>
    </row>
    <row r="18" spans="1:94" ht="40.049999999999997" customHeight="1" x14ac:dyDescent="0.25">
      <c r="A18" s="62">
        <v>67</v>
      </c>
      <c r="B18" s="63">
        <v>105</v>
      </c>
      <c r="C18" s="1" t="s">
        <v>258</v>
      </c>
      <c r="D18" s="2" t="s">
        <v>259</v>
      </c>
      <c r="E18" s="2" t="s">
        <v>285</v>
      </c>
      <c r="F18" s="2" t="s">
        <v>332</v>
      </c>
      <c r="G18" s="2" t="s">
        <v>333</v>
      </c>
      <c r="H18" s="64">
        <v>16.309999999999999</v>
      </c>
      <c r="I18" s="1" t="s">
        <v>46</v>
      </c>
      <c r="J18" s="3">
        <v>814</v>
      </c>
      <c r="K18" s="1">
        <v>240</v>
      </c>
      <c r="L18" s="4">
        <v>106211</v>
      </c>
      <c r="M18" s="4">
        <v>10622</v>
      </c>
      <c r="N18" s="4">
        <v>116833</v>
      </c>
      <c r="O18" s="31" t="s">
        <v>334</v>
      </c>
      <c r="P18" s="31" t="s">
        <v>331</v>
      </c>
      <c r="Q18" s="35">
        <f t="shared" si="0"/>
        <v>240</v>
      </c>
      <c r="R18" s="14">
        <v>46149</v>
      </c>
      <c r="S18" s="14">
        <f t="shared" si="1"/>
        <v>46388</v>
      </c>
      <c r="T18" s="34">
        <v>106211</v>
      </c>
      <c r="U18" s="34">
        <f t="shared" si="2"/>
        <v>10621.1</v>
      </c>
      <c r="V18" s="34">
        <f t="shared" si="3"/>
        <v>116832.1</v>
      </c>
      <c r="W18" s="35">
        <v>223</v>
      </c>
      <c r="X18" s="14">
        <f t="shared" si="4"/>
        <v>46149</v>
      </c>
      <c r="Y18" s="14">
        <f t="shared" si="5"/>
        <v>46371</v>
      </c>
      <c r="Z18" s="34">
        <v>98687.47</v>
      </c>
      <c r="AA18" s="34">
        <f t="shared" si="6"/>
        <v>9868.75</v>
      </c>
      <c r="AB18" s="34">
        <f t="shared" si="7"/>
        <v>108556.22</v>
      </c>
      <c r="AC18" s="15"/>
      <c r="AD18" s="35">
        <f t="shared" si="8"/>
        <v>0</v>
      </c>
      <c r="AE18" s="34">
        <f t="shared" si="9"/>
        <v>0</v>
      </c>
      <c r="AF18" s="34">
        <f t="shared" si="10"/>
        <v>0</v>
      </c>
      <c r="AG18" s="34">
        <f t="shared" si="11"/>
        <v>0</v>
      </c>
      <c r="AH18" s="15"/>
      <c r="AI18" s="35">
        <f t="shared" si="12"/>
        <v>0</v>
      </c>
      <c r="AJ18" s="34">
        <f t="shared" si="13"/>
        <v>0</v>
      </c>
      <c r="AK18" s="34">
        <f t="shared" si="14"/>
        <v>0</v>
      </c>
      <c r="AL18" s="34">
        <f t="shared" si="15"/>
        <v>0</v>
      </c>
      <c r="AM18" s="15"/>
      <c r="AN18" s="35">
        <f t="shared" si="16"/>
        <v>25</v>
      </c>
      <c r="AO18" s="34">
        <f t="shared" si="17"/>
        <v>11063.62</v>
      </c>
      <c r="AP18" s="34">
        <f t="shared" si="18"/>
        <v>1106.3599999999999</v>
      </c>
      <c r="AQ18" s="34">
        <f t="shared" si="19"/>
        <v>12169.980000000001</v>
      </c>
      <c r="AR18" s="15"/>
      <c r="AS18" s="35">
        <f t="shared" si="20"/>
        <v>30</v>
      </c>
      <c r="AT18" s="34">
        <f t="shared" si="21"/>
        <v>13276.34</v>
      </c>
      <c r="AU18" s="34">
        <f t="shared" si="22"/>
        <v>1327.63</v>
      </c>
      <c r="AV18" s="34">
        <f t="shared" si="23"/>
        <v>14603.970000000001</v>
      </c>
      <c r="AW18" s="15"/>
      <c r="AX18" s="35">
        <f t="shared" si="24"/>
        <v>31</v>
      </c>
      <c r="AY18" s="34">
        <f t="shared" si="25"/>
        <v>13718.89</v>
      </c>
      <c r="AZ18" s="34">
        <f t="shared" si="26"/>
        <v>1371.89</v>
      </c>
      <c r="BA18" s="34">
        <f t="shared" si="27"/>
        <v>15090.779999999999</v>
      </c>
      <c r="BB18" s="15"/>
      <c r="BC18" s="35">
        <f t="shared" si="28"/>
        <v>31</v>
      </c>
      <c r="BD18" s="34">
        <f t="shared" si="29"/>
        <v>13718.89</v>
      </c>
      <c r="BE18" s="34">
        <f t="shared" si="30"/>
        <v>1371.89</v>
      </c>
      <c r="BF18" s="34">
        <f t="shared" si="31"/>
        <v>15090.779999999999</v>
      </c>
      <c r="BG18" s="15"/>
      <c r="BH18" s="35">
        <f t="shared" si="32"/>
        <v>30</v>
      </c>
      <c r="BI18" s="34">
        <f t="shared" si="33"/>
        <v>13276.34</v>
      </c>
      <c r="BJ18" s="34">
        <f t="shared" si="34"/>
        <v>1327.63</v>
      </c>
      <c r="BK18" s="34">
        <f t="shared" si="35"/>
        <v>14603.970000000001</v>
      </c>
      <c r="BL18" s="15"/>
      <c r="BM18" s="35">
        <f t="shared" si="36"/>
        <v>31</v>
      </c>
      <c r="BN18" s="34">
        <f t="shared" si="37"/>
        <v>13718.89</v>
      </c>
      <c r="BO18" s="34">
        <f t="shared" si="38"/>
        <v>1371.89</v>
      </c>
      <c r="BP18" s="34">
        <f t="shared" si="39"/>
        <v>15090.779999999999</v>
      </c>
      <c r="BQ18" s="15"/>
      <c r="BR18" s="35">
        <f t="shared" si="40"/>
        <v>30</v>
      </c>
      <c r="BS18" s="34">
        <f t="shared" si="41"/>
        <v>13276.34</v>
      </c>
      <c r="BT18" s="34">
        <f t="shared" si="42"/>
        <v>1327.63</v>
      </c>
      <c r="BU18" s="34">
        <f t="shared" si="43"/>
        <v>14603.970000000001</v>
      </c>
      <c r="BV18" s="15"/>
      <c r="BW18" s="35">
        <f t="shared" si="44"/>
        <v>15</v>
      </c>
      <c r="BX18" s="34">
        <f t="shared" si="45"/>
        <v>6638.17</v>
      </c>
      <c r="BY18" s="34">
        <f t="shared" si="46"/>
        <v>663.82</v>
      </c>
      <c r="BZ18" s="34">
        <f t="shared" si="47"/>
        <v>7301.99</v>
      </c>
      <c r="CA18" s="35">
        <f t="shared" si="48"/>
        <v>223</v>
      </c>
      <c r="CB18" s="34">
        <f t="shared" si="49"/>
        <v>98687.48</v>
      </c>
      <c r="CC18" s="34">
        <f t="shared" si="50"/>
        <v>9868.7400000000016</v>
      </c>
      <c r="CD18" s="34">
        <f t="shared" si="51"/>
        <v>108556.22</v>
      </c>
      <c r="CE18" s="16">
        <f t="shared" si="52"/>
        <v>-0.01</v>
      </c>
      <c r="CF18" s="16">
        <f t="shared" si="53"/>
        <v>0.01</v>
      </c>
      <c r="CG18" s="31" t="s">
        <v>265</v>
      </c>
      <c r="CH18" s="31" t="s">
        <v>266</v>
      </c>
      <c r="CI18" s="31" t="s">
        <v>49</v>
      </c>
      <c r="CJ18" s="31" t="s">
        <v>267</v>
      </c>
      <c r="CK18" s="31" t="s">
        <v>268</v>
      </c>
      <c r="CL18" s="31" t="s">
        <v>269</v>
      </c>
      <c r="CM18" s="29">
        <v>46092</v>
      </c>
      <c r="CN18" s="28" t="s">
        <v>270</v>
      </c>
      <c r="CO18" s="28"/>
      <c r="CP18" s="28"/>
    </row>
    <row r="19" spans="1:94" ht="40.049999999999997" customHeight="1" x14ac:dyDescent="0.25">
      <c r="A19" s="62">
        <v>68</v>
      </c>
      <c r="B19" s="63">
        <v>105</v>
      </c>
      <c r="C19" s="1" t="s">
        <v>258</v>
      </c>
      <c r="D19" s="2" t="s">
        <v>259</v>
      </c>
      <c r="E19" s="2" t="s">
        <v>335</v>
      </c>
      <c r="F19" s="2" t="s">
        <v>336</v>
      </c>
      <c r="G19" s="2" t="s">
        <v>337</v>
      </c>
      <c r="H19" s="64">
        <v>14.9</v>
      </c>
      <c r="I19" s="1" t="s">
        <v>46</v>
      </c>
      <c r="J19" s="3">
        <v>810</v>
      </c>
      <c r="K19" s="1">
        <v>240</v>
      </c>
      <c r="L19" s="4">
        <v>96552</v>
      </c>
      <c r="M19" s="4">
        <v>9656</v>
      </c>
      <c r="N19" s="4">
        <v>106208</v>
      </c>
      <c r="O19" s="31" t="s">
        <v>338</v>
      </c>
      <c r="P19" s="31" t="s">
        <v>264</v>
      </c>
      <c r="Q19" s="35">
        <f t="shared" si="0"/>
        <v>240</v>
      </c>
      <c r="R19" s="14">
        <v>46132</v>
      </c>
      <c r="S19" s="14">
        <f t="shared" si="1"/>
        <v>46371</v>
      </c>
      <c r="T19" s="34">
        <v>96552</v>
      </c>
      <c r="U19" s="34">
        <f t="shared" si="2"/>
        <v>9655.2000000000007</v>
      </c>
      <c r="V19" s="34">
        <f t="shared" si="3"/>
        <v>106207.2</v>
      </c>
      <c r="W19" s="35"/>
      <c r="X19" s="14">
        <f t="shared" si="4"/>
        <v>46132</v>
      </c>
      <c r="Y19" s="14" t="str">
        <f t="shared" si="5"/>
        <v/>
      </c>
      <c r="Z19" s="34"/>
      <c r="AA19" s="34">
        <f t="shared" si="6"/>
        <v>0</v>
      </c>
      <c r="AB19" s="34">
        <f t="shared" si="7"/>
        <v>0</v>
      </c>
      <c r="AC19" s="15"/>
      <c r="AD19" s="35">
        <f t="shared" si="8"/>
        <v>0</v>
      </c>
      <c r="AE19" s="34">
        <f t="shared" si="9"/>
        <v>0</v>
      </c>
      <c r="AF19" s="34">
        <f t="shared" si="10"/>
        <v>0</v>
      </c>
      <c r="AG19" s="34">
        <f t="shared" si="11"/>
        <v>0</v>
      </c>
      <c r="AH19" s="15"/>
      <c r="AI19" s="35">
        <f t="shared" si="12"/>
        <v>11</v>
      </c>
      <c r="AJ19" s="34">
        <f t="shared" si="13"/>
        <v>4425.3</v>
      </c>
      <c r="AK19" s="34">
        <f t="shared" si="14"/>
        <v>442.53</v>
      </c>
      <c r="AL19" s="34">
        <f t="shared" si="15"/>
        <v>4867.83</v>
      </c>
      <c r="AM19" s="15"/>
      <c r="AN19" s="35">
        <f t="shared" si="16"/>
        <v>31</v>
      </c>
      <c r="AO19" s="34">
        <f t="shared" si="17"/>
        <v>12471.3</v>
      </c>
      <c r="AP19" s="34">
        <f t="shared" si="18"/>
        <v>1247.1300000000001</v>
      </c>
      <c r="AQ19" s="34">
        <f t="shared" si="19"/>
        <v>13718.43</v>
      </c>
      <c r="AR19" s="15"/>
      <c r="AS19" s="35">
        <f t="shared" si="20"/>
        <v>30</v>
      </c>
      <c r="AT19" s="34">
        <f t="shared" si="21"/>
        <v>12069</v>
      </c>
      <c r="AU19" s="34">
        <f t="shared" si="22"/>
        <v>1206.9000000000001</v>
      </c>
      <c r="AV19" s="34">
        <f t="shared" si="23"/>
        <v>13275.9</v>
      </c>
      <c r="AW19" s="15"/>
      <c r="AX19" s="35">
        <f t="shared" si="24"/>
        <v>31</v>
      </c>
      <c r="AY19" s="34">
        <f t="shared" si="25"/>
        <v>12471.3</v>
      </c>
      <c r="AZ19" s="34">
        <f t="shared" si="26"/>
        <v>1247.1300000000001</v>
      </c>
      <c r="BA19" s="34">
        <f t="shared" si="27"/>
        <v>13718.43</v>
      </c>
      <c r="BB19" s="15"/>
      <c r="BC19" s="35">
        <f t="shared" si="28"/>
        <v>31</v>
      </c>
      <c r="BD19" s="34">
        <f t="shared" si="29"/>
        <v>12471.3</v>
      </c>
      <c r="BE19" s="34">
        <f t="shared" si="30"/>
        <v>1247.1300000000001</v>
      </c>
      <c r="BF19" s="34">
        <f t="shared" si="31"/>
        <v>13718.43</v>
      </c>
      <c r="BG19" s="15"/>
      <c r="BH19" s="35">
        <f t="shared" si="32"/>
        <v>30</v>
      </c>
      <c r="BI19" s="34">
        <f t="shared" si="33"/>
        <v>12069</v>
      </c>
      <c r="BJ19" s="34">
        <f t="shared" si="34"/>
        <v>1206.9000000000001</v>
      </c>
      <c r="BK19" s="34">
        <f t="shared" si="35"/>
        <v>13275.9</v>
      </c>
      <c r="BL19" s="15"/>
      <c r="BM19" s="35">
        <f t="shared" si="36"/>
        <v>31</v>
      </c>
      <c r="BN19" s="34">
        <f t="shared" si="37"/>
        <v>12471.3</v>
      </c>
      <c r="BO19" s="34">
        <f t="shared" si="38"/>
        <v>1247.1300000000001</v>
      </c>
      <c r="BP19" s="34">
        <f t="shared" si="39"/>
        <v>13718.43</v>
      </c>
      <c r="BQ19" s="15"/>
      <c r="BR19" s="35">
        <f t="shared" si="40"/>
        <v>30</v>
      </c>
      <c r="BS19" s="34">
        <f t="shared" si="41"/>
        <v>12069</v>
      </c>
      <c r="BT19" s="34">
        <f t="shared" si="42"/>
        <v>1206.9000000000001</v>
      </c>
      <c r="BU19" s="34">
        <f t="shared" si="43"/>
        <v>13275.9</v>
      </c>
      <c r="BV19" s="15"/>
      <c r="BW19" s="35">
        <f t="shared" si="44"/>
        <v>15</v>
      </c>
      <c r="BX19" s="34">
        <f t="shared" si="45"/>
        <v>6034.5</v>
      </c>
      <c r="BY19" s="34">
        <f t="shared" si="46"/>
        <v>603.45000000000005</v>
      </c>
      <c r="BZ19" s="34">
        <f t="shared" si="47"/>
        <v>6637.95</v>
      </c>
      <c r="CA19" s="35">
        <f t="shared" si="48"/>
        <v>240</v>
      </c>
      <c r="CB19" s="34">
        <f t="shared" si="49"/>
        <v>96552</v>
      </c>
      <c r="CC19" s="34">
        <f t="shared" si="50"/>
        <v>9655.2000000000025</v>
      </c>
      <c r="CD19" s="34">
        <f t="shared" si="51"/>
        <v>106207.2</v>
      </c>
      <c r="CE19" s="16">
        <f t="shared" si="52"/>
        <v>0</v>
      </c>
      <c r="CF19" s="16">
        <f t="shared" si="53"/>
        <v>0</v>
      </c>
      <c r="CG19" s="31" t="s">
        <v>265</v>
      </c>
      <c r="CH19" s="31" t="s">
        <v>266</v>
      </c>
      <c r="CI19" s="31" t="s">
        <v>49</v>
      </c>
      <c r="CJ19" s="31" t="s">
        <v>267</v>
      </c>
      <c r="CK19" s="31" t="s">
        <v>268</v>
      </c>
      <c r="CL19" s="31" t="s">
        <v>269</v>
      </c>
      <c r="CM19" s="29">
        <v>46092</v>
      </c>
      <c r="CN19" s="28" t="s">
        <v>270</v>
      </c>
      <c r="CO19" s="28"/>
      <c r="CP19" s="28"/>
    </row>
    <row r="20" spans="1:94" ht="40.049999999999997" customHeight="1" thickBot="1" x14ac:dyDescent="0.3">
      <c r="A20" s="65">
        <v>69</v>
      </c>
      <c r="B20" s="66">
        <v>105</v>
      </c>
      <c r="C20" s="46" t="s">
        <v>258</v>
      </c>
      <c r="D20" s="47" t="s">
        <v>259</v>
      </c>
      <c r="E20" s="47" t="s">
        <v>339</v>
      </c>
      <c r="F20" s="47" t="s">
        <v>340</v>
      </c>
      <c r="G20" s="47" t="s">
        <v>341</v>
      </c>
      <c r="H20" s="67">
        <v>23.268000000000001</v>
      </c>
      <c r="I20" s="46" t="s">
        <v>46</v>
      </c>
      <c r="J20" s="48">
        <v>812</v>
      </c>
      <c r="K20" s="46">
        <v>240</v>
      </c>
      <c r="L20" s="49">
        <v>151149</v>
      </c>
      <c r="M20" s="49">
        <v>15115</v>
      </c>
      <c r="N20" s="49">
        <v>166264</v>
      </c>
      <c r="O20" s="53" t="s">
        <v>342</v>
      </c>
      <c r="P20" s="53" t="s">
        <v>264</v>
      </c>
      <c r="Q20" s="60">
        <f t="shared" si="0"/>
        <v>240</v>
      </c>
      <c r="R20" s="50">
        <v>46132</v>
      </c>
      <c r="S20" s="50">
        <f t="shared" si="1"/>
        <v>46371</v>
      </c>
      <c r="T20" s="58">
        <v>151149</v>
      </c>
      <c r="U20" s="58">
        <f t="shared" si="2"/>
        <v>15114.9</v>
      </c>
      <c r="V20" s="58">
        <f t="shared" si="3"/>
        <v>166263.9</v>
      </c>
      <c r="W20" s="60"/>
      <c r="X20" s="50">
        <f t="shared" si="4"/>
        <v>46132</v>
      </c>
      <c r="Y20" s="50" t="str">
        <f t="shared" si="5"/>
        <v/>
      </c>
      <c r="Z20" s="58"/>
      <c r="AA20" s="58">
        <f t="shared" si="6"/>
        <v>0</v>
      </c>
      <c r="AB20" s="58">
        <f t="shared" si="7"/>
        <v>0</v>
      </c>
      <c r="AC20" s="51"/>
      <c r="AD20" s="60">
        <f t="shared" si="8"/>
        <v>0</v>
      </c>
      <c r="AE20" s="58">
        <f t="shared" si="9"/>
        <v>0</v>
      </c>
      <c r="AF20" s="58">
        <f t="shared" si="10"/>
        <v>0</v>
      </c>
      <c r="AG20" s="58">
        <f t="shared" si="11"/>
        <v>0</v>
      </c>
      <c r="AH20" s="51"/>
      <c r="AI20" s="60">
        <f t="shared" si="12"/>
        <v>11</v>
      </c>
      <c r="AJ20" s="58">
        <f t="shared" si="13"/>
        <v>6927.66</v>
      </c>
      <c r="AK20" s="58">
        <f t="shared" si="14"/>
        <v>692.77</v>
      </c>
      <c r="AL20" s="58">
        <f t="shared" si="15"/>
        <v>7620.43</v>
      </c>
      <c r="AM20" s="51"/>
      <c r="AN20" s="60">
        <f t="shared" si="16"/>
        <v>31</v>
      </c>
      <c r="AO20" s="58">
        <f t="shared" si="17"/>
        <v>19523.41</v>
      </c>
      <c r="AP20" s="58">
        <f t="shared" si="18"/>
        <v>1952.34</v>
      </c>
      <c r="AQ20" s="58">
        <f t="shared" si="19"/>
        <v>21475.75</v>
      </c>
      <c r="AR20" s="51"/>
      <c r="AS20" s="60">
        <f t="shared" si="20"/>
        <v>30</v>
      </c>
      <c r="AT20" s="58">
        <f t="shared" si="21"/>
        <v>18893.63</v>
      </c>
      <c r="AU20" s="58">
        <f t="shared" si="22"/>
        <v>1889.36</v>
      </c>
      <c r="AV20" s="58">
        <f t="shared" si="23"/>
        <v>20782.990000000002</v>
      </c>
      <c r="AW20" s="51"/>
      <c r="AX20" s="60">
        <f t="shared" si="24"/>
        <v>31</v>
      </c>
      <c r="AY20" s="58">
        <f t="shared" si="25"/>
        <v>19523.41</v>
      </c>
      <c r="AZ20" s="58">
        <f t="shared" si="26"/>
        <v>1952.34</v>
      </c>
      <c r="BA20" s="58">
        <f t="shared" si="27"/>
        <v>21475.75</v>
      </c>
      <c r="BB20" s="51"/>
      <c r="BC20" s="60">
        <f t="shared" si="28"/>
        <v>31</v>
      </c>
      <c r="BD20" s="58">
        <f t="shared" si="29"/>
        <v>19523.41</v>
      </c>
      <c r="BE20" s="58">
        <f t="shared" si="30"/>
        <v>1952.34</v>
      </c>
      <c r="BF20" s="58">
        <f t="shared" si="31"/>
        <v>21475.75</v>
      </c>
      <c r="BG20" s="51"/>
      <c r="BH20" s="60">
        <f t="shared" si="32"/>
        <v>30</v>
      </c>
      <c r="BI20" s="58">
        <f t="shared" si="33"/>
        <v>18893.63</v>
      </c>
      <c r="BJ20" s="58">
        <f t="shared" si="34"/>
        <v>1889.36</v>
      </c>
      <c r="BK20" s="58">
        <f t="shared" si="35"/>
        <v>20782.990000000002</v>
      </c>
      <c r="BL20" s="51"/>
      <c r="BM20" s="60">
        <f t="shared" si="36"/>
        <v>31</v>
      </c>
      <c r="BN20" s="58">
        <f t="shared" si="37"/>
        <v>19523.41</v>
      </c>
      <c r="BO20" s="58">
        <f t="shared" si="38"/>
        <v>1952.34</v>
      </c>
      <c r="BP20" s="58">
        <f t="shared" si="39"/>
        <v>21475.75</v>
      </c>
      <c r="BQ20" s="51"/>
      <c r="BR20" s="60">
        <f t="shared" si="40"/>
        <v>30</v>
      </c>
      <c r="BS20" s="58">
        <f t="shared" si="41"/>
        <v>18893.63</v>
      </c>
      <c r="BT20" s="58">
        <f t="shared" si="42"/>
        <v>1889.36</v>
      </c>
      <c r="BU20" s="58">
        <f t="shared" si="43"/>
        <v>20782.990000000002</v>
      </c>
      <c r="BV20" s="51"/>
      <c r="BW20" s="60">
        <f t="shared" si="44"/>
        <v>15</v>
      </c>
      <c r="BX20" s="58">
        <f t="shared" si="45"/>
        <v>9446.81</v>
      </c>
      <c r="BY20" s="58">
        <f t="shared" si="46"/>
        <v>944.68</v>
      </c>
      <c r="BZ20" s="58">
        <f t="shared" si="47"/>
        <v>10391.49</v>
      </c>
      <c r="CA20" s="60">
        <f t="shared" si="48"/>
        <v>240</v>
      </c>
      <c r="CB20" s="58">
        <f t="shared" si="49"/>
        <v>151149</v>
      </c>
      <c r="CC20" s="58">
        <f t="shared" si="50"/>
        <v>15114.890000000001</v>
      </c>
      <c r="CD20" s="58">
        <f t="shared" si="51"/>
        <v>166263.89000000001</v>
      </c>
      <c r="CE20" s="52">
        <f t="shared" si="52"/>
        <v>0</v>
      </c>
      <c r="CF20" s="52">
        <f t="shared" si="53"/>
        <v>0.01</v>
      </c>
      <c r="CG20" s="53" t="s">
        <v>265</v>
      </c>
      <c r="CH20" s="53" t="s">
        <v>266</v>
      </c>
      <c r="CI20" s="53" t="s">
        <v>49</v>
      </c>
      <c r="CJ20" s="53" t="s">
        <v>267</v>
      </c>
      <c r="CK20" s="53" t="s">
        <v>268</v>
      </c>
      <c r="CL20" s="53" t="s">
        <v>269</v>
      </c>
      <c r="CM20" s="54">
        <v>46092</v>
      </c>
      <c r="CN20" s="55" t="s">
        <v>270</v>
      </c>
      <c r="CO20" s="55"/>
      <c r="CP20" s="55"/>
    </row>
    <row r="21" spans="1:94" ht="40.049999999999997" customHeight="1" thickTop="1" x14ac:dyDescent="0.25">
      <c r="A21" s="68">
        <v>70</v>
      </c>
      <c r="B21" s="69">
        <v>150</v>
      </c>
      <c r="C21" s="36" t="s">
        <v>258</v>
      </c>
      <c r="D21" s="37" t="s">
        <v>343</v>
      </c>
      <c r="E21" s="37" t="s">
        <v>344</v>
      </c>
      <c r="F21" s="37" t="s">
        <v>345</v>
      </c>
      <c r="G21" s="37" t="s">
        <v>346</v>
      </c>
      <c r="H21" s="70">
        <v>32.884</v>
      </c>
      <c r="I21" s="36" t="s">
        <v>46</v>
      </c>
      <c r="J21" s="38">
        <v>885</v>
      </c>
      <c r="K21" s="36">
        <v>240</v>
      </c>
      <c r="L21" s="39">
        <v>232819</v>
      </c>
      <c r="M21" s="39">
        <v>23282</v>
      </c>
      <c r="N21" s="39">
        <v>256101</v>
      </c>
      <c r="O21" s="43" t="s">
        <v>347</v>
      </c>
      <c r="P21" s="43" t="s">
        <v>348</v>
      </c>
      <c r="Q21" s="61">
        <f t="shared" si="0"/>
        <v>240</v>
      </c>
      <c r="R21" s="40">
        <v>46134</v>
      </c>
      <c r="S21" s="40">
        <f t="shared" si="1"/>
        <v>46373</v>
      </c>
      <c r="T21" s="56">
        <v>232818.72</v>
      </c>
      <c r="U21" s="56">
        <f t="shared" si="2"/>
        <v>23281.87</v>
      </c>
      <c r="V21" s="56">
        <f t="shared" si="3"/>
        <v>256100.59</v>
      </c>
      <c r="W21" s="61"/>
      <c r="X21" s="40">
        <f t="shared" si="4"/>
        <v>46134</v>
      </c>
      <c r="Y21" s="40" t="str">
        <f t="shared" si="5"/>
        <v/>
      </c>
      <c r="Z21" s="56"/>
      <c r="AA21" s="56">
        <f t="shared" si="6"/>
        <v>0</v>
      </c>
      <c r="AB21" s="56">
        <f t="shared" si="7"/>
        <v>0</v>
      </c>
      <c r="AC21" s="41"/>
      <c r="AD21" s="61">
        <f t="shared" si="8"/>
        <v>0</v>
      </c>
      <c r="AE21" s="56">
        <f t="shared" si="9"/>
        <v>0</v>
      </c>
      <c r="AF21" s="56">
        <f t="shared" si="10"/>
        <v>0</v>
      </c>
      <c r="AG21" s="56">
        <f t="shared" si="11"/>
        <v>0</v>
      </c>
      <c r="AH21" s="41"/>
      <c r="AI21" s="61">
        <f t="shared" si="12"/>
        <v>9</v>
      </c>
      <c r="AJ21" s="56">
        <f t="shared" si="13"/>
        <v>8730.7000000000007</v>
      </c>
      <c r="AK21" s="56">
        <f t="shared" si="14"/>
        <v>873.07</v>
      </c>
      <c r="AL21" s="56">
        <f t="shared" si="15"/>
        <v>9603.77</v>
      </c>
      <c r="AM21" s="41"/>
      <c r="AN21" s="61">
        <f t="shared" si="16"/>
        <v>31</v>
      </c>
      <c r="AO21" s="56">
        <f t="shared" si="17"/>
        <v>30072.42</v>
      </c>
      <c r="AP21" s="56">
        <f t="shared" si="18"/>
        <v>3007.24</v>
      </c>
      <c r="AQ21" s="56">
        <f t="shared" si="19"/>
        <v>33079.659999999996</v>
      </c>
      <c r="AR21" s="41"/>
      <c r="AS21" s="61">
        <f t="shared" si="20"/>
        <v>30</v>
      </c>
      <c r="AT21" s="56">
        <f t="shared" si="21"/>
        <v>29102.34</v>
      </c>
      <c r="AU21" s="56">
        <f t="shared" si="22"/>
        <v>2910.23</v>
      </c>
      <c r="AV21" s="56">
        <f t="shared" si="23"/>
        <v>32012.57</v>
      </c>
      <c r="AW21" s="41"/>
      <c r="AX21" s="61">
        <f t="shared" si="24"/>
        <v>31</v>
      </c>
      <c r="AY21" s="56">
        <f t="shared" si="25"/>
        <v>30072.42</v>
      </c>
      <c r="AZ21" s="56">
        <f t="shared" si="26"/>
        <v>3007.24</v>
      </c>
      <c r="BA21" s="56">
        <f t="shared" si="27"/>
        <v>33079.659999999996</v>
      </c>
      <c r="BB21" s="41"/>
      <c r="BC21" s="61">
        <f t="shared" si="28"/>
        <v>31</v>
      </c>
      <c r="BD21" s="56">
        <f t="shared" si="29"/>
        <v>30072.42</v>
      </c>
      <c r="BE21" s="56">
        <f t="shared" si="30"/>
        <v>3007.24</v>
      </c>
      <c r="BF21" s="56">
        <f t="shared" si="31"/>
        <v>33079.659999999996</v>
      </c>
      <c r="BG21" s="41"/>
      <c r="BH21" s="61">
        <f t="shared" si="32"/>
        <v>30</v>
      </c>
      <c r="BI21" s="56">
        <f t="shared" si="33"/>
        <v>29102.34</v>
      </c>
      <c r="BJ21" s="56">
        <f t="shared" si="34"/>
        <v>2910.23</v>
      </c>
      <c r="BK21" s="56">
        <f t="shared" si="35"/>
        <v>32012.57</v>
      </c>
      <c r="BL21" s="41"/>
      <c r="BM21" s="61">
        <f t="shared" si="36"/>
        <v>31</v>
      </c>
      <c r="BN21" s="56">
        <f t="shared" si="37"/>
        <v>30072.42</v>
      </c>
      <c r="BO21" s="56">
        <f t="shared" si="38"/>
        <v>3007.24</v>
      </c>
      <c r="BP21" s="56">
        <f t="shared" si="39"/>
        <v>33079.659999999996</v>
      </c>
      <c r="BQ21" s="41"/>
      <c r="BR21" s="61">
        <f t="shared" si="40"/>
        <v>30</v>
      </c>
      <c r="BS21" s="56">
        <f t="shared" si="41"/>
        <v>29102.34</v>
      </c>
      <c r="BT21" s="56">
        <f t="shared" si="42"/>
        <v>2910.23</v>
      </c>
      <c r="BU21" s="56">
        <f t="shared" si="43"/>
        <v>32012.57</v>
      </c>
      <c r="BV21" s="41"/>
      <c r="BW21" s="61">
        <f t="shared" si="44"/>
        <v>17</v>
      </c>
      <c r="BX21" s="56">
        <f t="shared" si="45"/>
        <v>16491.330000000002</v>
      </c>
      <c r="BY21" s="56">
        <f t="shared" si="46"/>
        <v>1649.13</v>
      </c>
      <c r="BZ21" s="56">
        <f t="shared" si="47"/>
        <v>18140.460000000003</v>
      </c>
      <c r="CA21" s="61">
        <f t="shared" si="48"/>
        <v>240</v>
      </c>
      <c r="CB21" s="56">
        <f t="shared" si="49"/>
        <v>232818.72999999998</v>
      </c>
      <c r="CC21" s="56">
        <f t="shared" si="50"/>
        <v>23281.85</v>
      </c>
      <c r="CD21" s="56">
        <f t="shared" si="51"/>
        <v>256100.58</v>
      </c>
      <c r="CE21" s="42">
        <f t="shared" si="52"/>
        <v>-0.01</v>
      </c>
      <c r="CF21" s="42">
        <f t="shared" si="53"/>
        <v>0.02</v>
      </c>
      <c r="CG21" s="43" t="s">
        <v>349</v>
      </c>
      <c r="CH21" s="43" t="s">
        <v>350</v>
      </c>
      <c r="CI21" s="43" t="s">
        <v>49</v>
      </c>
      <c r="CJ21" s="43" t="s">
        <v>351</v>
      </c>
      <c r="CK21" s="43" t="s">
        <v>352</v>
      </c>
      <c r="CL21" s="43" t="s">
        <v>353</v>
      </c>
      <c r="CM21" s="44">
        <v>46146</v>
      </c>
      <c r="CN21" s="45">
        <v>910102981</v>
      </c>
      <c r="CO21" s="45"/>
      <c r="CP21" s="45"/>
    </row>
    <row r="22" spans="1:94" ht="40.049999999999997" customHeight="1" x14ac:dyDescent="0.25">
      <c r="A22" s="62">
        <v>71</v>
      </c>
      <c r="B22" s="63">
        <v>150</v>
      </c>
      <c r="C22" s="1" t="s">
        <v>258</v>
      </c>
      <c r="D22" s="2" t="s">
        <v>343</v>
      </c>
      <c r="E22" s="2" t="s">
        <v>354</v>
      </c>
      <c r="F22" s="2" t="s">
        <v>355</v>
      </c>
      <c r="G22" s="2" t="s">
        <v>356</v>
      </c>
      <c r="H22" s="64">
        <v>25.396999999999998</v>
      </c>
      <c r="I22" s="1" t="s">
        <v>46</v>
      </c>
      <c r="J22" s="3">
        <v>840</v>
      </c>
      <c r="K22" s="1">
        <v>240</v>
      </c>
      <c r="L22" s="4">
        <v>170668</v>
      </c>
      <c r="M22" s="4">
        <v>17067</v>
      </c>
      <c r="N22" s="4">
        <v>187735</v>
      </c>
      <c r="O22" s="31" t="s">
        <v>357</v>
      </c>
      <c r="P22" s="31" t="s">
        <v>358</v>
      </c>
      <c r="Q22" s="35">
        <f t="shared" si="0"/>
        <v>240</v>
      </c>
      <c r="R22" s="14">
        <v>46134</v>
      </c>
      <c r="S22" s="14">
        <f t="shared" si="1"/>
        <v>46373</v>
      </c>
      <c r="T22" s="34">
        <v>170667.84</v>
      </c>
      <c r="U22" s="34">
        <f t="shared" si="2"/>
        <v>17066.78</v>
      </c>
      <c r="V22" s="34">
        <f t="shared" si="3"/>
        <v>187734.62</v>
      </c>
      <c r="W22" s="35"/>
      <c r="X22" s="14">
        <f t="shared" si="4"/>
        <v>46134</v>
      </c>
      <c r="Y22" s="14" t="str">
        <f t="shared" si="5"/>
        <v/>
      </c>
      <c r="Z22" s="34"/>
      <c r="AA22" s="34">
        <f t="shared" si="6"/>
        <v>0</v>
      </c>
      <c r="AB22" s="34">
        <f t="shared" si="7"/>
        <v>0</v>
      </c>
      <c r="AC22" s="15"/>
      <c r="AD22" s="35">
        <f t="shared" si="8"/>
        <v>0</v>
      </c>
      <c r="AE22" s="34">
        <f t="shared" si="9"/>
        <v>0</v>
      </c>
      <c r="AF22" s="34">
        <f t="shared" si="10"/>
        <v>0</v>
      </c>
      <c r="AG22" s="34">
        <f t="shared" si="11"/>
        <v>0</v>
      </c>
      <c r="AH22" s="15"/>
      <c r="AI22" s="35">
        <f t="shared" si="12"/>
        <v>9</v>
      </c>
      <c r="AJ22" s="34">
        <f t="shared" si="13"/>
        <v>6400.04</v>
      </c>
      <c r="AK22" s="34">
        <f t="shared" si="14"/>
        <v>640</v>
      </c>
      <c r="AL22" s="34">
        <f t="shared" si="15"/>
        <v>7040.04</v>
      </c>
      <c r="AM22" s="15"/>
      <c r="AN22" s="35">
        <f t="shared" si="16"/>
        <v>31</v>
      </c>
      <c r="AO22" s="34">
        <f t="shared" si="17"/>
        <v>22044.6</v>
      </c>
      <c r="AP22" s="34">
        <f t="shared" si="18"/>
        <v>2204.46</v>
      </c>
      <c r="AQ22" s="34">
        <f t="shared" si="19"/>
        <v>24249.059999999998</v>
      </c>
      <c r="AR22" s="15"/>
      <c r="AS22" s="35">
        <f t="shared" si="20"/>
        <v>30</v>
      </c>
      <c r="AT22" s="34">
        <f t="shared" si="21"/>
        <v>21333.48</v>
      </c>
      <c r="AU22" s="34">
        <f t="shared" si="22"/>
        <v>2133.35</v>
      </c>
      <c r="AV22" s="34">
        <f t="shared" si="23"/>
        <v>23466.829999999998</v>
      </c>
      <c r="AW22" s="15"/>
      <c r="AX22" s="35">
        <f t="shared" si="24"/>
        <v>31</v>
      </c>
      <c r="AY22" s="34">
        <f t="shared" si="25"/>
        <v>22044.6</v>
      </c>
      <c r="AZ22" s="34">
        <f t="shared" si="26"/>
        <v>2204.46</v>
      </c>
      <c r="BA22" s="34">
        <f t="shared" si="27"/>
        <v>24249.059999999998</v>
      </c>
      <c r="BB22" s="15"/>
      <c r="BC22" s="35">
        <f t="shared" si="28"/>
        <v>31</v>
      </c>
      <c r="BD22" s="34">
        <f t="shared" si="29"/>
        <v>22044.6</v>
      </c>
      <c r="BE22" s="34">
        <f t="shared" si="30"/>
        <v>2204.46</v>
      </c>
      <c r="BF22" s="34">
        <f t="shared" si="31"/>
        <v>24249.059999999998</v>
      </c>
      <c r="BG22" s="15"/>
      <c r="BH22" s="35">
        <f t="shared" si="32"/>
        <v>30</v>
      </c>
      <c r="BI22" s="34">
        <f t="shared" si="33"/>
        <v>21333.48</v>
      </c>
      <c r="BJ22" s="34">
        <f t="shared" si="34"/>
        <v>2133.35</v>
      </c>
      <c r="BK22" s="34">
        <f t="shared" si="35"/>
        <v>23466.829999999998</v>
      </c>
      <c r="BL22" s="15"/>
      <c r="BM22" s="35">
        <f t="shared" si="36"/>
        <v>31</v>
      </c>
      <c r="BN22" s="34">
        <f t="shared" si="37"/>
        <v>22044.6</v>
      </c>
      <c r="BO22" s="34">
        <f t="shared" si="38"/>
        <v>2204.46</v>
      </c>
      <c r="BP22" s="34">
        <f t="shared" si="39"/>
        <v>24249.059999999998</v>
      </c>
      <c r="BQ22" s="15"/>
      <c r="BR22" s="35">
        <f t="shared" si="40"/>
        <v>30</v>
      </c>
      <c r="BS22" s="34">
        <f t="shared" si="41"/>
        <v>21333.48</v>
      </c>
      <c r="BT22" s="34">
        <f t="shared" si="42"/>
        <v>2133.35</v>
      </c>
      <c r="BU22" s="34">
        <f t="shared" si="43"/>
        <v>23466.829999999998</v>
      </c>
      <c r="BV22" s="15"/>
      <c r="BW22" s="35">
        <f t="shared" si="44"/>
        <v>17</v>
      </c>
      <c r="BX22" s="34">
        <f t="shared" si="45"/>
        <v>12088.97</v>
      </c>
      <c r="BY22" s="34">
        <f t="shared" si="46"/>
        <v>1208.9000000000001</v>
      </c>
      <c r="BZ22" s="34">
        <f t="shared" si="47"/>
        <v>13297.869999999999</v>
      </c>
      <c r="CA22" s="35">
        <f t="shared" si="48"/>
        <v>240</v>
      </c>
      <c r="CB22" s="34">
        <f t="shared" si="49"/>
        <v>170667.85</v>
      </c>
      <c r="CC22" s="34">
        <f t="shared" si="50"/>
        <v>17066.79</v>
      </c>
      <c r="CD22" s="34">
        <f t="shared" si="51"/>
        <v>187734.64</v>
      </c>
      <c r="CE22" s="16">
        <f t="shared" si="52"/>
        <v>-0.01</v>
      </c>
      <c r="CF22" s="16">
        <f t="shared" si="53"/>
        <v>-0.01</v>
      </c>
      <c r="CG22" s="31" t="s">
        <v>349</v>
      </c>
      <c r="CH22" s="31" t="s">
        <v>350</v>
      </c>
      <c r="CI22" s="31" t="s">
        <v>49</v>
      </c>
      <c r="CJ22" s="31" t="s">
        <v>351</v>
      </c>
      <c r="CK22" s="31" t="s">
        <v>352</v>
      </c>
      <c r="CL22" s="31" t="s">
        <v>353</v>
      </c>
      <c r="CM22" s="29">
        <v>46146</v>
      </c>
      <c r="CN22" s="28">
        <v>910102981</v>
      </c>
      <c r="CO22" s="28"/>
      <c r="CP22" s="28"/>
    </row>
    <row r="23" spans="1:94" ht="40.049999999999997" customHeight="1" x14ac:dyDescent="0.25">
      <c r="A23" s="62">
        <v>72</v>
      </c>
      <c r="B23" s="63">
        <v>150</v>
      </c>
      <c r="C23" s="1" t="s">
        <v>258</v>
      </c>
      <c r="D23" s="2" t="s">
        <v>343</v>
      </c>
      <c r="E23" s="2" t="s">
        <v>359</v>
      </c>
      <c r="F23" s="2" t="s">
        <v>360</v>
      </c>
      <c r="G23" s="2" t="s">
        <v>361</v>
      </c>
      <c r="H23" s="64">
        <v>21.402999999999999</v>
      </c>
      <c r="I23" s="1" t="s">
        <v>46</v>
      </c>
      <c r="J23" s="3">
        <v>854</v>
      </c>
      <c r="K23" s="1">
        <v>210</v>
      </c>
      <c r="L23" s="4">
        <v>127948</v>
      </c>
      <c r="M23" s="4">
        <v>12795</v>
      </c>
      <c r="N23" s="4">
        <v>140743</v>
      </c>
      <c r="O23" s="31" t="s">
        <v>362</v>
      </c>
      <c r="P23" s="31" t="s">
        <v>363</v>
      </c>
      <c r="Q23" s="35">
        <f t="shared" si="0"/>
        <v>210</v>
      </c>
      <c r="R23" s="14">
        <v>46133</v>
      </c>
      <c r="S23" s="14">
        <f t="shared" si="1"/>
        <v>46342</v>
      </c>
      <c r="T23" s="34">
        <v>127947.13</v>
      </c>
      <c r="U23" s="34">
        <f t="shared" si="2"/>
        <v>12794.71</v>
      </c>
      <c r="V23" s="34">
        <f t="shared" si="3"/>
        <v>140741.84</v>
      </c>
      <c r="W23" s="35"/>
      <c r="X23" s="14">
        <f t="shared" si="4"/>
        <v>46133</v>
      </c>
      <c r="Y23" s="14" t="str">
        <f t="shared" si="5"/>
        <v/>
      </c>
      <c r="Z23" s="34"/>
      <c r="AA23" s="34">
        <f t="shared" si="6"/>
        <v>0</v>
      </c>
      <c r="AB23" s="34">
        <f t="shared" si="7"/>
        <v>0</v>
      </c>
      <c r="AC23" s="15"/>
      <c r="AD23" s="35">
        <f t="shared" si="8"/>
        <v>0</v>
      </c>
      <c r="AE23" s="34">
        <f t="shared" si="9"/>
        <v>0</v>
      </c>
      <c r="AF23" s="34">
        <f t="shared" si="10"/>
        <v>0</v>
      </c>
      <c r="AG23" s="34">
        <f t="shared" si="11"/>
        <v>0</v>
      </c>
      <c r="AH23" s="15"/>
      <c r="AI23" s="35">
        <f t="shared" si="12"/>
        <v>10</v>
      </c>
      <c r="AJ23" s="34">
        <f t="shared" si="13"/>
        <v>6092.72</v>
      </c>
      <c r="AK23" s="34">
        <f t="shared" si="14"/>
        <v>609.27</v>
      </c>
      <c r="AL23" s="34">
        <f t="shared" si="15"/>
        <v>6701.99</v>
      </c>
      <c r="AM23" s="15"/>
      <c r="AN23" s="35">
        <f t="shared" si="16"/>
        <v>31</v>
      </c>
      <c r="AO23" s="34">
        <f t="shared" si="17"/>
        <v>18887.43</v>
      </c>
      <c r="AP23" s="34">
        <f t="shared" si="18"/>
        <v>1888.74</v>
      </c>
      <c r="AQ23" s="34">
        <f t="shared" si="19"/>
        <v>20776.170000000002</v>
      </c>
      <c r="AR23" s="15"/>
      <c r="AS23" s="35">
        <f t="shared" si="20"/>
        <v>30</v>
      </c>
      <c r="AT23" s="34">
        <f t="shared" si="21"/>
        <v>18278.16</v>
      </c>
      <c r="AU23" s="34">
        <f t="shared" si="22"/>
        <v>1827.82</v>
      </c>
      <c r="AV23" s="34">
        <f t="shared" si="23"/>
        <v>20105.98</v>
      </c>
      <c r="AW23" s="15"/>
      <c r="AX23" s="35">
        <f t="shared" si="24"/>
        <v>31</v>
      </c>
      <c r="AY23" s="34">
        <f t="shared" si="25"/>
        <v>18887.43</v>
      </c>
      <c r="AZ23" s="34">
        <f t="shared" si="26"/>
        <v>1888.74</v>
      </c>
      <c r="BA23" s="34">
        <f t="shared" si="27"/>
        <v>20776.170000000002</v>
      </c>
      <c r="BB23" s="15"/>
      <c r="BC23" s="35">
        <f t="shared" si="28"/>
        <v>31</v>
      </c>
      <c r="BD23" s="34">
        <f t="shared" si="29"/>
        <v>18887.43</v>
      </c>
      <c r="BE23" s="34">
        <f t="shared" si="30"/>
        <v>1888.74</v>
      </c>
      <c r="BF23" s="34">
        <f t="shared" si="31"/>
        <v>20776.170000000002</v>
      </c>
      <c r="BG23" s="15"/>
      <c r="BH23" s="35">
        <f t="shared" si="32"/>
        <v>30</v>
      </c>
      <c r="BI23" s="34">
        <f t="shared" si="33"/>
        <v>18278.16</v>
      </c>
      <c r="BJ23" s="34">
        <f t="shared" si="34"/>
        <v>1827.82</v>
      </c>
      <c r="BK23" s="34">
        <f t="shared" si="35"/>
        <v>20105.98</v>
      </c>
      <c r="BL23" s="15"/>
      <c r="BM23" s="35">
        <f t="shared" si="36"/>
        <v>31</v>
      </c>
      <c r="BN23" s="34">
        <f t="shared" si="37"/>
        <v>18887.43</v>
      </c>
      <c r="BO23" s="34">
        <f t="shared" si="38"/>
        <v>1888.74</v>
      </c>
      <c r="BP23" s="34">
        <f t="shared" si="39"/>
        <v>20776.170000000002</v>
      </c>
      <c r="BQ23" s="15"/>
      <c r="BR23" s="35">
        <f t="shared" si="40"/>
        <v>16</v>
      </c>
      <c r="BS23" s="34">
        <f t="shared" si="41"/>
        <v>9748.35</v>
      </c>
      <c r="BT23" s="34">
        <f t="shared" si="42"/>
        <v>974.84</v>
      </c>
      <c r="BU23" s="34">
        <f t="shared" si="43"/>
        <v>10723.19</v>
      </c>
      <c r="BV23" s="15"/>
      <c r="BW23" s="35">
        <f t="shared" si="44"/>
        <v>0</v>
      </c>
      <c r="BX23" s="34">
        <f t="shared" si="45"/>
        <v>0</v>
      </c>
      <c r="BY23" s="34">
        <f t="shared" si="46"/>
        <v>0</v>
      </c>
      <c r="BZ23" s="34">
        <f t="shared" si="47"/>
        <v>0</v>
      </c>
      <c r="CA23" s="35">
        <f t="shared" si="48"/>
        <v>210</v>
      </c>
      <c r="CB23" s="34">
        <f t="shared" si="49"/>
        <v>127947.11000000002</v>
      </c>
      <c r="CC23" s="34">
        <f t="shared" si="50"/>
        <v>12794.71</v>
      </c>
      <c r="CD23" s="34">
        <f t="shared" si="51"/>
        <v>140741.82</v>
      </c>
      <c r="CE23" s="16">
        <f t="shared" si="52"/>
        <v>0.02</v>
      </c>
      <c r="CF23" s="16">
        <f t="shared" si="53"/>
        <v>0</v>
      </c>
      <c r="CG23" s="31" t="s">
        <v>349</v>
      </c>
      <c r="CH23" s="31" t="s">
        <v>350</v>
      </c>
      <c r="CI23" s="31" t="s">
        <v>49</v>
      </c>
      <c r="CJ23" s="31" t="s">
        <v>351</v>
      </c>
      <c r="CK23" s="31" t="s">
        <v>352</v>
      </c>
      <c r="CL23" s="31" t="s">
        <v>353</v>
      </c>
      <c r="CM23" s="29">
        <v>46146</v>
      </c>
      <c r="CN23" s="28">
        <v>910102981</v>
      </c>
      <c r="CO23" s="28"/>
      <c r="CP23" s="28"/>
    </row>
    <row r="24" spans="1:94" ht="40.049999999999997" customHeight="1" x14ac:dyDescent="0.25">
      <c r="A24" s="62">
        <v>73</v>
      </c>
      <c r="B24" s="63">
        <v>150</v>
      </c>
      <c r="C24" s="1" t="s">
        <v>258</v>
      </c>
      <c r="D24" s="2" t="s">
        <v>343</v>
      </c>
      <c r="E24" s="2" t="s">
        <v>364</v>
      </c>
      <c r="F24" s="2" t="s">
        <v>365</v>
      </c>
      <c r="G24" s="2" t="s">
        <v>366</v>
      </c>
      <c r="H24" s="64">
        <v>18.922999999999998</v>
      </c>
      <c r="I24" s="1" t="s">
        <v>46</v>
      </c>
      <c r="J24" s="3">
        <v>930</v>
      </c>
      <c r="K24" s="1">
        <v>210</v>
      </c>
      <c r="L24" s="4">
        <v>123189</v>
      </c>
      <c r="M24" s="4">
        <v>12319</v>
      </c>
      <c r="N24" s="4">
        <v>135508</v>
      </c>
      <c r="O24" s="31" t="s">
        <v>367</v>
      </c>
      <c r="P24" s="31" t="s">
        <v>368</v>
      </c>
      <c r="Q24" s="35">
        <f t="shared" si="0"/>
        <v>210</v>
      </c>
      <c r="R24" s="14">
        <v>46133</v>
      </c>
      <c r="S24" s="14">
        <f t="shared" si="1"/>
        <v>46342</v>
      </c>
      <c r="T24" s="34">
        <v>123188.73</v>
      </c>
      <c r="U24" s="34">
        <f t="shared" si="2"/>
        <v>12318.87</v>
      </c>
      <c r="V24" s="34">
        <f t="shared" si="3"/>
        <v>135507.6</v>
      </c>
      <c r="W24" s="35"/>
      <c r="X24" s="14">
        <f t="shared" si="4"/>
        <v>46133</v>
      </c>
      <c r="Y24" s="14" t="str">
        <f t="shared" si="5"/>
        <v/>
      </c>
      <c r="Z24" s="34"/>
      <c r="AA24" s="34">
        <f t="shared" si="6"/>
        <v>0</v>
      </c>
      <c r="AB24" s="34">
        <f t="shared" si="7"/>
        <v>0</v>
      </c>
      <c r="AC24" s="15"/>
      <c r="AD24" s="35">
        <f t="shared" si="8"/>
        <v>0</v>
      </c>
      <c r="AE24" s="34">
        <f t="shared" si="9"/>
        <v>0</v>
      </c>
      <c r="AF24" s="34">
        <f t="shared" si="10"/>
        <v>0</v>
      </c>
      <c r="AG24" s="34">
        <f t="shared" si="11"/>
        <v>0</v>
      </c>
      <c r="AH24" s="15"/>
      <c r="AI24" s="35">
        <f t="shared" si="12"/>
        <v>10</v>
      </c>
      <c r="AJ24" s="34">
        <f t="shared" si="13"/>
        <v>5866.13</v>
      </c>
      <c r="AK24" s="34">
        <f t="shared" si="14"/>
        <v>586.61</v>
      </c>
      <c r="AL24" s="34">
        <f t="shared" si="15"/>
        <v>6452.74</v>
      </c>
      <c r="AM24" s="15"/>
      <c r="AN24" s="35">
        <f t="shared" si="16"/>
        <v>31</v>
      </c>
      <c r="AO24" s="34">
        <f t="shared" si="17"/>
        <v>18185</v>
      </c>
      <c r="AP24" s="34">
        <f t="shared" si="18"/>
        <v>1818.5</v>
      </c>
      <c r="AQ24" s="34">
        <f t="shared" si="19"/>
        <v>20003.5</v>
      </c>
      <c r="AR24" s="15"/>
      <c r="AS24" s="35">
        <f t="shared" si="20"/>
        <v>30</v>
      </c>
      <c r="AT24" s="34">
        <f t="shared" si="21"/>
        <v>17598.39</v>
      </c>
      <c r="AU24" s="34">
        <f t="shared" si="22"/>
        <v>1759.84</v>
      </c>
      <c r="AV24" s="34">
        <f t="shared" si="23"/>
        <v>19358.23</v>
      </c>
      <c r="AW24" s="15"/>
      <c r="AX24" s="35">
        <f t="shared" si="24"/>
        <v>31</v>
      </c>
      <c r="AY24" s="34">
        <f t="shared" si="25"/>
        <v>18185</v>
      </c>
      <c r="AZ24" s="34">
        <f t="shared" si="26"/>
        <v>1818.5</v>
      </c>
      <c r="BA24" s="34">
        <f t="shared" si="27"/>
        <v>20003.5</v>
      </c>
      <c r="BB24" s="15"/>
      <c r="BC24" s="35">
        <f t="shared" si="28"/>
        <v>31</v>
      </c>
      <c r="BD24" s="34">
        <f t="shared" si="29"/>
        <v>18185</v>
      </c>
      <c r="BE24" s="34">
        <f t="shared" si="30"/>
        <v>1818.5</v>
      </c>
      <c r="BF24" s="34">
        <f t="shared" si="31"/>
        <v>20003.5</v>
      </c>
      <c r="BG24" s="15"/>
      <c r="BH24" s="35">
        <f t="shared" si="32"/>
        <v>30</v>
      </c>
      <c r="BI24" s="34">
        <f t="shared" si="33"/>
        <v>17598.39</v>
      </c>
      <c r="BJ24" s="34">
        <f t="shared" si="34"/>
        <v>1759.84</v>
      </c>
      <c r="BK24" s="34">
        <f t="shared" si="35"/>
        <v>19358.23</v>
      </c>
      <c r="BL24" s="15"/>
      <c r="BM24" s="35">
        <f t="shared" si="36"/>
        <v>31</v>
      </c>
      <c r="BN24" s="34">
        <f t="shared" si="37"/>
        <v>18185</v>
      </c>
      <c r="BO24" s="34">
        <f t="shared" si="38"/>
        <v>1818.5</v>
      </c>
      <c r="BP24" s="34">
        <f t="shared" si="39"/>
        <v>20003.5</v>
      </c>
      <c r="BQ24" s="15"/>
      <c r="BR24" s="35">
        <f t="shared" si="40"/>
        <v>16</v>
      </c>
      <c r="BS24" s="34">
        <f t="shared" si="41"/>
        <v>9385.81</v>
      </c>
      <c r="BT24" s="34">
        <f t="shared" si="42"/>
        <v>938.58</v>
      </c>
      <c r="BU24" s="34">
        <f t="shared" si="43"/>
        <v>10324.39</v>
      </c>
      <c r="BV24" s="15"/>
      <c r="BW24" s="35">
        <f t="shared" si="44"/>
        <v>0</v>
      </c>
      <c r="BX24" s="34">
        <f t="shared" si="45"/>
        <v>0</v>
      </c>
      <c r="BY24" s="34">
        <f t="shared" si="46"/>
        <v>0</v>
      </c>
      <c r="BZ24" s="34">
        <f t="shared" si="47"/>
        <v>0</v>
      </c>
      <c r="CA24" s="35">
        <f t="shared" si="48"/>
        <v>210</v>
      </c>
      <c r="CB24" s="34">
        <f t="shared" si="49"/>
        <v>123188.72</v>
      </c>
      <c r="CC24" s="34">
        <f t="shared" si="50"/>
        <v>12318.869999999999</v>
      </c>
      <c r="CD24" s="34">
        <f t="shared" si="51"/>
        <v>135507.59</v>
      </c>
      <c r="CE24" s="16">
        <f t="shared" si="52"/>
        <v>0.01</v>
      </c>
      <c r="CF24" s="16">
        <f t="shared" si="53"/>
        <v>0</v>
      </c>
      <c r="CG24" s="31" t="s">
        <v>349</v>
      </c>
      <c r="CH24" s="31" t="s">
        <v>350</v>
      </c>
      <c r="CI24" s="31" t="s">
        <v>49</v>
      </c>
      <c r="CJ24" s="31" t="s">
        <v>351</v>
      </c>
      <c r="CK24" s="31" t="s">
        <v>352</v>
      </c>
      <c r="CL24" s="31" t="s">
        <v>353</v>
      </c>
      <c r="CM24" s="29">
        <v>46146</v>
      </c>
      <c r="CN24" s="28">
        <v>910102981</v>
      </c>
      <c r="CO24" s="28"/>
      <c r="CP24" s="28"/>
    </row>
    <row r="25" spans="1:94" ht="40.049999999999997" customHeight="1" x14ac:dyDescent="0.25">
      <c r="A25" s="62">
        <v>74</v>
      </c>
      <c r="B25" s="63">
        <v>150</v>
      </c>
      <c r="C25" s="1" t="s">
        <v>258</v>
      </c>
      <c r="D25" s="2" t="s">
        <v>343</v>
      </c>
      <c r="E25" s="2" t="s">
        <v>369</v>
      </c>
      <c r="F25" s="2" t="s">
        <v>370</v>
      </c>
      <c r="G25" s="2" t="s">
        <v>371</v>
      </c>
      <c r="H25" s="64">
        <v>16.015000000000001</v>
      </c>
      <c r="I25" s="1" t="s">
        <v>46</v>
      </c>
      <c r="J25" s="3">
        <v>817</v>
      </c>
      <c r="K25" s="1">
        <v>210</v>
      </c>
      <c r="L25" s="4">
        <v>91590</v>
      </c>
      <c r="M25" s="4">
        <v>9159</v>
      </c>
      <c r="N25" s="4">
        <v>100749</v>
      </c>
      <c r="O25" s="31" t="s">
        <v>372</v>
      </c>
      <c r="P25" s="31" t="s">
        <v>363</v>
      </c>
      <c r="Q25" s="35">
        <f t="shared" si="0"/>
        <v>210</v>
      </c>
      <c r="R25" s="14">
        <v>46154</v>
      </c>
      <c r="S25" s="14">
        <f t="shared" si="1"/>
        <v>46363</v>
      </c>
      <c r="T25" s="34">
        <v>91589.79</v>
      </c>
      <c r="U25" s="34">
        <f t="shared" si="2"/>
        <v>9158.98</v>
      </c>
      <c r="V25" s="34">
        <f t="shared" si="3"/>
        <v>100748.76999999999</v>
      </c>
      <c r="W25" s="35"/>
      <c r="X25" s="14">
        <f t="shared" si="4"/>
        <v>46154</v>
      </c>
      <c r="Y25" s="14" t="str">
        <f t="shared" si="5"/>
        <v/>
      </c>
      <c r="Z25" s="34"/>
      <c r="AA25" s="34">
        <f t="shared" si="6"/>
        <v>0</v>
      </c>
      <c r="AB25" s="34">
        <f t="shared" si="7"/>
        <v>0</v>
      </c>
      <c r="AC25" s="15"/>
      <c r="AD25" s="35">
        <f t="shared" si="8"/>
        <v>0</v>
      </c>
      <c r="AE25" s="34">
        <f t="shared" si="9"/>
        <v>0</v>
      </c>
      <c r="AF25" s="34">
        <f t="shared" si="10"/>
        <v>0</v>
      </c>
      <c r="AG25" s="34">
        <f t="shared" si="11"/>
        <v>0</v>
      </c>
      <c r="AH25" s="15"/>
      <c r="AI25" s="35">
        <f t="shared" si="12"/>
        <v>0</v>
      </c>
      <c r="AJ25" s="34">
        <f t="shared" si="13"/>
        <v>0</v>
      </c>
      <c r="AK25" s="34">
        <f t="shared" si="14"/>
        <v>0</v>
      </c>
      <c r="AL25" s="34">
        <f t="shared" si="15"/>
        <v>0</v>
      </c>
      <c r="AM25" s="15"/>
      <c r="AN25" s="35">
        <f t="shared" si="16"/>
        <v>20</v>
      </c>
      <c r="AO25" s="34">
        <f t="shared" si="17"/>
        <v>8722.84</v>
      </c>
      <c r="AP25" s="34">
        <f t="shared" si="18"/>
        <v>872.28</v>
      </c>
      <c r="AQ25" s="34">
        <f t="shared" si="19"/>
        <v>9595.1200000000008</v>
      </c>
      <c r="AR25" s="15"/>
      <c r="AS25" s="35">
        <f t="shared" si="20"/>
        <v>30</v>
      </c>
      <c r="AT25" s="34">
        <f t="shared" si="21"/>
        <v>13084.26</v>
      </c>
      <c r="AU25" s="34">
        <f t="shared" si="22"/>
        <v>1308.43</v>
      </c>
      <c r="AV25" s="34">
        <f t="shared" si="23"/>
        <v>14392.69</v>
      </c>
      <c r="AW25" s="15"/>
      <c r="AX25" s="35">
        <f t="shared" si="24"/>
        <v>31</v>
      </c>
      <c r="AY25" s="34">
        <f t="shared" si="25"/>
        <v>13520.4</v>
      </c>
      <c r="AZ25" s="34">
        <f t="shared" si="26"/>
        <v>1352.04</v>
      </c>
      <c r="BA25" s="34">
        <f t="shared" si="27"/>
        <v>14872.439999999999</v>
      </c>
      <c r="BB25" s="15"/>
      <c r="BC25" s="35">
        <f t="shared" si="28"/>
        <v>31</v>
      </c>
      <c r="BD25" s="34">
        <f t="shared" si="29"/>
        <v>13520.4</v>
      </c>
      <c r="BE25" s="34">
        <f t="shared" si="30"/>
        <v>1352.04</v>
      </c>
      <c r="BF25" s="34">
        <f t="shared" si="31"/>
        <v>14872.439999999999</v>
      </c>
      <c r="BG25" s="15"/>
      <c r="BH25" s="35">
        <f t="shared" si="32"/>
        <v>30</v>
      </c>
      <c r="BI25" s="34">
        <f t="shared" si="33"/>
        <v>13084.26</v>
      </c>
      <c r="BJ25" s="34">
        <f t="shared" si="34"/>
        <v>1308.43</v>
      </c>
      <c r="BK25" s="34">
        <f t="shared" si="35"/>
        <v>14392.69</v>
      </c>
      <c r="BL25" s="15"/>
      <c r="BM25" s="35">
        <f t="shared" si="36"/>
        <v>31</v>
      </c>
      <c r="BN25" s="34">
        <f t="shared" si="37"/>
        <v>13520.4</v>
      </c>
      <c r="BO25" s="34">
        <f t="shared" si="38"/>
        <v>1352.04</v>
      </c>
      <c r="BP25" s="34">
        <f t="shared" si="39"/>
        <v>14872.439999999999</v>
      </c>
      <c r="BQ25" s="15"/>
      <c r="BR25" s="35">
        <f t="shared" si="40"/>
        <v>30</v>
      </c>
      <c r="BS25" s="34">
        <f t="shared" si="41"/>
        <v>13084.26</v>
      </c>
      <c r="BT25" s="34">
        <f t="shared" si="42"/>
        <v>1308.43</v>
      </c>
      <c r="BU25" s="34">
        <f t="shared" si="43"/>
        <v>14392.69</v>
      </c>
      <c r="BV25" s="15"/>
      <c r="BW25" s="35">
        <f t="shared" si="44"/>
        <v>7</v>
      </c>
      <c r="BX25" s="34">
        <f t="shared" si="45"/>
        <v>3052.99</v>
      </c>
      <c r="BY25" s="34">
        <f t="shared" si="46"/>
        <v>305.3</v>
      </c>
      <c r="BZ25" s="34">
        <f t="shared" si="47"/>
        <v>3358.29</v>
      </c>
      <c r="CA25" s="35">
        <f t="shared" si="48"/>
        <v>210</v>
      </c>
      <c r="CB25" s="34">
        <f t="shared" si="49"/>
        <v>91589.81</v>
      </c>
      <c r="CC25" s="34">
        <f t="shared" si="50"/>
        <v>9158.99</v>
      </c>
      <c r="CD25" s="34">
        <f t="shared" si="51"/>
        <v>100748.8</v>
      </c>
      <c r="CE25" s="16">
        <f t="shared" si="52"/>
        <v>-0.02</v>
      </c>
      <c r="CF25" s="16">
        <f t="shared" si="53"/>
        <v>-0.01</v>
      </c>
      <c r="CG25" s="31" t="s">
        <v>349</v>
      </c>
      <c r="CH25" s="31" t="s">
        <v>350</v>
      </c>
      <c r="CI25" s="31" t="s">
        <v>49</v>
      </c>
      <c r="CJ25" s="31" t="s">
        <v>351</v>
      </c>
      <c r="CK25" s="31" t="s">
        <v>352</v>
      </c>
      <c r="CL25" s="31" t="s">
        <v>353</v>
      </c>
      <c r="CM25" s="29">
        <v>46146</v>
      </c>
      <c r="CN25" s="28">
        <v>910102981</v>
      </c>
      <c r="CO25" s="28"/>
      <c r="CP25" s="28"/>
    </row>
    <row r="26" spans="1:94" ht="40.049999999999997" customHeight="1" x14ac:dyDescent="0.25">
      <c r="A26" s="62">
        <v>75</v>
      </c>
      <c r="B26" s="63">
        <v>150</v>
      </c>
      <c r="C26" s="1" t="s">
        <v>258</v>
      </c>
      <c r="D26" s="2" t="s">
        <v>343</v>
      </c>
      <c r="E26" s="2" t="s">
        <v>373</v>
      </c>
      <c r="F26" s="2" t="s">
        <v>374</v>
      </c>
      <c r="G26" s="2" t="s">
        <v>375</v>
      </c>
      <c r="H26" s="64">
        <v>27.719000000000001</v>
      </c>
      <c r="I26" s="1" t="s">
        <v>46</v>
      </c>
      <c r="J26" s="3">
        <v>843</v>
      </c>
      <c r="K26" s="1">
        <v>210</v>
      </c>
      <c r="L26" s="4">
        <v>163570</v>
      </c>
      <c r="M26" s="4">
        <v>16357</v>
      </c>
      <c r="N26" s="4">
        <v>179927</v>
      </c>
      <c r="O26" s="31" t="s">
        <v>376</v>
      </c>
      <c r="P26" s="31" t="s">
        <v>377</v>
      </c>
      <c r="Q26" s="35">
        <f t="shared" si="0"/>
        <v>210</v>
      </c>
      <c r="R26" s="14">
        <v>46134</v>
      </c>
      <c r="S26" s="14">
        <f t="shared" si="1"/>
        <v>46343</v>
      </c>
      <c r="T26" s="34">
        <v>163570</v>
      </c>
      <c r="U26" s="34">
        <f t="shared" si="2"/>
        <v>16357</v>
      </c>
      <c r="V26" s="34">
        <f t="shared" si="3"/>
        <v>179927</v>
      </c>
      <c r="W26" s="35"/>
      <c r="X26" s="14">
        <f t="shared" si="4"/>
        <v>46134</v>
      </c>
      <c r="Y26" s="14" t="str">
        <f t="shared" si="5"/>
        <v/>
      </c>
      <c r="Z26" s="34"/>
      <c r="AA26" s="34">
        <f t="shared" si="6"/>
        <v>0</v>
      </c>
      <c r="AB26" s="34">
        <f t="shared" si="7"/>
        <v>0</v>
      </c>
      <c r="AC26" s="15"/>
      <c r="AD26" s="35">
        <f t="shared" si="8"/>
        <v>0</v>
      </c>
      <c r="AE26" s="34">
        <f t="shared" si="9"/>
        <v>0</v>
      </c>
      <c r="AF26" s="34">
        <f t="shared" si="10"/>
        <v>0</v>
      </c>
      <c r="AG26" s="34">
        <f t="shared" si="11"/>
        <v>0</v>
      </c>
      <c r="AH26" s="15"/>
      <c r="AI26" s="35">
        <f t="shared" si="12"/>
        <v>9</v>
      </c>
      <c r="AJ26" s="34">
        <f t="shared" si="13"/>
        <v>7010.14</v>
      </c>
      <c r="AK26" s="34">
        <f t="shared" si="14"/>
        <v>701.01</v>
      </c>
      <c r="AL26" s="34">
        <f t="shared" si="15"/>
        <v>7711.1500000000005</v>
      </c>
      <c r="AM26" s="15"/>
      <c r="AN26" s="35">
        <f t="shared" si="16"/>
        <v>31</v>
      </c>
      <c r="AO26" s="34">
        <f t="shared" si="17"/>
        <v>24146.05</v>
      </c>
      <c r="AP26" s="34">
        <f t="shared" si="18"/>
        <v>2414.61</v>
      </c>
      <c r="AQ26" s="34">
        <f t="shared" si="19"/>
        <v>26560.66</v>
      </c>
      <c r="AR26" s="15"/>
      <c r="AS26" s="35">
        <f t="shared" si="20"/>
        <v>30</v>
      </c>
      <c r="AT26" s="34">
        <f t="shared" si="21"/>
        <v>23367.14</v>
      </c>
      <c r="AU26" s="34">
        <f t="shared" si="22"/>
        <v>2336.71</v>
      </c>
      <c r="AV26" s="34">
        <f t="shared" si="23"/>
        <v>25703.85</v>
      </c>
      <c r="AW26" s="15"/>
      <c r="AX26" s="35">
        <f t="shared" si="24"/>
        <v>31</v>
      </c>
      <c r="AY26" s="34">
        <f t="shared" si="25"/>
        <v>24146.05</v>
      </c>
      <c r="AZ26" s="34">
        <f t="shared" si="26"/>
        <v>2414.61</v>
      </c>
      <c r="BA26" s="34">
        <f t="shared" si="27"/>
        <v>26560.66</v>
      </c>
      <c r="BB26" s="15"/>
      <c r="BC26" s="35">
        <f t="shared" si="28"/>
        <v>31</v>
      </c>
      <c r="BD26" s="34">
        <f t="shared" si="29"/>
        <v>24146.05</v>
      </c>
      <c r="BE26" s="34">
        <f t="shared" si="30"/>
        <v>2414.61</v>
      </c>
      <c r="BF26" s="34">
        <f t="shared" si="31"/>
        <v>26560.66</v>
      </c>
      <c r="BG26" s="15"/>
      <c r="BH26" s="35">
        <f t="shared" si="32"/>
        <v>30</v>
      </c>
      <c r="BI26" s="34">
        <f t="shared" si="33"/>
        <v>23367.14</v>
      </c>
      <c r="BJ26" s="34">
        <f t="shared" si="34"/>
        <v>2336.71</v>
      </c>
      <c r="BK26" s="34">
        <f t="shared" si="35"/>
        <v>25703.85</v>
      </c>
      <c r="BL26" s="15"/>
      <c r="BM26" s="35">
        <f t="shared" si="36"/>
        <v>31</v>
      </c>
      <c r="BN26" s="34">
        <f t="shared" si="37"/>
        <v>24146.05</v>
      </c>
      <c r="BO26" s="34">
        <f t="shared" si="38"/>
        <v>2414.61</v>
      </c>
      <c r="BP26" s="34">
        <f t="shared" si="39"/>
        <v>26560.66</v>
      </c>
      <c r="BQ26" s="15"/>
      <c r="BR26" s="35">
        <f t="shared" si="40"/>
        <v>17</v>
      </c>
      <c r="BS26" s="34">
        <f t="shared" si="41"/>
        <v>13241.38</v>
      </c>
      <c r="BT26" s="34">
        <f t="shared" si="42"/>
        <v>1324.14</v>
      </c>
      <c r="BU26" s="34">
        <f t="shared" si="43"/>
        <v>14565.519999999999</v>
      </c>
      <c r="BV26" s="15"/>
      <c r="BW26" s="35">
        <f t="shared" si="44"/>
        <v>0</v>
      </c>
      <c r="BX26" s="34">
        <f t="shared" si="45"/>
        <v>0</v>
      </c>
      <c r="BY26" s="34">
        <f t="shared" si="46"/>
        <v>0</v>
      </c>
      <c r="BZ26" s="34">
        <f t="shared" si="47"/>
        <v>0</v>
      </c>
      <c r="CA26" s="35">
        <f t="shared" si="48"/>
        <v>210</v>
      </c>
      <c r="CB26" s="34">
        <f t="shared" si="49"/>
        <v>163570</v>
      </c>
      <c r="CC26" s="34">
        <f t="shared" si="50"/>
        <v>16357.010000000002</v>
      </c>
      <c r="CD26" s="34">
        <f t="shared" si="51"/>
        <v>179927.01</v>
      </c>
      <c r="CE26" s="16">
        <f t="shared" si="52"/>
        <v>0</v>
      </c>
      <c r="CF26" s="16">
        <f t="shared" si="53"/>
        <v>-0.01</v>
      </c>
      <c r="CG26" s="31" t="s">
        <v>349</v>
      </c>
      <c r="CH26" s="31" t="s">
        <v>350</v>
      </c>
      <c r="CI26" s="31" t="s">
        <v>49</v>
      </c>
      <c r="CJ26" s="31" t="s">
        <v>351</v>
      </c>
      <c r="CK26" s="31" t="s">
        <v>352</v>
      </c>
      <c r="CL26" s="31" t="s">
        <v>353</v>
      </c>
      <c r="CM26" s="29">
        <v>46146</v>
      </c>
      <c r="CN26" s="28">
        <v>910102981</v>
      </c>
      <c r="CO26" s="28"/>
      <c r="CP26" s="28"/>
    </row>
    <row r="27" spans="1:94" ht="40.049999999999997" customHeight="1" x14ac:dyDescent="0.25">
      <c r="A27" s="62">
        <v>76</v>
      </c>
      <c r="B27" s="63">
        <v>150</v>
      </c>
      <c r="C27" s="1" t="s">
        <v>258</v>
      </c>
      <c r="D27" s="2" t="s">
        <v>343</v>
      </c>
      <c r="E27" s="2" t="s">
        <v>373</v>
      </c>
      <c r="F27" s="2" t="s">
        <v>378</v>
      </c>
      <c r="G27" s="2" t="s">
        <v>379</v>
      </c>
      <c r="H27" s="64">
        <v>20.59</v>
      </c>
      <c r="I27" s="1" t="s">
        <v>46</v>
      </c>
      <c r="J27" s="3">
        <v>823</v>
      </c>
      <c r="K27" s="1">
        <v>210</v>
      </c>
      <c r="L27" s="4">
        <v>118619</v>
      </c>
      <c r="M27" s="4">
        <v>11862</v>
      </c>
      <c r="N27" s="4">
        <v>130481</v>
      </c>
      <c r="O27" s="31" t="s">
        <v>380</v>
      </c>
      <c r="P27" s="31" t="s">
        <v>363</v>
      </c>
      <c r="Q27" s="35">
        <f t="shared" si="0"/>
        <v>210</v>
      </c>
      <c r="R27" s="14">
        <v>46154</v>
      </c>
      <c r="S27" s="14">
        <f t="shared" si="1"/>
        <v>46363</v>
      </c>
      <c r="T27" s="34">
        <v>118618.99</v>
      </c>
      <c r="U27" s="34">
        <f t="shared" si="2"/>
        <v>11861.9</v>
      </c>
      <c r="V27" s="34">
        <f t="shared" si="3"/>
        <v>130480.89</v>
      </c>
      <c r="W27" s="35"/>
      <c r="X27" s="14">
        <f t="shared" si="4"/>
        <v>46154</v>
      </c>
      <c r="Y27" s="14" t="str">
        <f t="shared" si="5"/>
        <v/>
      </c>
      <c r="Z27" s="34"/>
      <c r="AA27" s="34">
        <f t="shared" si="6"/>
        <v>0</v>
      </c>
      <c r="AB27" s="34">
        <f t="shared" si="7"/>
        <v>0</v>
      </c>
      <c r="AC27" s="15"/>
      <c r="AD27" s="35">
        <f t="shared" si="8"/>
        <v>0</v>
      </c>
      <c r="AE27" s="34">
        <f t="shared" si="9"/>
        <v>0</v>
      </c>
      <c r="AF27" s="34">
        <f t="shared" si="10"/>
        <v>0</v>
      </c>
      <c r="AG27" s="34">
        <f t="shared" si="11"/>
        <v>0</v>
      </c>
      <c r="AH27" s="15"/>
      <c r="AI27" s="35">
        <f t="shared" si="12"/>
        <v>0</v>
      </c>
      <c r="AJ27" s="34">
        <f t="shared" si="13"/>
        <v>0</v>
      </c>
      <c r="AK27" s="34">
        <f t="shared" si="14"/>
        <v>0</v>
      </c>
      <c r="AL27" s="34">
        <f t="shared" si="15"/>
        <v>0</v>
      </c>
      <c r="AM27" s="15"/>
      <c r="AN27" s="35">
        <f t="shared" si="16"/>
        <v>20</v>
      </c>
      <c r="AO27" s="34">
        <f t="shared" si="17"/>
        <v>11297.05</v>
      </c>
      <c r="AP27" s="34">
        <f t="shared" si="18"/>
        <v>1129.71</v>
      </c>
      <c r="AQ27" s="34">
        <f t="shared" si="19"/>
        <v>12426.759999999998</v>
      </c>
      <c r="AR27" s="15"/>
      <c r="AS27" s="35">
        <f t="shared" si="20"/>
        <v>30</v>
      </c>
      <c r="AT27" s="34">
        <f t="shared" si="21"/>
        <v>16945.57</v>
      </c>
      <c r="AU27" s="34">
        <f t="shared" si="22"/>
        <v>1694.56</v>
      </c>
      <c r="AV27" s="34">
        <f t="shared" si="23"/>
        <v>18640.13</v>
      </c>
      <c r="AW27" s="15"/>
      <c r="AX27" s="35">
        <f t="shared" si="24"/>
        <v>31</v>
      </c>
      <c r="AY27" s="34">
        <f t="shared" si="25"/>
        <v>17510.419999999998</v>
      </c>
      <c r="AZ27" s="34">
        <f t="shared" si="26"/>
        <v>1751.04</v>
      </c>
      <c r="BA27" s="34">
        <f t="shared" si="27"/>
        <v>19261.46</v>
      </c>
      <c r="BB27" s="15"/>
      <c r="BC27" s="35">
        <f t="shared" si="28"/>
        <v>31</v>
      </c>
      <c r="BD27" s="34">
        <f t="shared" si="29"/>
        <v>17510.419999999998</v>
      </c>
      <c r="BE27" s="34">
        <f t="shared" si="30"/>
        <v>1751.04</v>
      </c>
      <c r="BF27" s="34">
        <f t="shared" si="31"/>
        <v>19261.46</v>
      </c>
      <c r="BG27" s="15"/>
      <c r="BH27" s="35">
        <f t="shared" si="32"/>
        <v>30</v>
      </c>
      <c r="BI27" s="34">
        <f t="shared" si="33"/>
        <v>16945.57</v>
      </c>
      <c r="BJ27" s="34">
        <f t="shared" si="34"/>
        <v>1694.56</v>
      </c>
      <c r="BK27" s="34">
        <f t="shared" si="35"/>
        <v>18640.13</v>
      </c>
      <c r="BL27" s="15"/>
      <c r="BM27" s="35">
        <f t="shared" si="36"/>
        <v>31</v>
      </c>
      <c r="BN27" s="34">
        <f t="shared" si="37"/>
        <v>17510.419999999998</v>
      </c>
      <c r="BO27" s="34">
        <f t="shared" si="38"/>
        <v>1751.04</v>
      </c>
      <c r="BP27" s="34">
        <f t="shared" si="39"/>
        <v>19261.46</v>
      </c>
      <c r="BQ27" s="15"/>
      <c r="BR27" s="35">
        <f t="shared" si="40"/>
        <v>30</v>
      </c>
      <c r="BS27" s="34">
        <f t="shared" si="41"/>
        <v>16945.57</v>
      </c>
      <c r="BT27" s="34">
        <f t="shared" si="42"/>
        <v>1694.56</v>
      </c>
      <c r="BU27" s="34">
        <f t="shared" si="43"/>
        <v>18640.13</v>
      </c>
      <c r="BV27" s="15"/>
      <c r="BW27" s="35">
        <f t="shared" si="44"/>
        <v>7</v>
      </c>
      <c r="BX27" s="34">
        <f t="shared" si="45"/>
        <v>3953.97</v>
      </c>
      <c r="BY27" s="34">
        <f t="shared" si="46"/>
        <v>395.4</v>
      </c>
      <c r="BZ27" s="34">
        <f t="shared" si="47"/>
        <v>4349.37</v>
      </c>
      <c r="CA27" s="35">
        <f t="shared" si="48"/>
        <v>210</v>
      </c>
      <c r="CB27" s="34">
        <f t="shared" si="49"/>
        <v>118618.98999999999</v>
      </c>
      <c r="CC27" s="34">
        <f t="shared" si="50"/>
        <v>11861.91</v>
      </c>
      <c r="CD27" s="34">
        <f t="shared" si="51"/>
        <v>130480.9</v>
      </c>
      <c r="CE27" s="16">
        <f t="shared" si="52"/>
        <v>0</v>
      </c>
      <c r="CF27" s="16">
        <f t="shared" si="53"/>
        <v>-0.01</v>
      </c>
      <c r="CG27" s="31" t="s">
        <v>349</v>
      </c>
      <c r="CH27" s="31" t="s">
        <v>350</v>
      </c>
      <c r="CI27" s="31" t="s">
        <v>49</v>
      </c>
      <c r="CJ27" s="31" t="s">
        <v>351</v>
      </c>
      <c r="CK27" s="31" t="s">
        <v>352</v>
      </c>
      <c r="CL27" s="31" t="s">
        <v>353</v>
      </c>
      <c r="CM27" s="29">
        <v>46146</v>
      </c>
      <c r="CN27" s="28">
        <v>910102981</v>
      </c>
      <c r="CO27" s="28"/>
      <c r="CP27" s="28"/>
    </row>
    <row r="28" spans="1:94" ht="40.049999999999997" customHeight="1" x14ac:dyDescent="0.25">
      <c r="A28" s="62">
        <v>77</v>
      </c>
      <c r="B28" s="63">
        <v>150</v>
      </c>
      <c r="C28" s="1" t="s">
        <v>258</v>
      </c>
      <c r="D28" s="2" t="s">
        <v>343</v>
      </c>
      <c r="E28" s="2" t="s">
        <v>373</v>
      </c>
      <c r="F28" s="2" t="s">
        <v>381</v>
      </c>
      <c r="G28" s="2" t="s">
        <v>382</v>
      </c>
      <c r="H28" s="64">
        <v>13.536</v>
      </c>
      <c r="I28" s="1" t="s">
        <v>46</v>
      </c>
      <c r="J28" s="3">
        <v>862</v>
      </c>
      <c r="K28" s="1">
        <v>210</v>
      </c>
      <c r="L28" s="4">
        <v>81677</v>
      </c>
      <c r="M28" s="4">
        <v>8168</v>
      </c>
      <c r="N28" s="4">
        <v>89845</v>
      </c>
      <c r="O28" s="31" t="s">
        <v>383</v>
      </c>
      <c r="P28" s="31" t="s">
        <v>384</v>
      </c>
      <c r="Q28" s="35">
        <f t="shared" si="0"/>
        <v>210</v>
      </c>
      <c r="R28" s="14">
        <v>46133</v>
      </c>
      <c r="S28" s="14">
        <f t="shared" si="1"/>
        <v>46342</v>
      </c>
      <c r="T28" s="34">
        <v>81676.22</v>
      </c>
      <c r="U28" s="34">
        <f t="shared" si="2"/>
        <v>8167.62</v>
      </c>
      <c r="V28" s="34">
        <f t="shared" si="3"/>
        <v>89843.839999999997</v>
      </c>
      <c r="W28" s="35"/>
      <c r="X28" s="14">
        <f t="shared" si="4"/>
        <v>46133</v>
      </c>
      <c r="Y28" s="14" t="str">
        <f t="shared" si="5"/>
        <v/>
      </c>
      <c r="Z28" s="34"/>
      <c r="AA28" s="34">
        <f t="shared" si="6"/>
        <v>0</v>
      </c>
      <c r="AB28" s="34">
        <f t="shared" si="7"/>
        <v>0</v>
      </c>
      <c r="AC28" s="15"/>
      <c r="AD28" s="35">
        <f t="shared" si="8"/>
        <v>0</v>
      </c>
      <c r="AE28" s="34">
        <f t="shared" si="9"/>
        <v>0</v>
      </c>
      <c r="AF28" s="34">
        <f t="shared" si="10"/>
        <v>0</v>
      </c>
      <c r="AG28" s="34">
        <f t="shared" si="11"/>
        <v>0</v>
      </c>
      <c r="AH28" s="15"/>
      <c r="AI28" s="35">
        <f t="shared" si="12"/>
        <v>10</v>
      </c>
      <c r="AJ28" s="34">
        <f t="shared" si="13"/>
        <v>3889.34</v>
      </c>
      <c r="AK28" s="34">
        <f t="shared" si="14"/>
        <v>388.93</v>
      </c>
      <c r="AL28" s="34">
        <f t="shared" si="15"/>
        <v>4278.2700000000004</v>
      </c>
      <c r="AM28" s="15"/>
      <c r="AN28" s="35">
        <f t="shared" si="16"/>
        <v>31</v>
      </c>
      <c r="AO28" s="34">
        <f t="shared" si="17"/>
        <v>12056.97</v>
      </c>
      <c r="AP28" s="34">
        <f t="shared" si="18"/>
        <v>1205.7</v>
      </c>
      <c r="AQ28" s="34">
        <f t="shared" si="19"/>
        <v>13262.67</v>
      </c>
      <c r="AR28" s="15"/>
      <c r="AS28" s="35">
        <f t="shared" si="20"/>
        <v>30</v>
      </c>
      <c r="AT28" s="34">
        <f t="shared" si="21"/>
        <v>11668.03</v>
      </c>
      <c r="AU28" s="34">
        <f t="shared" si="22"/>
        <v>1166.8</v>
      </c>
      <c r="AV28" s="34">
        <f t="shared" si="23"/>
        <v>12834.83</v>
      </c>
      <c r="AW28" s="15"/>
      <c r="AX28" s="35">
        <f t="shared" si="24"/>
        <v>31</v>
      </c>
      <c r="AY28" s="34">
        <f t="shared" si="25"/>
        <v>12056.97</v>
      </c>
      <c r="AZ28" s="34">
        <f t="shared" si="26"/>
        <v>1205.7</v>
      </c>
      <c r="BA28" s="34">
        <f t="shared" si="27"/>
        <v>13262.67</v>
      </c>
      <c r="BB28" s="15"/>
      <c r="BC28" s="35">
        <f t="shared" si="28"/>
        <v>31</v>
      </c>
      <c r="BD28" s="34">
        <f t="shared" si="29"/>
        <v>12056.97</v>
      </c>
      <c r="BE28" s="34">
        <f t="shared" si="30"/>
        <v>1205.7</v>
      </c>
      <c r="BF28" s="34">
        <f t="shared" si="31"/>
        <v>13262.67</v>
      </c>
      <c r="BG28" s="15"/>
      <c r="BH28" s="35">
        <f t="shared" si="32"/>
        <v>30</v>
      </c>
      <c r="BI28" s="34">
        <f t="shared" si="33"/>
        <v>11668.03</v>
      </c>
      <c r="BJ28" s="34">
        <f t="shared" si="34"/>
        <v>1166.8</v>
      </c>
      <c r="BK28" s="34">
        <f t="shared" si="35"/>
        <v>12834.83</v>
      </c>
      <c r="BL28" s="15"/>
      <c r="BM28" s="35">
        <f t="shared" si="36"/>
        <v>31</v>
      </c>
      <c r="BN28" s="34">
        <f t="shared" si="37"/>
        <v>12056.97</v>
      </c>
      <c r="BO28" s="34">
        <f t="shared" si="38"/>
        <v>1205.7</v>
      </c>
      <c r="BP28" s="34">
        <f t="shared" si="39"/>
        <v>13262.67</v>
      </c>
      <c r="BQ28" s="15"/>
      <c r="BR28" s="35">
        <f t="shared" si="40"/>
        <v>16</v>
      </c>
      <c r="BS28" s="34">
        <f t="shared" si="41"/>
        <v>6222.95</v>
      </c>
      <c r="BT28" s="34">
        <f t="shared" si="42"/>
        <v>622.29999999999995</v>
      </c>
      <c r="BU28" s="34">
        <f t="shared" si="43"/>
        <v>6845.25</v>
      </c>
      <c r="BV28" s="15"/>
      <c r="BW28" s="35">
        <f t="shared" si="44"/>
        <v>0</v>
      </c>
      <c r="BX28" s="34">
        <f t="shared" si="45"/>
        <v>0</v>
      </c>
      <c r="BY28" s="34">
        <f t="shared" si="46"/>
        <v>0</v>
      </c>
      <c r="BZ28" s="34">
        <f t="shared" si="47"/>
        <v>0</v>
      </c>
      <c r="CA28" s="35">
        <f t="shared" si="48"/>
        <v>210</v>
      </c>
      <c r="CB28" s="34">
        <f t="shared" si="49"/>
        <v>81676.23</v>
      </c>
      <c r="CC28" s="34">
        <f t="shared" si="50"/>
        <v>8167.63</v>
      </c>
      <c r="CD28" s="34">
        <f t="shared" si="51"/>
        <v>89843.86</v>
      </c>
      <c r="CE28" s="16">
        <f t="shared" si="52"/>
        <v>-0.01</v>
      </c>
      <c r="CF28" s="16">
        <f t="shared" si="53"/>
        <v>-0.01</v>
      </c>
      <c r="CG28" s="31" t="s">
        <v>349</v>
      </c>
      <c r="CH28" s="31" t="s">
        <v>350</v>
      </c>
      <c r="CI28" s="31" t="s">
        <v>49</v>
      </c>
      <c r="CJ28" s="31" t="s">
        <v>351</v>
      </c>
      <c r="CK28" s="31" t="s">
        <v>352</v>
      </c>
      <c r="CL28" s="31" t="s">
        <v>353</v>
      </c>
      <c r="CM28" s="29">
        <v>46146</v>
      </c>
      <c r="CN28" s="28">
        <v>910102981</v>
      </c>
      <c r="CO28" s="28"/>
      <c r="CP28" s="28"/>
    </row>
    <row r="29" spans="1:94" ht="40.049999999999997" customHeight="1" x14ac:dyDescent="0.25">
      <c r="A29" s="62">
        <v>78</v>
      </c>
      <c r="B29" s="63">
        <v>150</v>
      </c>
      <c r="C29" s="1" t="s">
        <v>258</v>
      </c>
      <c r="D29" s="2" t="s">
        <v>343</v>
      </c>
      <c r="E29" s="2" t="s">
        <v>373</v>
      </c>
      <c r="F29" s="2" t="s">
        <v>385</v>
      </c>
      <c r="G29" s="2" t="s">
        <v>386</v>
      </c>
      <c r="H29" s="64">
        <v>13.045999999999999</v>
      </c>
      <c r="I29" s="1" t="s">
        <v>46</v>
      </c>
      <c r="J29" s="3">
        <v>866</v>
      </c>
      <c r="K29" s="1">
        <v>210</v>
      </c>
      <c r="L29" s="4">
        <v>79085</v>
      </c>
      <c r="M29" s="4">
        <v>7909</v>
      </c>
      <c r="N29" s="4">
        <v>86994</v>
      </c>
      <c r="O29" s="31" t="s">
        <v>387</v>
      </c>
      <c r="P29" s="31" t="s">
        <v>388</v>
      </c>
      <c r="Q29" s="35">
        <f t="shared" si="0"/>
        <v>210</v>
      </c>
      <c r="R29" s="14">
        <v>46133</v>
      </c>
      <c r="S29" s="14">
        <f t="shared" si="1"/>
        <v>46342</v>
      </c>
      <c r="T29" s="34">
        <v>79085</v>
      </c>
      <c r="U29" s="34">
        <f t="shared" si="2"/>
        <v>7908.5</v>
      </c>
      <c r="V29" s="34">
        <f t="shared" si="3"/>
        <v>86993.5</v>
      </c>
      <c r="W29" s="35"/>
      <c r="X29" s="14">
        <f t="shared" si="4"/>
        <v>46133</v>
      </c>
      <c r="Y29" s="14" t="str">
        <f t="shared" si="5"/>
        <v/>
      </c>
      <c r="Z29" s="34"/>
      <c r="AA29" s="34">
        <f t="shared" si="6"/>
        <v>0</v>
      </c>
      <c r="AB29" s="34">
        <f t="shared" si="7"/>
        <v>0</v>
      </c>
      <c r="AC29" s="15"/>
      <c r="AD29" s="35">
        <f t="shared" si="8"/>
        <v>0</v>
      </c>
      <c r="AE29" s="34">
        <f t="shared" si="9"/>
        <v>0</v>
      </c>
      <c r="AF29" s="34">
        <f t="shared" si="10"/>
        <v>0</v>
      </c>
      <c r="AG29" s="34">
        <f t="shared" si="11"/>
        <v>0</v>
      </c>
      <c r="AH29" s="15"/>
      <c r="AI29" s="35">
        <f t="shared" si="12"/>
        <v>10</v>
      </c>
      <c r="AJ29" s="34">
        <f t="shared" si="13"/>
        <v>3765.95</v>
      </c>
      <c r="AK29" s="34">
        <f t="shared" si="14"/>
        <v>376.6</v>
      </c>
      <c r="AL29" s="34">
        <f t="shared" si="15"/>
        <v>4142.55</v>
      </c>
      <c r="AM29" s="15"/>
      <c r="AN29" s="35">
        <f t="shared" si="16"/>
        <v>31</v>
      </c>
      <c r="AO29" s="34">
        <f t="shared" si="17"/>
        <v>11674.45</v>
      </c>
      <c r="AP29" s="34">
        <f t="shared" si="18"/>
        <v>1167.45</v>
      </c>
      <c r="AQ29" s="34">
        <f t="shared" si="19"/>
        <v>12841.900000000001</v>
      </c>
      <c r="AR29" s="15"/>
      <c r="AS29" s="35">
        <f t="shared" si="20"/>
        <v>30</v>
      </c>
      <c r="AT29" s="34">
        <f t="shared" si="21"/>
        <v>11297.86</v>
      </c>
      <c r="AU29" s="34">
        <f t="shared" si="22"/>
        <v>1129.79</v>
      </c>
      <c r="AV29" s="34">
        <f t="shared" si="23"/>
        <v>12427.650000000001</v>
      </c>
      <c r="AW29" s="15"/>
      <c r="AX29" s="35">
        <f t="shared" si="24"/>
        <v>31</v>
      </c>
      <c r="AY29" s="34">
        <f t="shared" si="25"/>
        <v>11674.45</v>
      </c>
      <c r="AZ29" s="34">
        <f t="shared" si="26"/>
        <v>1167.45</v>
      </c>
      <c r="BA29" s="34">
        <f t="shared" si="27"/>
        <v>12841.900000000001</v>
      </c>
      <c r="BB29" s="15"/>
      <c r="BC29" s="35">
        <f t="shared" si="28"/>
        <v>31</v>
      </c>
      <c r="BD29" s="34">
        <f t="shared" si="29"/>
        <v>11674.45</v>
      </c>
      <c r="BE29" s="34">
        <f t="shared" si="30"/>
        <v>1167.45</v>
      </c>
      <c r="BF29" s="34">
        <f t="shared" si="31"/>
        <v>12841.900000000001</v>
      </c>
      <c r="BG29" s="15"/>
      <c r="BH29" s="35">
        <f t="shared" si="32"/>
        <v>30</v>
      </c>
      <c r="BI29" s="34">
        <f t="shared" si="33"/>
        <v>11297.86</v>
      </c>
      <c r="BJ29" s="34">
        <f t="shared" si="34"/>
        <v>1129.79</v>
      </c>
      <c r="BK29" s="34">
        <f t="shared" si="35"/>
        <v>12427.650000000001</v>
      </c>
      <c r="BL29" s="15"/>
      <c r="BM29" s="35">
        <f t="shared" si="36"/>
        <v>31</v>
      </c>
      <c r="BN29" s="34">
        <f t="shared" si="37"/>
        <v>11674.45</v>
      </c>
      <c r="BO29" s="34">
        <f t="shared" si="38"/>
        <v>1167.45</v>
      </c>
      <c r="BP29" s="34">
        <f t="shared" si="39"/>
        <v>12841.900000000001</v>
      </c>
      <c r="BQ29" s="15"/>
      <c r="BR29" s="35">
        <f t="shared" si="40"/>
        <v>16</v>
      </c>
      <c r="BS29" s="34">
        <f t="shared" si="41"/>
        <v>6025.52</v>
      </c>
      <c r="BT29" s="34">
        <f t="shared" si="42"/>
        <v>602.54999999999995</v>
      </c>
      <c r="BU29" s="34">
        <f t="shared" si="43"/>
        <v>6628.0700000000006</v>
      </c>
      <c r="BV29" s="15"/>
      <c r="BW29" s="35">
        <f t="shared" si="44"/>
        <v>0</v>
      </c>
      <c r="BX29" s="34">
        <f t="shared" si="45"/>
        <v>0</v>
      </c>
      <c r="BY29" s="34">
        <f t="shared" si="46"/>
        <v>0</v>
      </c>
      <c r="BZ29" s="34">
        <f t="shared" si="47"/>
        <v>0</v>
      </c>
      <c r="CA29" s="35">
        <f t="shared" si="48"/>
        <v>210</v>
      </c>
      <c r="CB29" s="34">
        <f t="shared" si="49"/>
        <v>79084.990000000005</v>
      </c>
      <c r="CC29" s="34">
        <f t="shared" si="50"/>
        <v>7908.53</v>
      </c>
      <c r="CD29" s="34">
        <f t="shared" si="51"/>
        <v>86993.52</v>
      </c>
      <c r="CE29" s="16">
        <f t="shared" si="52"/>
        <v>0.01</v>
      </c>
      <c r="CF29" s="16">
        <f t="shared" si="53"/>
        <v>-0.03</v>
      </c>
      <c r="CG29" s="31" t="s">
        <v>349</v>
      </c>
      <c r="CH29" s="31" t="s">
        <v>350</v>
      </c>
      <c r="CI29" s="31" t="s">
        <v>49</v>
      </c>
      <c r="CJ29" s="31" t="s">
        <v>351</v>
      </c>
      <c r="CK29" s="31" t="s">
        <v>352</v>
      </c>
      <c r="CL29" s="31" t="s">
        <v>353</v>
      </c>
      <c r="CM29" s="29">
        <v>46146</v>
      </c>
      <c r="CN29" s="28">
        <v>910102981</v>
      </c>
      <c r="CO29" s="28"/>
      <c r="CP29" s="28"/>
    </row>
    <row r="30" spans="1:94" ht="40.049999999999997" customHeight="1" x14ac:dyDescent="0.25">
      <c r="A30" s="62">
        <v>79</v>
      </c>
      <c r="B30" s="63">
        <v>150</v>
      </c>
      <c r="C30" s="1" t="s">
        <v>258</v>
      </c>
      <c r="D30" s="2" t="s">
        <v>343</v>
      </c>
      <c r="E30" s="2" t="s">
        <v>389</v>
      </c>
      <c r="F30" s="2" t="s">
        <v>390</v>
      </c>
      <c r="G30" s="2" t="s">
        <v>391</v>
      </c>
      <c r="H30" s="64">
        <v>22.372</v>
      </c>
      <c r="I30" s="1" t="s">
        <v>46</v>
      </c>
      <c r="J30" s="3">
        <v>900</v>
      </c>
      <c r="K30" s="1">
        <v>210</v>
      </c>
      <c r="L30" s="4">
        <v>140944</v>
      </c>
      <c r="M30" s="4">
        <v>14095</v>
      </c>
      <c r="N30" s="4">
        <v>155039</v>
      </c>
      <c r="O30" s="31" t="s">
        <v>392</v>
      </c>
      <c r="P30" s="31" t="s">
        <v>377</v>
      </c>
      <c r="Q30" s="35">
        <f t="shared" si="0"/>
        <v>210</v>
      </c>
      <c r="R30" s="14">
        <v>46134</v>
      </c>
      <c r="S30" s="14">
        <f t="shared" si="1"/>
        <v>46343</v>
      </c>
      <c r="T30" s="34">
        <v>140943.6</v>
      </c>
      <c r="U30" s="34">
        <f t="shared" si="2"/>
        <v>14094.36</v>
      </c>
      <c r="V30" s="34">
        <f t="shared" si="3"/>
        <v>155037.96000000002</v>
      </c>
      <c r="W30" s="35"/>
      <c r="X30" s="14">
        <f t="shared" si="4"/>
        <v>46134</v>
      </c>
      <c r="Y30" s="14" t="str">
        <f t="shared" si="5"/>
        <v/>
      </c>
      <c r="Z30" s="34"/>
      <c r="AA30" s="34">
        <f t="shared" si="6"/>
        <v>0</v>
      </c>
      <c r="AB30" s="34">
        <f t="shared" si="7"/>
        <v>0</v>
      </c>
      <c r="AC30" s="15"/>
      <c r="AD30" s="35">
        <f t="shared" si="8"/>
        <v>0</v>
      </c>
      <c r="AE30" s="34">
        <f t="shared" si="9"/>
        <v>0</v>
      </c>
      <c r="AF30" s="34">
        <f t="shared" si="10"/>
        <v>0</v>
      </c>
      <c r="AG30" s="34">
        <f t="shared" si="11"/>
        <v>0</v>
      </c>
      <c r="AH30" s="15"/>
      <c r="AI30" s="35">
        <f t="shared" si="12"/>
        <v>9</v>
      </c>
      <c r="AJ30" s="34">
        <f t="shared" si="13"/>
        <v>6040.44</v>
      </c>
      <c r="AK30" s="34">
        <f t="shared" si="14"/>
        <v>604.04</v>
      </c>
      <c r="AL30" s="34">
        <f t="shared" si="15"/>
        <v>6644.48</v>
      </c>
      <c r="AM30" s="15"/>
      <c r="AN30" s="35">
        <f t="shared" si="16"/>
        <v>31</v>
      </c>
      <c r="AO30" s="34">
        <f t="shared" si="17"/>
        <v>20805.96</v>
      </c>
      <c r="AP30" s="34">
        <f t="shared" si="18"/>
        <v>2080.6</v>
      </c>
      <c r="AQ30" s="34">
        <f t="shared" si="19"/>
        <v>22886.559999999998</v>
      </c>
      <c r="AR30" s="15"/>
      <c r="AS30" s="35">
        <f t="shared" si="20"/>
        <v>30</v>
      </c>
      <c r="AT30" s="34">
        <f t="shared" si="21"/>
        <v>20134.8</v>
      </c>
      <c r="AU30" s="34">
        <f t="shared" si="22"/>
        <v>2013.48</v>
      </c>
      <c r="AV30" s="34">
        <f t="shared" si="23"/>
        <v>22148.28</v>
      </c>
      <c r="AW30" s="15"/>
      <c r="AX30" s="35">
        <f t="shared" si="24"/>
        <v>31</v>
      </c>
      <c r="AY30" s="34">
        <f t="shared" si="25"/>
        <v>20805.96</v>
      </c>
      <c r="AZ30" s="34">
        <f t="shared" si="26"/>
        <v>2080.6</v>
      </c>
      <c r="BA30" s="34">
        <f t="shared" si="27"/>
        <v>22886.559999999998</v>
      </c>
      <c r="BB30" s="15"/>
      <c r="BC30" s="35">
        <f t="shared" si="28"/>
        <v>31</v>
      </c>
      <c r="BD30" s="34">
        <f t="shared" si="29"/>
        <v>20805.96</v>
      </c>
      <c r="BE30" s="34">
        <f t="shared" si="30"/>
        <v>2080.6</v>
      </c>
      <c r="BF30" s="34">
        <f t="shared" si="31"/>
        <v>22886.559999999998</v>
      </c>
      <c r="BG30" s="15"/>
      <c r="BH30" s="35">
        <f t="shared" si="32"/>
        <v>30</v>
      </c>
      <c r="BI30" s="34">
        <f t="shared" si="33"/>
        <v>20134.8</v>
      </c>
      <c r="BJ30" s="34">
        <f t="shared" si="34"/>
        <v>2013.48</v>
      </c>
      <c r="BK30" s="34">
        <f t="shared" si="35"/>
        <v>22148.28</v>
      </c>
      <c r="BL30" s="15"/>
      <c r="BM30" s="35">
        <f t="shared" si="36"/>
        <v>31</v>
      </c>
      <c r="BN30" s="34">
        <f t="shared" si="37"/>
        <v>20805.96</v>
      </c>
      <c r="BO30" s="34">
        <f t="shared" si="38"/>
        <v>2080.6</v>
      </c>
      <c r="BP30" s="34">
        <f t="shared" si="39"/>
        <v>22886.559999999998</v>
      </c>
      <c r="BQ30" s="15"/>
      <c r="BR30" s="35">
        <f t="shared" si="40"/>
        <v>17</v>
      </c>
      <c r="BS30" s="34">
        <f t="shared" si="41"/>
        <v>11409.72</v>
      </c>
      <c r="BT30" s="34">
        <f t="shared" si="42"/>
        <v>1140.97</v>
      </c>
      <c r="BU30" s="34">
        <f t="shared" si="43"/>
        <v>12550.689999999999</v>
      </c>
      <c r="BV30" s="15"/>
      <c r="BW30" s="35">
        <f t="shared" si="44"/>
        <v>0</v>
      </c>
      <c r="BX30" s="34">
        <f t="shared" si="45"/>
        <v>0</v>
      </c>
      <c r="BY30" s="34">
        <f t="shared" si="46"/>
        <v>0</v>
      </c>
      <c r="BZ30" s="34">
        <f t="shared" si="47"/>
        <v>0</v>
      </c>
      <c r="CA30" s="35">
        <f t="shared" si="48"/>
        <v>210</v>
      </c>
      <c r="CB30" s="34">
        <f t="shared" si="49"/>
        <v>140943.6</v>
      </c>
      <c r="CC30" s="34">
        <f t="shared" si="50"/>
        <v>14094.369999999999</v>
      </c>
      <c r="CD30" s="34">
        <f t="shared" si="51"/>
        <v>155037.97</v>
      </c>
      <c r="CE30" s="16">
        <f t="shared" si="52"/>
        <v>0</v>
      </c>
      <c r="CF30" s="16">
        <f t="shared" si="53"/>
        <v>-0.01</v>
      </c>
      <c r="CG30" s="31" t="s">
        <v>349</v>
      </c>
      <c r="CH30" s="31" t="s">
        <v>350</v>
      </c>
      <c r="CI30" s="31" t="s">
        <v>49</v>
      </c>
      <c r="CJ30" s="31" t="s">
        <v>351</v>
      </c>
      <c r="CK30" s="31" t="s">
        <v>352</v>
      </c>
      <c r="CL30" s="31" t="s">
        <v>353</v>
      </c>
      <c r="CM30" s="29">
        <v>46146</v>
      </c>
      <c r="CN30" s="28">
        <v>910102981</v>
      </c>
      <c r="CO30" s="28"/>
      <c r="CP30" s="28"/>
    </row>
    <row r="31" spans="1:94" ht="40.049999999999997" customHeight="1" x14ac:dyDescent="0.25">
      <c r="A31" s="62">
        <v>80</v>
      </c>
      <c r="B31" s="63">
        <v>150</v>
      </c>
      <c r="C31" s="1" t="s">
        <v>258</v>
      </c>
      <c r="D31" s="2" t="s">
        <v>343</v>
      </c>
      <c r="E31" s="2" t="s">
        <v>393</v>
      </c>
      <c r="F31" s="2" t="s">
        <v>394</v>
      </c>
      <c r="G31" s="2" t="s">
        <v>395</v>
      </c>
      <c r="H31" s="64">
        <v>10.592000000000001</v>
      </c>
      <c r="I31" s="1" t="s">
        <v>46</v>
      </c>
      <c r="J31" s="3">
        <v>885</v>
      </c>
      <c r="K31" s="1">
        <v>210</v>
      </c>
      <c r="L31" s="4">
        <v>65618</v>
      </c>
      <c r="M31" s="4">
        <v>6562</v>
      </c>
      <c r="N31" s="4">
        <v>72180</v>
      </c>
      <c r="O31" s="31" t="s">
        <v>396</v>
      </c>
      <c r="P31" s="31" t="s">
        <v>397</v>
      </c>
      <c r="Q31" s="35">
        <f t="shared" si="0"/>
        <v>210</v>
      </c>
      <c r="R31" s="14">
        <v>46134</v>
      </c>
      <c r="S31" s="14">
        <f t="shared" si="1"/>
        <v>46343</v>
      </c>
      <c r="T31" s="34">
        <v>65617</v>
      </c>
      <c r="U31" s="34">
        <f t="shared" si="2"/>
        <v>6561.7</v>
      </c>
      <c r="V31" s="34">
        <f t="shared" si="3"/>
        <v>72178.7</v>
      </c>
      <c r="W31" s="35"/>
      <c r="X31" s="14">
        <f t="shared" si="4"/>
        <v>46134</v>
      </c>
      <c r="Y31" s="14" t="str">
        <f t="shared" si="5"/>
        <v/>
      </c>
      <c r="Z31" s="34"/>
      <c r="AA31" s="34">
        <f t="shared" si="6"/>
        <v>0</v>
      </c>
      <c r="AB31" s="34">
        <f t="shared" si="7"/>
        <v>0</v>
      </c>
      <c r="AC31" s="15"/>
      <c r="AD31" s="35">
        <f t="shared" si="8"/>
        <v>0</v>
      </c>
      <c r="AE31" s="34">
        <f t="shared" si="9"/>
        <v>0</v>
      </c>
      <c r="AF31" s="34">
        <f t="shared" si="10"/>
        <v>0</v>
      </c>
      <c r="AG31" s="34">
        <f t="shared" si="11"/>
        <v>0</v>
      </c>
      <c r="AH31" s="15"/>
      <c r="AI31" s="35">
        <f t="shared" si="12"/>
        <v>9</v>
      </c>
      <c r="AJ31" s="34">
        <f t="shared" si="13"/>
        <v>2812.16</v>
      </c>
      <c r="AK31" s="34">
        <f t="shared" si="14"/>
        <v>281.22000000000003</v>
      </c>
      <c r="AL31" s="34">
        <f t="shared" si="15"/>
        <v>3093.38</v>
      </c>
      <c r="AM31" s="15"/>
      <c r="AN31" s="35">
        <f t="shared" si="16"/>
        <v>31</v>
      </c>
      <c r="AO31" s="34">
        <f t="shared" si="17"/>
        <v>9686.32</v>
      </c>
      <c r="AP31" s="34">
        <f t="shared" si="18"/>
        <v>968.63</v>
      </c>
      <c r="AQ31" s="34">
        <f t="shared" si="19"/>
        <v>10654.949999999999</v>
      </c>
      <c r="AR31" s="15"/>
      <c r="AS31" s="35">
        <f t="shared" si="20"/>
        <v>30</v>
      </c>
      <c r="AT31" s="34">
        <f t="shared" si="21"/>
        <v>9373.86</v>
      </c>
      <c r="AU31" s="34">
        <f t="shared" si="22"/>
        <v>937.39</v>
      </c>
      <c r="AV31" s="34">
        <f t="shared" si="23"/>
        <v>10311.25</v>
      </c>
      <c r="AW31" s="15"/>
      <c r="AX31" s="35">
        <f t="shared" si="24"/>
        <v>31</v>
      </c>
      <c r="AY31" s="34">
        <f t="shared" si="25"/>
        <v>9686.32</v>
      </c>
      <c r="AZ31" s="34">
        <f t="shared" si="26"/>
        <v>968.63</v>
      </c>
      <c r="BA31" s="34">
        <f t="shared" si="27"/>
        <v>10654.949999999999</v>
      </c>
      <c r="BB31" s="15"/>
      <c r="BC31" s="35">
        <f t="shared" si="28"/>
        <v>31</v>
      </c>
      <c r="BD31" s="34">
        <f t="shared" si="29"/>
        <v>9686.32</v>
      </c>
      <c r="BE31" s="34">
        <f t="shared" si="30"/>
        <v>968.63</v>
      </c>
      <c r="BF31" s="34">
        <f t="shared" si="31"/>
        <v>10654.949999999999</v>
      </c>
      <c r="BG31" s="15"/>
      <c r="BH31" s="35">
        <f t="shared" si="32"/>
        <v>30</v>
      </c>
      <c r="BI31" s="34">
        <f t="shared" si="33"/>
        <v>9373.86</v>
      </c>
      <c r="BJ31" s="34">
        <f t="shared" si="34"/>
        <v>937.39</v>
      </c>
      <c r="BK31" s="34">
        <f t="shared" si="35"/>
        <v>10311.25</v>
      </c>
      <c r="BL31" s="15"/>
      <c r="BM31" s="35">
        <f t="shared" si="36"/>
        <v>31</v>
      </c>
      <c r="BN31" s="34">
        <f t="shared" si="37"/>
        <v>9686.32</v>
      </c>
      <c r="BO31" s="34">
        <f t="shared" si="38"/>
        <v>968.63</v>
      </c>
      <c r="BP31" s="34">
        <f t="shared" si="39"/>
        <v>10654.949999999999</v>
      </c>
      <c r="BQ31" s="15"/>
      <c r="BR31" s="35">
        <f t="shared" si="40"/>
        <v>17</v>
      </c>
      <c r="BS31" s="34">
        <f t="shared" si="41"/>
        <v>5311.85</v>
      </c>
      <c r="BT31" s="34">
        <f t="shared" si="42"/>
        <v>531.19000000000005</v>
      </c>
      <c r="BU31" s="34">
        <f t="shared" si="43"/>
        <v>5843.0400000000009</v>
      </c>
      <c r="BV31" s="15"/>
      <c r="BW31" s="35">
        <f t="shared" si="44"/>
        <v>0</v>
      </c>
      <c r="BX31" s="34">
        <f t="shared" si="45"/>
        <v>0</v>
      </c>
      <c r="BY31" s="34">
        <f t="shared" si="46"/>
        <v>0</v>
      </c>
      <c r="BZ31" s="34">
        <f t="shared" si="47"/>
        <v>0</v>
      </c>
      <c r="CA31" s="35">
        <f t="shared" si="48"/>
        <v>210</v>
      </c>
      <c r="CB31" s="34">
        <f t="shared" si="49"/>
        <v>65617.009999999995</v>
      </c>
      <c r="CC31" s="34">
        <f t="shared" si="50"/>
        <v>6561.7100000000009</v>
      </c>
      <c r="CD31" s="34">
        <f t="shared" si="51"/>
        <v>72178.720000000001</v>
      </c>
      <c r="CE31" s="16">
        <f t="shared" si="52"/>
        <v>-0.01</v>
      </c>
      <c r="CF31" s="16">
        <f t="shared" si="53"/>
        <v>-0.01</v>
      </c>
      <c r="CG31" s="31" t="s">
        <v>349</v>
      </c>
      <c r="CH31" s="31" t="s">
        <v>350</v>
      </c>
      <c r="CI31" s="31" t="s">
        <v>49</v>
      </c>
      <c r="CJ31" s="31" t="s">
        <v>351</v>
      </c>
      <c r="CK31" s="31" t="s">
        <v>352</v>
      </c>
      <c r="CL31" s="31" t="s">
        <v>353</v>
      </c>
      <c r="CM31" s="29">
        <v>46146</v>
      </c>
      <c r="CN31" s="28">
        <v>910102981</v>
      </c>
      <c r="CO31" s="28"/>
      <c r="CP31" s="28"/>
    </row>
    <row r="32" spans="1:94" ht="40.049999999999997" customHeight="1" x14ac:dyDescent="0.25">
      <c r="A32" s="62">
        <v>81</v>
      </c>
      <c r="B32" s="63">
        <v>150</v>
      </c>
      <c r="C32" s="1" t="s">
        <v>258</v>
      </c>
      <c r="D32" s="2" t="s">
        <v>343</v>
      </c>
      <c r="E32" s="2" t="s">
        <v>364</v>
      </c>
      <c r="F32" s="2" t="s">
        <v>328</v>
      </c>
      <c r="G32" s="2" t="s">
        <v>398</v>
      </c>
      <c r="H32" s="64">
        <v>10.36</v>
      </c>
      <c r="I32" s="1" t="s">
        <v>46</v>
      </c>
      <c r="J32" s="3">
        <v>988</v>
      </c>
      <c r="K32" s="1">
        <v>210</v>
      </c>
      <c r="L32" s="4">
        <v>71650</v>
      </c>
      <c r="M32" s="4">
        <v>7165</v>
      </c>
      <c r="N32" s="4">
        <v>78815</v>
      </c>
      <c r="O32" s="31" t="s">
        <v>399</v>
      </c>
      <c r="P32" s="31" t="s">
        <v>348</v>
      </c>
      <c r="Q32" s="35">
        <f t="shared" si="0"/>
        <v>210</v>
      </c>
      <c r="R32" s="14">
        <v>46133</v>
      </c>
      <c r="S32" s="14">
        <f t="shared" si="1"/>
        <v>46342</v>
      </c>
      <c r="T32" s="34">
        <v>71650</v>
      </c>
      <c r="U32" s="34">
        <f t="shared" si="2"/>
        <v>7165</v>
      </c>
      <c r="V32" s="34">
        <f t="shared" si="3"/>
        <v>78815</v>
      </c>
      <c r="W32" s="35"/>
      <c r="X32" s="14">
        <f t="shared" si="4"/>
        <v>46133</v>
      </c>
      <c r="Y32" s="14" t="str">
        <f t="shared" si="5"/>
        <v/>
      </c>
      <c r="Z32" s="34"/>
      <c r="AA32" s="34">
        <f t="shared" si="6"/>
        <v>0</v>
      </c>
      <c r="AB32" s="34">
        <f t="shared" si="7"/>
        <v>0</v>
      </c>
      <c r="AC32" s="15"/>
      <c r="AD32" s="35">
        <f t="shared" si="8"/>
        <v>0</v>
      </c>
      <c r="AE32" s="34">
        <f t="shared" si="9"/>
        <v>0</v>
      </c>
      <c r="AF32" s="34">
        <f t="shared" si="10"/>
        <v>0</v>
      </c>
      <c r="AG32" s="34">
        <f t="shared" si="11"/>
        <v>0</v>
      </c>
      <c r="AH32" s="15"/>
      <c r="AI32" s="35">
        <f t="shared" si="12"/>
        <v>10</v>
      </c>
      <c r="AJ32" s="34">
        <f t="shared" si="13"/>
        <v>3411.9</v>
      </c>
      <c r="AK32" s="34">
        <f t="shared" si="14"/>
        <v>341.19</v>
      </c>
      <c r="AL32" s="34">
        <f t="shared" si="15"/>
        <v>3753.09</v>
      </c>
      <c r="AM32" s="15"/>
      <c r="AN32" s="35">
        <f t="shared" si="16"/>
        <v>31</v>
      </c>
      <c r="AO32" s="34">
        <f t="shared" si="17"/>
        <v>10576.9</v>
      </c>
      <c r="AP32" s="34">
        <f t="shared" si="18"/>
        <v>1057.69</v>
      </c>
      <c r="AQ32" s="34">
        <f t="shared" si="19"/>
        <v>11634.59</v>
      </c>
      <c r="AR32" s="15"/>
      <c r="AS32" s="35">
        <f t="shared" si="20"/>
        <v>30</v>
      </c>
      <c r="AT32" s="34">
        <f t="shared" si="21"/>
        <v>10235.709999999999</v>
      </c>
      <c r="AU32" s="34">
        <f t="shared" si="22"/>
        <v>1023.57</v>
      </c>
      <c r="AV32" s="34">
        <f t="shared" si="23"/>
        <v>11259.279999999999</v>
      </c>
      <c r="AW32" s="15"/>
      <c r="AX32" s="35">
        <f t="shared" si="24"/>
        <v>31</v>
      </c>
      <c r="AY32" s="34">
        <f t="shared" si="25"/>
        <v>10576.9</v>
      </c>
      <c r="AZ32" s="34">
        <f t="shared" si="26"/>
        <v>1057.69</v>
      </c>
      <c r="BA32" s="34">
        <f t="shared" si="27"/>
        <v>11634.59</v>
      </c>
      <c r="BB32" s="15"/>
      <c r="BC32" s="35">
        <f t="shared" si="28"/>
        <v>31</v>
      </c>
      <c r="BD32" s="34">
        <f t="shared" si="29"/>
        <v>10576.9</v>
      </c>
      <c r="BE32" s="34">
        <f t="shared" si="30"/>
        <v>1057.69</v>
      </c>
      <c r="BF32" s="34">
        <f t="shared" si="31"/>
        <v>11634.59</v>
      </c>
      <c r="BG32" s="15"/>
      <c r="BH32" s="35">
        <f t="shared" si="32"/>
        <v>30</v>
      </c>
      <c r="BI32" s="34">
        <f t="shared" si="33"/>
        <v>10235.709999999999</v>
      </c>
      <c r="BJ32" s="34">
        <f t="shared" si="34"/>
        <v>1023.57</v>
      </c>
      <c r="BK32" s="34">
        <f t="shared" si="35"/>
        <v>11259.279999999999</v>
      </c>
      <c r="BL32" s="15"/>
      <c r="BM32" s="35">
        <f t="shared" si="36"/>
        <v>31</v>
      </c>
      <c r="BN32" s="34">
        <f t="shared" si="37"/>
        <v>10576.9</v>
      </c>
      <c r="BO32" s="34">
        <f t="shared" si="38"/>
        <v>1057.69</v>
      </c>
      <c r="BP32" s="34">
        <f t="shared" si="39"/>
        <v>11634.59</v>
      </c>
      <c r="BQ32" s="15"/>
      <c r="BR32" s="35">
        <f t="shared" si="40"/>
        <v>16</v>
      </c>
      <c r="BS32" s="34">
        <f t="shared" si="41"/>
        <v>5459.05</v>
      </c>
      <c r="BT32" s="34">
        <f t="shared" si="42"/>
        <v>545.91</v>
      </c>
      <c r="BU32" s="34">
        <f t="shared" si="43"/>
        <v>6004.96</v>
      </c>
      <c r="BV32" s="15"/>
      <c r="BW32" s="35">
        <f t="shared" si="44"/>
        <v>0</v>
      </c>
      <c r="BX32" s="34">
        <f t="shared" si="45"/>
        <v>0</v>
      </c>
      <c r="BY32" s="34">
        <f t="shared" si="46"/>
        <v>0</v>
      </c>
      <c r="BZ32" s="34">
        <f t="shared" si="47"/>
        <v>0</v>
      </c>
      <c r="CA32" s="35">
        <f t="shared" si="48"/>
        <v>210</v>
      </c>
      <c r="CB32" s="34">
        <f t="shared" si="49"/>
        <v>71649.97</v>
      </c>
      <c r="CC32" s="34">
        <f t="shared" si="50"/>
        <v>7165</v>
      </c>
      <c r="CD32" s="34">
        <f t="shared" si="51"/>
        <v>78814.97</v>
      </c>
      <c r="CE32" s="16">
        <f t="shared" si="52"/>
        <v>0.03</v>
      </c>
      <c r="CF32" s="16">
        <f t="shared" si="53"/>
        <v>0</v>
      </c>
      <c r="CG32" s="31" t="s">
        <v>349</v>
      </c>
      <c r="CH32" s="31" t="s">
        <v>350</v>
      </c>
      <c r="CI32" s="31" t="s">
        <v>49</v>
      </c>
      <c r="CJ32" s="31" t="s">
        <v>351</v>
      </c>
      <c r="CK32" s="31" t="s">
        <v>352</v>
      </c>
      <c r="CL32" s="31" t="s">
        <v>353</v>
      </c>
      <c r="CM32" s="29">
        <v>46146</v>
      </c>
      <c r="CN32" s="28">
        <v>910102981</v>
      </c>
      <c r="CO32" s="28"/>
      <c r="CP32" s="28"/>
    </row>
    <row r="33" spans="1:94" ht="40.049999999999997" customHeight="1" x14ac:dyDescent="0.25">
      <c r="A33" s="62">
        <v>82</v>
      </c>
      <c r="B33" s="63">
        <v>150</v>
      </c>
      <c r="C33" s="1" t="s">
        <v>258</v>
      </c>
      <c r="D33" s="2" t="s">
        <v>343</v>
      </c>
      <c r="E33" s="2" t="s">
        <v>400</v>
      </c>
      <c r="F33" s="2" t="s">
        <v>401</v>
      </c>
      <c r="G33" s="2" t="s">
        <v>402</v>
      </c>
      <c r="H33" s="64">
        <v>10.569000000000001</v>
      </c>
      <c r="I33" s="1" t="s">
        <v>46</v>
      </c>
      <c r="J33" s="3">
        <v>869</v>
      </c>
      <c r="K33" s="1">
        <v>210</v>
      </c>
      <c r="L33" s="4">
        <v>64292</v>
      </c>
      <c r="M33" s="4">
        <v>6430</v>
      </c>
      <c r="N33" s="4">
        <v>70722</v>
      </c>
      <c r="O33" s="31" t="s">
        <v>403</v>
      </c>
      <c r="P33" s="31" t="s">
        <v>404</v>
      </c>
      <c r="Q33" s="35">
        <f t="shared" si="0"/>
        <v>210</v>
      </c>
      <c r="R33" s="14">
        <v>46133</v>
      </c>
      <c r="S33" s="14">
        <f t="shared" si="1"/>
        <v>46342</v>
      </c>
      <c r="T33" s="34">
        <v>64291.23</v>
      </c>
      <c r="U33" s="34">
        <f t="shared" si="2"/>
        <v>6429.12</v>
      </c>
      <c r="V33" s="34">
        <f t="shared" si="3"/>
        <v>70720.350000000006</v>
      </c>
      <c r="W33" s="35"/>
      <c r="X33" s="14">
        <f t="shared" si="4"/>
        <v>46133</v>
      </c>
      <c r="Y33" s="14" t="str">
        <f t="shared" si="5"/>
        <v/>
      </c>
      <c r="Z33" s="34"/>
      <c r="AA33" s="34">
        <f t="shared" si="6"/>
        <v>0</v>
      </c>
      <c r="AB33" s="34">
        <f t="shared" si="7"/>
        <v>0</v>
      </c>
      <c r="AC33" s="15"/>
      <c r="AD33" s="35">
        <f t="shared" si="8"/>
        <v>0</v>
      </c>
      <c r="AE33" s="34">
        <f t="shared" si="9"/>
        <v>0</v>
      </c>
      <c r="AF33" s="34">
        <f t="shared" si="10"/>
        <v>0</v>
      </c>
      <c r="AG33" s="34">
        <f t="shared" si="11"/>
        <v>0</v>
      </c>
      <c r="AH33" s="15"/>
      <c r="AI33" s="35">
        <f t="shared" si="12"/>
        <v>10</v>
      </c>
      <c r="AJ33" s="34">
        <f t="shared" si="13"/>
        <v>3061.49</v>
      </c>
      <c r="AK33" s="34">
        <f t="shared" si="14"/>
        <v>306.14999999999998</v>
      </c>
      <c r="AL33" s="34">
        <f t="shared" si="15"/>
        <v>3367.64</v>
      </c>
      <c r="AM33" s="15"/>
      <c r="AN33" s="35">
        <f t="shared" si="16"/>
        <v>31</v>
      </c>
      <c r="AO33" s="34">
        <f t="shared" si="17"/>
        <v>9490.61</v>
      </c>
      <c r="AP33" s="34">
        <f t="shared" si="18"/>
        <v>949.06</v>
      </c>
      <c r="AQ33" s="34">
        <f t="shared" si="19"/>
        <v>10439.67</v>
      </c>
      <c r="AR33" s="15"/>
      <c r="AS33" s="35">
        <f t="shared" si="20"/>
        <v>30</v>
      </c>
      <c r="AT33" s="34">
        <f t="shared" si="21"/>
        <v>9184.4599999999991</v>
      </c>
      <c r="AU33" s="34">
        <f t="shared" si="22"/>
        <v>918.45</v>
      </c>
      <c r="AV33" s="34">
        <f t="shared" si="23"/>
        <v>10102.91</v>
      </c>
      <c r="AW33" s="15"/>
      <c r="AX33" s="35">
        <f t="shared" si="24"/>
        <v>31</v>
      </c>
      <c r="AY33" s="34">
        <f t="shared" si="25"/>
        <v>9490.61</v>
      </c>
      <c r="AZ33" s="34">
        <f t="shared" si="26"/>
        <v>949.06</v>
      </c>
      <c r="BA33" s="34">
        <f t="shared" si="27"/>
        <v>10439.67</v>
      </c>
      <c r="BB33" s="15"/>
      <c r="BC33" s="35">
        <f t="shared" si="28"/>
        <v>31</v>
      </c>
      <c r="BD33" s="34">
        <f t="shared" si="29"/>
        <v>9490.61</v>
      </c>
      <c r="BE33" s="34">
        <f t="shared" si="30"/>
        <v>949.06</v>
      </c>
      <c r="BF33" s="34">
        <f t="shared" si="31"/>
        <v>10439.67</v>
      </c>
      <c r="BG33" s="15"/>
      <c r="BH33" s="35">
        <f t="shared" si="32"/>
        <v>30</v>
      </c>
      <c r="BI33" s="34">
        <f t="shared" si="33"/>
        <v>9184.4599999999991</v>
      </c>
      <c r="BJ33" s="34">
        <f t="shared" si="34"/>
        <v>918.45</v>
      </c>
      <c r="BK33" s="34">
        <f t="shared" si="35"/>
        <v>10102.91</v>
      </c>
      <c r="BL33" s="15"/>
      <c r="BM33" s="35">
        <f t="shared" si="36"/>
        <v>31</v>
      </c>
      <c r="BN33" s="34">
        <f t="shared" si="37"/>
        <v>9490.61</v>
      </c>
      <c r="BO33" s="34">
        <f t="shared" si="38"/>
        <v>949.06</v>
      </c>
      <c r="BP33" s="34">
        <f t="shared" si="39"/>
        <v>10439.67</v>
      </c>
      <c r="BQ33" s="15"/>
      <c r="BR33" s="35">
        <f t="shared" si="40"/>
        <v>16</v>
      </c>
      <c r="BS33" s="34">
        <f t="shared" si="41"/>
        <v>4898.38</v>
      </c>
      <c r="BT33" s="34">
        <f t="shared" si="42"/>
        <v>489.84</v>
      </c>
      <c r="BU33" s="34">
        <f t="shared" si="43"/>
        <v>5388.22</v>
      </c>
      <c r="BV33" s="15"/>
      <c r="BW33" s="35">
        <f t="shared" si="44"/>
        <v>0</v>
      </c>
      <c r="BX33" s="34">
        <f t="shared" si="45"/>
        <v>0</v>
      </c>
      <c r="BY33" s="34">
        <f t="shared" si="46"/>
        <v>0</v>
      </c>
      <c r="BZ33" s="34">
        <f t="shared" si="47"/>
        <v>0</v>
      </c>
      <c r="CA33" s="35">
        <f t="shared" si="48"/>
        <v>210</v>
      </c>
      <c r="CB33" s="34">
        <f t="shared" si="49"/>
        <v>64291.229999999996</v>
      </c>
      <c r="CC33" s="34">
        <f t="shared" si="50"/>
        <v>6429.1299999999992</v>
      </c>
      <c r="CD33" s="34">
        <f t="shared" si="51"/>
        <v>70720.36</v>
      </c>
      <c r="CE33" s="16">
        <f t="shared" si="52"/>
        <v>0</v>
      </c>
      <c r="CF33" s="16">
        <f t="shared" si="53"/>
        <v>-0.01</v>
      </c>
      <c r="CG33" s="31" t="s">
        <v>349</v>
      </c>
      <c r="CH33" s="31" t="s">
        <v>350</v>
      </c>
      <c r="CI33" s="31" t="s">
        <v>49</v>
      </c>
      <c r="CJ33" s="31" t="s">
        <v>351</v>
      </c>
      <c r="CK33" s="31" t="s">
        <v>352</v>
      </c>
      <c r="CL33" s="31" t="s">
        <v>353</v>
      </c>
      <c r="CM33" s="29">
        <v>46146</v>
      </c>
      <c r="CN33" s="28">
        <v>910102981</v>
      </c>
      <c r="CO33" s="28"/>
      <c r="CP33" s="28"/>
    </row>
    <row r="34" spans="1:94" ht="40.049999999999997" customHeight="1" x14ac:dyDescent="0.25">
      <c r="A34" s="62">
        <v>83</v>
      </c>
      <c r="B34" s="63">
        <v>150</v>
      </c>
      <c r="C34" s="1" t="s">
        <v>258</v>
      </c>
      <c r="D34" s="2" t="s">
        <v>343</v>
      </c>
      <c r="E34" s="2" t="s">
        <v>373</v>
      </c>
      <c r="F34" s="2" t="s">
        <v>405</v>
      </c>
      <c r="G34" s="2" t="s">
        <v>406</v>
      </c>
      <c r="H34" s="64">
        <v>9.0299999999999994</v>
      </c>
      <c r="I34" s="1" t="s">
        <v>46</v>
      </c>
      <c r="J34" s="3">
        <v>943</v>
      </c>
      <c r="K34" s="1">
        <v>210</v>
      </c>
      <c r="L34" s="4">
        <v>59608</v>
      </c>
      <c r="M34" s="4">
        <v>5961</v>
      </c>
      <c r="N34" s="4">
        <v>65569</v>
      </c>
      <c r="O34" s="31" t="s">
        <v>407</v>
      </c>
      <c r="P34" s="31" t="s">
        <v>348</v>
      </c>
      <c r="Q34" s="35">
        <f t="shared" ref="Q34:Q65" si="54">+$K34</f>
        <v>210</v>
      </c>
      <c r="R34" s="14">
        <v>46133</v>
      </c>
      <c r="S34" s="14">
        <f t="shared" ref="S34:S65" si="55">IF(Q34+R34=0,"",Q34+R34-1)</f>
        <v>46342</v>
      </c>
      <c r="T34" s="34">
        <v>59607.03</v>
      </c>
      <c r="U34" s="34">
        <f t="shared" ref="U34:U65" si="56">+ROUND(T34*0.1,2)</f>
        <v>5960.7</v>
      </c>
      <c r="V34" s="34">
        <f t="shared" ref="V34:V65" si="57">+SUM(T34:U34)</f>
        <v>65567.73</v>
      </c>
      <c r="W34" s="35"/>
      <c r="X34" s="14">
        <f t="shared" ref="X34:X65" si="58">+$R34</f>
        <v>46133</v>
      </c>
      <c r="Y34" s="14" t="str">
        <f t="shared" ref="Y34:Y65" si="59">IF(W34&gt;0,X34+W34-1,"")</f>
        <v/>
      </c>
      <c r="Z34" s="34"/>
      <c r="AA34" s="34">
        <f t="shared" ref="AA34:AA65" si="60">+ROUND(Z34*0.1,2)</f>
        <v>0</v>
      </c>
      <c r="AB34" s="34">
        <f t="shared" ref="AB34:AB65" si="61">+SUM(Z34:AA34)</f>
        <v>0</v>
      </c>
      <c r="AC34" s="15"/>
      <c r="AD34" s="35">
        <f t="shared" ref="AD34:AD65" si="62">MAX(0,MIN(IF($Y34&lt;&gt;"",$Y34,$S34),AD$1)-MAX($R34,EOMONTH(AD$1,-1)+1)+1)</f>
        <v>0</v>
      </c>
      <c r="AE34" s="34">
        <f t="shared" ref="AE34:AE65" si="63">ROUND(IF($Z34="",$T34,$Z34)*(AD34/IF($W34="",$Q34,$W34)),2)</f>
        <v>0</v>
      </c>
      <c r="AF34" s="34">
        <f t="shared" ref="AF34:AF65" si="64">+ROUND(AE34*0.1,2)</f>
        <v>0</v>
      </c>
      <c r="AG34" s="34">
        <f t="shared" ref="AG34:AG65" si="65">+SUM(AE34:AF34)</f>
        <v>0</v>
      </c>
      <c r="AH34" s="15"/>
      <c r="AI34" s="35">
        <f t="shared" ref="AI34:AI65" si="66">MAX(0,MIN(IF($Y34&lt;&gt;"",$Y34,$S34),AI$1)-MAX($R34,EOMONTH(AI$1,-1)+1)+1)</f>
        <v>10</v>
      </c>
      <c r="AJ34" s="34">
        <f t="shared" ref="AJ34:AJ65" si="67">ROUND(IF($Z34="",$T34,$Z34)*(AI34/IF($W34="",$Q34,$W34)),2)</f>
        <v>2838.43</v>
      </c>
      <c r="AK34" s="34">
        <f t="shared" ref="AK34:AK65" si="68">+ROUND(AJ34*0.1,2)</f>
        <v>283.83999999999997</v>
      </c>
      <c r="AL34" s="34">
        <f t="shared" ref="AL34:AL65" si="69">+SUM(AJ34:AK34)</f>
        <v>3122.27</v>
      </c>
      <c r="AM34" s="15"/>
      <c r="AN34" s="35">
        <f t="shared" ref="AN34:AN65" si="70">MAX(0,MIN(IF($Y34&lt;&gt;"",$Y34,$S34),AN$1)-MAX($R34,EOMONTH(AN$1,-1)+1)+1)</f>
        <v>31</v>
      </c>
      <c r="AO34" s="34">
        <f t="shared" ref="AO34:AO65" si="71">ROUND(IF($Z34="",$T34,$Z34)*(AN34/IF($W34="",$Q34,$W34)),2)</f>
        <v>8799.1299999999992</v>
      </c>
      <c r="AP34" s="34">
        <f t="shared" ref="AP34:AP65" si="72">+ROUND(AO34*0.1,2)</f>
        <v>879.91</v>
      </c>
      <c r="AQ34" s="34">
        <f t="shared" ref="AQ34:AQ65" si="73">+SUM(AO34:AP34)</f>
        <v>9679.0399999999991</v>
      </c>
      <c r="AR34" s="15"/>
      <c r="AS34" s="35">
        <f t="shared" ref="AS34:AS65" si="74">MAX(0,MIN(IF($Y34&lt;&gt;"",$Y34,$S34),AS$1)-MAX($R34,EOMONTH(AS$1,-1)+1)+1)</f>
        <v>30</v>
      </c>
      <c r="AT34" s="34">
        <f t="shared" ref="AT34:AT65" si="75">ROUND(IF($Z34="",$T34,$Z34)*(AS34/IF($W34="",$Q34,$W34)),2)</f>
        <v>8515.2900000000009</v>
      </c>
      <c r="AU34" s="34">
        <f t="shared" ref="AU34:AU65" si="76">+ROUND(AT34*0.1,2)</f>
        <v>851.53</v>
      </c>
      <c r="AV34" s="34">
        <f t="shared" ref="AV34:AV65" si="77">+SUM(AT34:AU34)</f>
        <v>9366.8200000000015</v>
      </c>
      <c r="AW34" s="15"/>
      <c r="AX34" s="35">
        <f t="shared" ref="AX34:AX65" si="78">MAX(0,MIN(IF($Y34&lt;&gt;"",$Y34,$S34),AX$1)-MAX($R34,EOMONTH(AX$1,-1)+1)+1)</f>
        <v>31</v>
      </c>
      <c r="AY34" s="34">
        <f t="shared" ref="AY34:AY65" si="79">ROUND(IF($Z34="",$T34,$Z34)*(AX34/IF($W34="",$Q34,$W34)),2)</f>
        <v>8799.1299999999992</v>
      </c>
      <c r="AZ34" s="34">
        <f t="shared" ref="AZ34:AZ65" si="80">+ROUND(AY34*0.1,2)</f>
        <v>879.91</v>
      </c>
      <c r="BA34" s="34">
        <f t="shared" ref="BA34:BA65" si="81">+SUM(AY34:AZ34)</f>
        <v>9679.0399999999991</v>
      </c>
      <c r="BB34" s="15"/>
      <c r="BC34" s="35">
        <f t="shared" ref="BC34:BC65" si="82">MAX(0,MIN(IF($Y34&lt;&gt;"",$Y34,$S34),BC$1)-MAX($R34,EOMONTH(BC$1,-1)+1)+1)</f>
        <v>31</v>
      </c>
      <c r="BD34" s="34">
        <f t="shared" ref="BD34:BD65" si="83">ROUND(IF($Z34="",$T34,$Z34)*(BC34/IF($W34="",$Q34,$W34)),2)</f>
        <v>8799.1299999999992</v>
      </c>
      <c r="BE34" s="34">
        <f t="shared" ref="BE34:BE65" si="84">+ROUND(BD34*0.1,2)</f>
        <v>879.91</v>
      </c>
      <c r="BF34" s="34">
        <f t="shared" ref="BF34:BF65" si="85">+SUM(BD34:BE34)</f>
        <v>9679.0399999999991</v>
      </c>
      <c r="BG34" s="15"/>
      <c r="BH34" s="35">
        <f t="shared" ref="BH34:BH65" si="86">MAX(0,MIN(IF($Y34&lt;&gt;"",$Y34,$S34),BH$1)-MAX($R34,EOMONTH(BH$1,-1)+1)+1)</f>
        <v>30</v>
      </c>
      <c r="BI34" s="34">
        <f t="shared" ref="BI34:BI65" si="87">ROUND(IF($Z34="",$T34,$Z34)*(BH34/IF($W34="",$Q34,$W34)),2)</f>
        <v>8515.2900000000009</v>
      </c>
      <c r="BJ34" s="34">
        <f t="shared" ref="BJ34:BJ65" si="88">+ROUND(BI34*0.1,2)</f>
        <v>851.53</v>
      </c>
      <c r="BK34" s="34">
        <f t="shared" ref="BK34:BK65" si="89">+SUM(BI34:BJ34)</f>
        <v>9366.8200000000015</v>
      </c>
      <c r="BL34" s="15"/>
      <c r="BM34" s="35">
        <f t="shared" ref="BM34:BM65" si="90">MAX(0,MIN(IF($Y34&lt;&gt;"",$Y34,$S34),BM$1)-MAX($R34,EOMONTH(BM$1,-1)+1)+1)</f>
        <v>31</v>
      </c>
      <c r="BN34" s="34">
        <f t="shared" ref="BN34:BN65" si="91">ROUND(IF($Z34="",$T34,$Z34)*(BM34/IF($W34="",$Q34,$W34)),2)</f>
        <v>8799.1299999999992</v>
      </c>
      <c r="BO34" s="34">
        <f t="shared" ref="BO34:BO65" si="92">+ROUND(BN34*0.1,2)</f>
        <v>879.91</v>
      </c>
      <c r="BP34" s="34">
        <f t="shared" ref="BP34:BP65" si="93">+SUM(BN34:BO34)</f>
        <v>9679.0399999999991</v>
      </c>
      <c r="BQ34" s="15"/>
      <c r="BR34" s="35">
        <f t="shared" ref="BR34:BR65" si="94">MAX(0,MIN(IF($Y34&lt;&gt;"",$Y34,$S34),BR$1)-MAX($R34,EOMONTH(BR$1,-1)+1)+1)</f>
        <v>16</v>
      </c>
      <c r="BS34" s="34">
        <f t="shared" ref="BS34:BS65" si="95">ROUND(IF($Z34="",$T34,$Z34)*(BR34/IF($W34="",$Q34,$W34)),2)</f>
        <v>4541.49</v>
      </c>
      <c r="BT34" s="34">
        <f t="shared" ref="BT34:BT65" si="96">+ROUND(BS34*0.1,2)</f>
        <v>454.15</v>
      </c>
      <c r="BU34" s="34">
        <f t="shared" ref="BU34:BU65" si="97">+SUM(BS34:BT34)</f>
        <v>4995.6399999999994</v>
      </c>
      <c r="BV34" s="15"/>
      <c r="BW34" s="35">
        <f t="shared" ref="BW34:BW65" si="98">MAX(0,MIN(IF($Y34&lt;&gt;"",$Y34,$S34),BW$1)-MAX($R34,EOMONTH(BW$1,-1)+1)+1)</f>
        <v>0</v>
      </c>
      <c r="BX34" s="34">
        <f t="shared" ref="BX34:BX65" si="99">ROUND(IF($Z34="",$T34,$Z34)*(BW34/IF($W34="",$Q34,$W34)),2)</f>
        <v>0</v>
      </c>
      <c r="BY34" s="34">
        <f t="shared" ref="BY34:BY65" si="100">+ROUND(BX34*0.1,2)</f>
        <v>0</v>
      </c>
      <c r="BZ34" s="34">
        <f t="shared" ref="BZ34:BZ65" si="101">+SUM(BX34:BY34)</f>
        <v>0</v>
      </c>
      <c r="CA34" s="35">
        <f t="shared" ref="CA34:CA65" si="102">+AD34+AI34+AN34+AS34+AX34+BC34+BH34+BM34+BR34+BW34</f>
        <v>210</v>
      </c>
      <c r="CB34" s="34">
        <f t="shared" ref="CB34:CB65" si="103">+AE34+AJ34+AO34+AT34+AY34+BD34+BI34+BN34+BS34+BX34</f>
        <v>59607.01999999999</v>
      </c>
      <c r="CC34" s="34">
        <f t="shared" ref="CC34:CC65" si="104">+AF34+AK34+AP34+AU34+AZ34+BE34+BJ34+BO34+BT34+BY34</f>
        <v>5960.69</v>
      </c>
      <c r="CD34" s="34">
        <f t="shared" ref="CD34:CD65" si="105">+SUM(CB34:CC34)</f>
        <v>65567.709999999992</v>
      </c>
      <c r="CE34" s="16">
        <f t="shared" ref="CE34:CE65" si="106">ROUND(IF($Y34&lt;&gt;"",$Z34,$T34)-CB34,2)</f>
        <v>0.01</v>
      </c>
      <c r="CF34" s="16">
        <f t="shared" ref="CF34:CF65" si="107">ROUND(IF($Y34&lt;&gt;"",$AA34,$U34)-CC34,2)</f>
        <v>0.01</v>
      </c>
      <c r="CG34" s="31" t="s">
        <v>349</v>
      </c>
      <c r="CH34" s="31" t="s">
        <v>350</v>
      </c>
      <c r="CI34" s="31" t="s">
        <v>49</v>
      </c>
      <c r="CJ34" s="31" t="s">
        <v>351</v>
      </c>
      <c r="CK34" s="31" t="s">
        <v>352</v>
      </c>
      <c r="CL34" s="31" t="s">
        <v>353</v>
      </c>
      <c r="CM34" s="29">
        <v>46146</v>
      </c>
      <c r="CN34" s="28">
        <v>910102981</v>
      </c>
      <c r="CO34" s="28"/>
      <c r="CP34" s="28"/>
    </row>
    <row r="35" spans="1:94" ht="40.049999999999997" customHeight="1" thickBot="1" x14ac:dyDescent="0.3">
      <c r="A35" s="65">
        <v>84</v>
      </c>
      <c r="B35" s="66">
        <v>150</v>
      </c>
      <c r="C35" s="46" t="s">
        <v>258</v>
      </c>
      <c r="D35" s="47" t="s">
        <v>343</v>
      </c>
      <c r="E35" s="47" t="s">
        <v>373</v>
      </c>
      <c r="F35" s="47" t="s">
        <v>408</v>
      </c>
      <c r="G35" s="47" t="s">
        <v>409</v>
      </c>
      <c r="H35" s="67">
        <v>6.3150000000000004</v>
      </c>
      <c r="I35" s="46" t="s">
        <v>46</v>
      </c>
      <c r="J35" s="48">
        <v>869</v>
      </c>
      <c r="K35" s="46">
        <v>215</v>
      </c>
      <c r="L35" s="49">
        <v>39329</v>
      </c>
      <c r="M35" s="49">
        <v>3933</v>
      </c>
      <c r="N35" s="49">
        <v>43262</v>
      </c>
      <c r="O35" s="53" t="s">
        <v>410</v>
      </c>
      <c r="P35" s="53" t="s">
        <v>411</v>
      </c>
      <c r="Q35" s="60">
        <f t="shared" si="54"/>
        <v>215</v>
      </c>
      <c r="R35" s="50">
        <v>46132</v>
      </c>
      <c r="S35" s="50">
        <f t="shared" si="55"/>
        <v>46346</v>
      </c>
      <c r="T35" s="58">
        <v>39328</v>
      </c>
      <c r="U35" s="58">
        <f t="shared" si="56"/>
        <v>3932.8</v>
      </c>
      <c r="V35" s="58">
        <f t="shared" si="57"/>
        <v>43260.800000000003</v>
      </c>
      <c r="W35" s="60"/>
      <c r="X35" s="50">
        <f t="shared" si="58"/>
        <v>46132</v>
      </c>
      <c r="Y35" s="50" t="str">
        <f t="shared" si="59"/>
        <v/>
      </c>
      <c r="Z35" s="58"/>
      <c r="AA35" s="58">
        <f t="shared" si="60"/>
        <v>0</v>
      </c>
      <c r="AB35" s="58">
        <f t="shared" si="61"/>
        <v>0</v>
      </c>
      <c r="AC35" s="51"/>
      <c r="AD35" s="60">
        <f t="shared" si="62"/>
        <v>0</v>
      </c>
      <c r="AE35" s="58">
        <f t="shared" si="63"/>
        <v>0</v>
      </c>
      <c r="AF35" s="58">
        <f t="shared" si="64"/>
        <v>0</v>
      </c>
      <c r="AG35" s="58">
        <f t="shared" si="65"/>
        <v>0</v>
      </c>
      <c r="AH35" s="51"/>
      <c r="AI35" s="60">
        <f t="shared" si="66"/>
        <v>11</v>
      </c>
      <c r="AJ35" s="58">
        <f t="shared" si="67"/>
        <v>2012.13</v>
      </c>
      <c r="AK35" s="58">
        <f t="shared" si="68"/>
        <v>201.21</v>
      </c>
      <c r="AL35" s="58">
        <f t="shared" si="69"/>
        <v>2213.34</v>
      </c>
      <c r="AM35" s="51"/>
      <c r="AN35" s="60">
        <f t="shared" si="70"/>
        <v>31</v>
      </c>
      <c r="AO35" s="58">
        <f t="shared" si="71"/>
        <v>5670.55</v>
      </c>
      <c r="AP35" s="58">
        <f t="shared" si="72"/>
        <v>567.05999999999995</v>
      </c>
      <c r="AQ35" s="58">
        <f t="shared" si="73"/>
        <v>6237.6100000000006</v>
      </c>
      <c r="AR35" s="51"/>
      <c r="AS35" s="60">
        <f t="shared" si="74"/>
        <v>30</v>
      </c>
      <c r="AT35" s="58">
        <f t="shared" si="75"/>
        <v>5487.63</v>
      </c>
      <c r="AU35" s="58">
        <f t="shared" si="76"/>
        <v>548.76</v>
      </c>
      <c r="AV35" s="58">
        <f t="shared" si="77"/>
        <v>6036.39</v>
      </c>
      <c r="AW35" s="51"/>
      <c r="AX35" s="60">
        <f t="shared" si="78"/>
        <v>31</v>
      </c>
      <c r="AY35" s="58">
        <f t="shared" si="79"/>
        <v>5670.55</v>
      </c>
      <c r="AZ35" s="58">
        <f t="shared" si="80"/>
        <v>567.05999999999995</v>
      </c>
      <c r="BA35" s="58">
        <f t="shared" si="81"/>
        <v>6237.6100000000006</v>
      </c>
      <c r="BB35" s="51"/>
      <c r="BC35" s="60">
        <f t="shared" si="82"/>
        <v>31</v>
      </c>
      <c r="BD35" s="58">
        <f t="shared" si="83"/>
        <v>5670.55</v>
      </c>
      <c r="BE35" s="58">
        <f t="shared" si="84"/>
        <v>567.05999999999995</v>
      </c>
      <c r="BF35" s="58">
        <f t="shared" si="85"/>
        <v>6237.6100000000006</v>
      </c>
      <c r="BG35" s="51"/>
      <c r="BH35" s="60">
        <f t="shared" si="86"/>
        <v>30</v>
      </c>
      <c r="BI35" s="58">
        <f t="shared" si="87"/>
        <v>5487.63</v>
      </c>
      <c r="BJ35" s="58">
        <f t="shared" si="88"/>
        <v>548.76</v>
      </c>
      <c r="BK35" s="58">
        <f t="shared" si="89"/>
        <v>6036.39</v>
      </c>
      <c r="BL35" s="51"/>
      <c r="BM35" s="60">
        <f t="shared" si="90"/>
        <v>31</v>
      </c>
      <c r="BN35" s="58">
        <f t="shared" si="91"/>
        <v>5670.55</v>
      </c>
      <c r="BO35" s="58">
        <f t="shared" si="92"/>
        <v>567.05999999999995</v>
      </c>
      <c r="BP35" s="58">
        <f t="shared" si="93"/>
        <v>6237.6100000000006</v>
      </c>
      <c r="BQ35" s="51"/>
      <c r="BR35" s="60">
        <f t="shared" si="94"/>
        <v>20</v>
      </c>
      <c r="BS35" s="58">
        <f t="shared" si="95"/>
        <v>3658.42</v>
      </c>
      <c r="BT35" s="58">
        <f t="shared" si="96"/>
        <v>365.84</v>
      </c>
      <c r="BU35" s="58">
        <f t="shared" si="97"/>
        <v>4024.26</v>
      </c>
      <c r="BV35" s="51"/>
      <c r="BW35" s="60">
        <f t="shared" si="98"/>
        <v>0</v>
      </c>
      <c r="BX35" s="58">
        <f t="shared" si="99"/>
        <v>0</v>
      </c>
      <c r="BY35" s="58">
        <f t="shared" si="100"/>
        <v>0</v>
      </c>
      <c r="BZ35" s="58">
        <f t="shared" si="101"/>
        <v>0</v>
      </c>
      <c r="CA35" s="60">
        <f t="shared" si="102"/>
        <v>215</v>
      </c>
      <c r="CB35" s="58">
        <f t="shared" si="103"/>
        <v>39328.01</v>
      </c>
      <c r="CC35" s="58">
        <f t="shared" si="104"/>
        <v>3932.81</v>
      </c>
      <c r="CD35" s="58">
        <f t="shared" si="105"/>
        <v>43260.82</v>
      </c>
      <c r="CE35" s="52">
        <f t="shared" si="106"/>
        <v>-0.01</v>
      </c>
      <c r="CF35" s="52">
        <f t="shared" si="107"/>
        <v>-0.01</v>
      </c>
      <c r="CG35" s="53" t="s">
        <v>349</v>
      </c>
      <c r="CH35" s="53" t="s">
        <v>350</v>
      </c>
      <c r="CI35" s="53" t="s">
        <v>49</v>
      </c>
      <c r="CJ35" s="53" t="s">
        <v>351</v>
      </c>
      <c r="CK35" s="53" t="s">
        <v>352</v>
      </c>
      <c r="CL35" s="53" t="s">
        <v>353</v>
      </c>
      <c r="CM35" s="54">
        <v>46146</v>
      </c>
      <c r="CN35" s="55">
        <v>910102981</v>
      </c>
      <c r="CO35" s="55"/>
      <c r="CP35" s="55"/>
    </row>
    <row r="36" spans="1:94" ht="40.049999999999997" customHeight="1" thickTop="1" x14ac:dyDescent="0.25">
      <c r="A36" s="68">
        <v>85</v>
      </c>
      <c r="B36" s="69">
        <v>74</v>
      </c>
      <c r="C36" s="36" t="s">
        <v>258</v>
      </c>
      <c r="D36" s="37" t="s">
        <v>412</v>
      </c>
      <c r="E36" s="37" t="s">
        <v>413</v>
      </c>
      <c r="F36" s="37" t="s">
        <v>414</v>
      </c>
      <c r="G36" s="37" t="s">
        <v>415</v>
      </c>
      <c r="H36" s="70">
        <v>8.5</v>
      </c>
      <c r="I36" s="36" t="s">
        <v>46</v>
      </c>
      <c r="J36" s="38">
        <v>804</v>
      </c>
      <c r="K36" s="36">
        <v>249</v>
      </c>
      <c r="L36" s="39">
        <v>56723</v>
      </c>
      <c r="M36" s="39">
        <v>5672</v>
      </c>
      <c r="N36" s="39">
        <v>62395</v>
      </c>
      <c r="O36" s="43" t="s">
        <v>416</v>
      </c>
      <c r="P36" s="43" t="s">
        <v>417</v>
      </c>
      <c r="Q36" s="61">
        <f t="shared" si="54"/>
        <v>249</v>
      </c>
      <c r="R36" s="40">
        <v>46146</v>
      </c>
      <c r="S36" s="40">
        <f t="shared" si="55"/>
        <v>46394</v>
      </c>
      <c r="T36" s="56">
        <v>56723</v>
      </c>
      <c r="U36" s="56">
        <f t="shared" si="56"/>
        <v>5672.3</v>
      </c>
      <c r="V36" s="56">
        <f t="shared" si="57"/>
        <v>62395.3</v>
      </c>
      <c r="W36" s="61">
        <v>240</v>
      </c>
      <c r="X36" s="40">
        <f t="shared" si="58"/>
        <v>46146</v>
      </c>
      <c r="Y36" s="40">
        <f t="shared" si="59"/>
        <v>46385</v>
      </c>
      <c r="Z36" s="56">
        <v>54672.77</v>
      </c>
      <c r="AA36" s="56">
        <f t="shared" si="60"/>
        <v>5467.28</v>
      </c>
      <c r="AB36" s="56">
        <f t="shared" si="61"/>
        <v>60140.049999999996</v>
      </c>
      <c r="AC36" s="41"/>
      <c r="AD36" s="61">
        <f t="shared" si="62"/>
        <v>0</v>
      </c>
      <c r="AE36" s="56">
        <f t="shared" si="63"/>
        <v>0</v>
      </c>
      <c r="AF36" s="56">
        <f t="shared" si="64"/>
        <v>0</v>
      </c>
      <c r="AG36" s="56">
        <f t="shared" si="65"/>
        <v>0</v>
      </c>
      <c r="AH36" s="41"/>
      <c r="AI36" s="61">
        <f t="shared" si="66"/>
        <v>0</v>
      </c>
      <c r="AJ36" s="56">
        <f t="shared" si="67"/>
        <v>0</v>
      </c>
      <c r="AK36" s="56">
        <f t="shared" si="68"/>
        <v>0</v>
      </c>
      <c r="AL36" s="56">
        <f t="shared" si="69"/>
        <v>0</v>
      </c>
      <c r="AM36" s="41"/>
      <c r="AN36" s="61">
        <f t="shared" si="70"/>
        <v>28</v>
      </c>
      <c r="AO36" s="56">
        <f t="shared" si="71"/>
        <v>6378.49</v>
      </c>
      <c r="AP36" s="56">
        <f t="shared" si="72"/>
        <v>637.85</v>
      </c>
      <c r="AQ36" s="56">
        <f t="shared" si="73"/>
        <v>7016.34</v>
      </c>
      <c r="AR36" s="41"/>
      <c r="AS36" s="61">
        <f t="shared" si="74"/>
        <v>30</v>
      </c>
      <c r="AT36" s="56">
        <f t="shared" si="75"/>
        <v>6834.1</v>
      </c>
      <c r="AU36" s="56">
        <f t="shared" si="76"/>
        <v>683.41</v>
      </c>
      <c r="AV36" s="56">
        <f t="shared" si="77"/>
        <v>7517.51</v>
      </c>
      <c r="AW36" s="41"/>
      <c r="AX36" s="61">
        <f t="shared" si="78"/>
        <v>31</v>
      </c>
      <c r="AY36" s="56">
        <f t="shared" si="79"/>
        <v>7061.9</v>
      </c>
      <c r="AZ36" s="56">
        <f t="shared" si="80"/>
        <v>706.19</v>
      </c>
      <c r="BA36" s="56">
        <f t="shared" si="81"/>
        <v>7768.09</v>
      </c>
      <c r="BB36" s="41"/>
      <c r="BC36" s="61">
        <f t="shared" si="82"/>
        <v>31</v>
      </c>
      <c r="BD36" s="56">
        <f t="shared" si="83"/>
        <v>7061.9</v>
      </c>
      <c r="BE36" s="56">
        <f t="shared" si="84"/>
        <v>706.19</v>
      </c>
      <c r="BF36" s="56">
        <f t="shared" si="85"/>
        <v>7768.09</v>
      </c>
      <c r="BG36" s="41"/>
      <c r="BH36" s="61">
        <f t="shared" si="86"/>
        <v>30</v>
      </c>
      <c r="BI36" s="56">
        <f t="shared" si="87"/>
        <v>6834.1</v>
      </c>
      <c r="BJ36" s="56">
        <f t="shared" si="88"/>
        <v>683.41</v>
      </c>
      <c r="BK36" s="56">
        <f t="shared" si="89"/>
        <v>7517.51</v>
      </c>
      <c r="BL36" s="41"/>
      <c r="BM36" s="61">
        <f t="shared" si="90"/>
        <v>31</v>
      </c>
      <c r="BN36" s="56">
        <f t="shared" si="91"/>
        <v>7061.9</v>
      </c>
      <c r="BO36" s="56">
        <f t="shared" si="92"/>
        <v>706.19</v>
      </c>
      <c r="BP36" s="56">
        <f t="shared" si="93"/>
        <v>7768.09</v>
      </c>
      <c r="BQ36" s="41"/>
      <c r="BR36" s="61">
        <f t="shared" si="94"/>
        <v>30</v>
      </c>
      <c r="BS36" s="56">
        <f t="shared" si="95"/>
        <v>6834.1</v>
      </c>
      <c r="BT36" s="56">
        <f t="shared" si="96"/>
        <v>683.41</v>
      </c>
      <c r="BU36" s="56">
        <f t="shared" si="97"/>
        <v>7517.51</v>
      </c>
      <c r="BV36" s="41"/>
      <c r="BW36" s="61">
        <f t="shared" si="98"/>
        <v>29</v>
      </c>
      <c r="BX36" s="56">
        <f t="shared" si="99"/>
        <v>6606.29</v>
      </c>
      <c r="BY36" s="56">
        <f t="shared" si="100"/>
        <v>660.63</v>
      </c>
      <c r="BZ36" s="56">
        <f t="shared" si="101"/>
        <v>7266.92</v>
      </c>
      <c r="CA36" s="61">
        <f t="shared" si="102"/>
        <v>240</v>
      </c>
      <c r="CB36" s="56">
        <f t="shared" si="103"/>
        <v>54672.78</v>
      </c>
      <c r="CC36" s="56">
        <f t="shared" si="104"/>
        <v>5467.28</v>
      </c>
      <c r="CD36" s="56">
        <f t="shared" si="105"/>
        <v>60140.06</v>
      </c>
      <c r="CE36" s="42">
        <f t="shared" si="106"/>
        <v>-0.01</v>
      </c>
      <c r="CF36" s="42">
        <f t="shared" si="107"/>
        <v>0</v>
      </c>
      <c r="CG36" s="43" t="s">
        <v>418</v>
      </c>
      <c r="CH36" s="43" t="s">
        <v>419</v>
      </c>
      <c r="CI36" s="43" t="s">
        <v>49</v>
      </c>
      <c r="CJ36" s="43" t="s">
        <v>420</v>
      </c>
      <c r="CK36" s="43" t="s">
        <v>421</v>
      </c>
      <c r="CL36" s="43" t="s">
        <v>422</v>
      </c>
      <c r="CM36" s="44">
        <v>46142</v>
      </c>
      <c r="CN36" s="45" t="s">
        <v>423</v>
      </c>
      <c r="CO36" s="45"/>
      <c r="CP36" s="45"/>
    </row>
    <row r="37" spans="1:94" ht="40.049999999999997" customHeight="1" x14ac:dyDescent="0.25">
      <c r="A37" s="62">
        <v>86</v>
      </c>
      <c r="B37" s="63">
        <v>74</v>
      </c>
      <c r="C37" s="1" t="s">
        <v>258</v>
      </c>
      <c r="D37" s="2" t="s">
        <v>412</v>
      </c>
      <c r="E37" s="2" t="s">
        <v>413</v>
      </c>
      <c r="F37" s="2" t="s">
        <v>424</v>
      </c>
      <c r="G37" s="2" t="s">
        <v>425</v>
      </c>
      <c r="H37" s="64">
        <v>21.22</v>
      </c>
      <c r="I37" s="1" t="s">
        <v>46</v>
      </c>
      <c r="J37" s="3">
        <v>804</v>
      </c>
      <c r="K37" s="1">
        <v>249</v>
      </c>
      <c r="L37" s="4">
        <v>141606</v>
      </c>
      <c r="M37" s="4">
        <v>14160</v>
      </c>
      <c r="N37" s="4">
        <v>155766</v>
      </c>
      <c r="O37" s="31" t="s">
        <v>426</v>
      </c>
      <c r="P37" s="31" t="s">
        <v>427</v>
      </c>
      <c r="Q37" s="35">
        <f t="shared" si="54"/>
        <v>249</v>
      </c>
      <c r="R37" s="14">
        <v>46146</v>
      </c>
      <c r="S37" s="14">
        <f t="shared" si="55"/>
        <v>46394</v>
      </c>
      <c r="T37" s="34">
        <v>141606</v>
      </c>
      <c r="U37" s="34">
        <f t="shared" si="56"/>
        <v>14160.6</v>
      </c>
      <c r="V37" s="34">
        <f t="shared" si="57"/>
        <v>155766.6</v>
      </c>
      <c r="W37" s="35">
        <v>240</v>
      </c>
      <c r="X37" s="14">
        <f t="shared" si="58"/>
        <v>46146</v>
      </c>
      <c r="Y37" s="14">
        <f t="shared" si="59"/>
        <v>46385</v>
      </c>
      <c r="Z37" s="34">
        <v>136487.71</v>
      </c>
      <c r="AA37" s="34">
        <f t="shared" si="60"/>
        <v>13648.77</v>
      </c>
      <c r="AB37" s="34">
        <f t="shared" si="61"/>
        <v>150136.47999999998</v>
      </c>
      <c r="AC37" s="15"/>
      <c r="AD37" s="35">
        <f t="shared" si="62"/>
        <v>0</v>
      </c>
      <c r="AE37" s="34">
        <f t="shared" si="63"/>
        <v>0</v>
      </c>
      <c r="AF37" s="34">
        <f t="shared" si="64"/>
        <v>0</v>
      </c>
      <c r="AG37" s="34">
        <f t="shared" si="65"/>
        <v>0</v>
      </c>
      <c r="AH37" s="15"/>
      <c r="AI37" s="35">
        <f t="shared" si="66"/>
        <v>0</v>
      </c>
      <c r="AJ37" s="34">
        <f t="shared" si="67"/>
        <v>0</v>
      </c>
      <c r="AK37" s="34">
        <f t="shared" si="68"/>
        <v>0</v>
      </c>
      <c r="AL37" s="34">
        <f t="shared" si="69"/>
        <v>0</v>
      </c>
      <c r="AM37" s="15"/>
      <c r="AN37" s="35">
        <f t="shared" si="70"/>
        <v>28</v>
      </c>
      <c r="AO37" s="34">
        <f t="shared" si="71"/>
        <v>15923.57</v>
      </c>
      <c r="AP37" s="34">
        <f t="shared" si="72"/>
        <v>1592.36</v>
      </c>
      <c r="AQ37" s="34">
        <f t="shared" si="73"/>
        <v>17515.93</v>
      </c>
      <c r="AR37" s="15"/>
      <c r="AS37" s="35">
        <f t="shared" si="74"/>
        <v>30</v>
      </c>
      <c r="AT37" s="34">
        <f t="shared" si="75"/>
        <v>17060.96</v>
      </c>
      <c r="AU37" s="34">
        <f t="shared" si="76"/>
        <v>1706.1</v>
      </c>
      <c r="AV37" s="34">
        <f t="shared" si="77"/>
        <v>18767.059999999998</v>
      </c>
      <c r="AW37" s="15"/>
      <c r="AX37" s="35">
        <f t="shared" si="78"/>
        <v>31</v>
      </c>
      <c r="AY37" s="34">
        <f t="shared" si="79"/>
        <v>17629.66</v>
      </c>
      <c r="AZ37" s="34">
        <f t="shared" si="80"/>
        <v>1762.97</v>
      </c>
      <c r="BA37" s="34">
        <f t="shared" si="81"/>
        <v>19392.63</v>
      </c>
      <c r="BB37" s="15"/>
      <c r="BC37" s="35">
        <f t="shared" si="82"/>
        <v>31</v>
      </c>
      <c r="BD37" s="34">
        <f t="shared" si="83"/>
        <v>17629.66</v>
      </c>
      <c r="BE37" s="34">
        <f t="shared" si="84"/>
        <v>1762.97</v>
      </c>
      <c r="BF37" s="34">
        <f t="shared" si="85"/>
        <v>19392.63</v>
      </c>
      <c r="BG37" s="15"/>
      <c r="BH37" s="35">
        <f t="shared" si="86"/>
        <v>30</v>
      </c>
      <c r="BI37" s="34">
        <f t="shared" si="87"/>
        <v>17060.96</v>
      </c>
      <c r="BJ37" s="34">
        <f t="shared" si="88"/>
        <v>1706.1</v>
      </c>
      <c r="BK37" s="34">
        <f t="shared" si="89"/>
        <v>18767.059999999998</v>
      </c>
      <c r="BL37" s="15"/>
      <c r="BM37" s="35">
        <f t="shared" si="90"/>
        <v>31</v>
      </c>
      <c r="BN37" s="34">
        <f t="shared" si="91"/>
        <v>17629.66</v>
      </c>
      <c r="BO37" s="34">
        <f t="shared" si="92"/>
        <v>1762.97</v>
      </c>
      <c r="BP37" s="34">
        <f t="shared" si="93"/>
        <v>19392.63</v>
      </c>
      <c r="BQ37" s="15"/>
      <c r="BR37" s="35">
        <f t="shared" si="94"/>
        <v>30</v>
      </c>
      <c r="BS37" s="34">
        <f t="shared" si="95"/>
        <v>17060.96</v>
      </c>
      <c r="BT37" s="34">
        <f t="shared" si="96"/>
        <v>1706.1</v>
      </c>
      <c r="BU37" s="34">
        <f t="shared" si="97"/>
        <v>18767.059999999998</v>
      </c>
      <c r="BV37" s="15"/>
      <c r="BW37" s="35">
        <f t="shared" si="98"/>
        <v>29</v>
      </c>
      <c r="BX37" s="34">
        <f t="shared" si="99"/>
        <v>16492.259999999998</v>
      </c>
      <c r="BY37" s="34">
        <f t="shared" si="100"/>
        <v>1649.23</v>
      </c>
      <c r="BZ37" s="34">
        <f t="shared" si="101"/>
        <v>18141.489999999998</v>
      </c>
      <c r="CA37" s="35">
        <f t="shared" si="102"/>
        <v>240</v>
      </c>
      <c r="CB37" s="34">
        <f t="shared" si="103"/>
        <v>136487.69</v>
      </c>
      <c r="CC37" s="34">
        <f t="shared" si="104"/>
        <v>13648.8</v>
      </c>
      <c r="CD37" s="34">
        <f t="shared" si="105"/>
        <v>150136.49</v>
      </c>
      <c r="CE37" s="16">
        <f t="shared" si="106"/>
        <v>0.02</v>
      </c>
      <c r="CF37" s="16">
        <f t="shared" si="107"/>
        <v>-0.03</v>
      </c>
      <c r="CG37" s="31" t="s">
        <v>418</v>
      </c>
      <c r="CH37" s="31" t="s">
        <v>419</v>
      </c>
      <c r="CI37" s="31" t="s">
        <v>49</v>
      </c>
      <c r="CJ37" s="31" t="s">
        <v>420</v>
      </c>
      <c r="CK37" s="31" t="s">
        <v>421</v>
      </c>
      <c r="CL37" s="31" t="s">
        <v>422</v>
      </c>
      <c r="CM37" s="29">
        <v>46142</v>
      </c>
      <c r="CN37" s="28" t="s">
        <v>423</v>
      </c>
      <c r="CO37" s="28"/>
      <c r="CP37" s="28"/>
    </row>
    <row r="38" spans="1:94" ht="40.049999999999997" customHeight="1" x14ac:dyDescent="0.25">
      <c r="A38" s="62">
        <v>87</v>
      </c>
      <c r="B38" s="63">
        <v>74</v>
      </c>
      <c r="C38" s="1" t="s">
        <v>258</v>
      </c>
      <c r="D38" s="2" t="s">
        <v>412</v>
      </c>
      <c r="E38" s="2" t="s">
        <v>428</v>
      </c>
      <c r="F38" s="2" t="s">
        <v>429</v>
      </c>
      <c r="G38" s="2" t="s">
        <v>430</v>
      </c>
      <c r="H38" s="64">
        <v>13.826000000000001</v>
      </c>
      <c r="I38" s="1" t="s">
        <v>46</v>
      </c>
      <c r="J38" s="3">
        <v>799</v>
      </c>
      <c r="K38" s="1">
        <v>246</v>
      </c>
      <c r="L38" s="4">
        <v>90586</v>
      </c>
      <c r="M38" s="4">
        <v>9058</v>
      </c>
      <c r="N38" s="4">
        <v>99644</v>
      </c>
      <c r="O38" s="31" t="s">
        <v>431</v>
      </c>
      <c r="P38" s="31" t="s">
        <v>432</v>
      </c>
      <c r="Q38" s="35">
        <f t="shared" si="54"/>
        <v>246</v>
      </c>
      <c r="R38" s="14">
        <v>46147</v>
      </c>
      <c r="S38" s="14">
        <f t="shared" si="55"/>
        <v>46392</v>
      </c>
      <c r="T38" s="34">
        <v>90586</v>
      </c>
      <c r="U38" s="34">
        <f t="shared" si="56"/>
        <v>9058.6</v>
      </c>
      <c r="V38" s="34">
        <f t="shared" si="57"/>
        <v>99644.6</v>
      </c>
      <c r="W38" s="35">
        <v>240</v>
      </c>
      <c r="X38" s="14">
        <f t="shared" si="58"/>
        <v>46147</v>
      </c>
      <c r="Y38" s="14">
        <f t="shared" si="59"/>
        <v>46386</v>
      </c>
      <c r="Z38" s="34">
        <v>88376.59</v>
      </c>
      <c r="AA38" s="34">
        <f t="shared" si="60"/>
        <v>8837.66</v>
      </c>
      <c r="AB38" s="34">
        <f t="shared" si="61"/>
        <v>97214.25</v>
      </c>
      <c r="AC38" s="15"/>
      <c r="AD38" s="35">
        <f t="shared" si="62"/>
        <v>0</v>
      </c>
      <c r="AE38" s="34">
        <f t="shared" si="63"/>
        <v>0</v>
      </c>
      <c r="AF38" s="34">
        <f t="shared" si="64"/>
        <v>0</v>
      </c>
      <c r="AG38" s="34">
        <f t="shared" si="65"/>
        <v>0</v>
      </c>
      <c r="AH38" s="15"/>
      <c r="AI38" s="35">
        <f t="shared" si="66"/>
        <v>0</v>
      </c>
      <c r="AJ38" s="34">
        <f t="shared" si="67"/>
        <v>0</v>
      </c>
      <c r="AK38" s="34">
        <f t="shared" si="68"/>
        <v>0</v>
      </c>
      <c r="AL38" s="34">
        <f t="shared" si="69"/>
        <v>0</v>
      </c>
      <c r="AM38" s="15"/>
      <c r="AN38" s="35">
        <f t="shared" si="70"/>
        <v>27</v>
      </c>
      <c r="AO38" s="34">
        <f t="shared" si="71"/>
        <v>9942.3700000000008</v>
      </c>
      <c r="AP38" s="34">
        <f t="shared" si="72"/>
        <v>994.24</v>
      </c>
      <c r="AQ38" s="34">
        <f t="shared" si="73"/>
        <v>10936.61</v>
      </c>
      <c r="AR38" s="15"/>
      <c r="AS38" s="35">
        <f t="shared" si="74"/>
        <v>30</v>
      </c>
      <c r="AT38" s="34">
        <f t="shared" si="75"/>
        <v>11047.07</v>
      </c>
      <c r="AU38" s="34">
        <f t="shared" si="76"/>
        <v>1104.71</v>
      </c>
      <c r="AV38" s="34">
        <f t="shared" si="77"/>
        <v>12151.779999999999</v>
      </c>
      <c r="AW38" s="15"/>
      <c r="AX38" s="35">
        <f t="shared" si="78"/>
        <v>31</v>
      </c>
      <c r="AY38" s="34">
        <f t="shared" si="79"/>
        <v>11415.31</v>
      </c>
      <c r="AZ38" s="34">
        <f t="shared" si="80"/>
        <v>1141.53</v>
      </c>
      <c r="BA38" s="34">
        <f t="shared" si="81"/>
        <v>12556.84</v>
      </c>
      <c r="BB38" s="15"/>
      <c r="BC38" s="35">
        <f t="shared" si="82"/>
        <v>31</v>
      </c>
      <c r="BD38" s="34">
        <f t="shared" si="83"/>
        <v>11415.31</v>
      </c>
      <c r="BE38" s="34">
        <f t="shared" si="84"/>
        <v>1141.53</v>
      </c>
      <c r="BF38" s="34">
        <f t="shared" si="85"/>
        <v>12556.84</v>
      </c>
      <c r="BG38" s="15"/>
      <c r="BH38" s="35">
        <f t="shared" si="86"/>
        <v>30</v>
      </c>
      <c r="BI38" s="34">
        <f t="shared" si="87"/>
        <v>11047.07</v>
      </c>
      <c r="BJ38" s="34">
        <f t="shared" si="88"/>
        <v>1104.71</v>
      </c>
      <c r="BK38" s="34">
        <f t="shared" si="89"/>
        <v>12151.779999999999</v>
      </c>
      <c r="BL38" s="15"/>
      <c r="BM38" s="35">
        <f t="shared" si="90"/>
        <v>31</v>
      </c>
      <c r="BN38" s="34">
        <f t="shared" si="91"/>
        <v>11415.31</v>
      </c>
      <c r="BO38" s="34">
        <f t="shared" si="92"/>
        <v>1141.53</v>
      </c>
      <c r="BP38" s="34">
        <f t="shared" si="93"/>
        <v>12556.84</v>
      </c>
      <c r="BQ38" s="15"/>
      <c r="BR38" s="35">
        <f t="shared" si="94"/>
        <v>30</v>
      </c>
      <c r="BS38" s="34">
        <f t="shared" si="95"/>
        <v>11047.07</v>
      </c>
      <c r="BT38" s="34">
        <f t="shared" si="96"/>
        <v>1104.71</v>
      </c>
      <c r="BU38" s="34">
        <f t="shared" si="97"/>
        <v>12151.779999999999</v>
      </c>
      <c r="BV38" s="15"/>
      <c r="BW38" s="35">
        <f t="shared" si="98"/>
        <v>30</v>
      </c>
      <c r="BX38" s="34">
        <f t="shared" si="99"/>
        <v>11047.07</v>
      </c>
      <c r="BY38" s="34">
        <f t="shared" si="100"/>
        <v>1104.71</v>
      </c>
      <c r="BZ38" s="34">
        <f t="shared" si="101"/>
        <v>12151.779999999999</v>
      </c>
      <c r="CA38" s="35">
        <f t="shared" si="102"/>
        <v>240</v>
      </c>
      <c r="CB38" s="34">
        <f t="shared" si="103"/>
        <v>88376.580000000016</v>
      </c>
      <c r="CC38" s="34">
        <f t="shared" si="104"/>
        <v>8837.6699999999983</v>
      </c>
      <c r="CD38" s="34">
        <f t="shared" si="105"/>
        <v>97214.250000000015</v>
      </c>
      <c r="CE38" s="16">
        <f t="shared" si="106"/>
        <v>0.01</v>
      </c>
      <c r="CF38" s="16">
        <f t="shared" si="107"/>
        <v>-0.01</v>
      </c>
      <c r="CG38" s="31" t="s">
        <v>418</v>
      </c>
      <c r="CH38" s="31" t="s">
        <v>419</v>
      </c>
      <c r="CI38" s="31" t="s">
        <v>49</v>
      </c>
      <c r="CJ38" s="31" t="s">
        <v>420</v>
      </c>
      <c r="CK38" s="31" t="s">
        <v>421</v>
      </c>
      <c r="CL38" s="31" t="s">
        <v>422</v>
      </c>
      <c r="CM38" s="29">
        <v>46142</v>
      </c>
      <c r="CN38" s="28" t="s">
        <v>423</v>
      </c>
      <c r="CO38" s="28"/>
      <c r="CP38" s="28"/>
    </row>
    <row r="39" spans="1:94" ht="40.049999999999997" customHeight="1" x14ac:dyDescent="0.25">
      <c r="A39" s="62">
        <v>88</v>
      </c>
      <c r="B39" s="63">
        <v>74</v>
      </c>
      <c r="C39" s="1" t="s">
        <v>258</v>
      </c>
      <c r="D39" s="2" t="s">
        <v>412</v>
      </c>
      <c r="E39" s="2" t="s">
        <v>428</v>
      </c>
      <c r="F39" s="2" t="s">
        <v>433</v>
      </c>
      <c r="G39" s="2" t="s">
        <v>434</v>
      </c>
      <c r="H39" s="64">
        <v>21.193999999999999</v>
      </c>
      <c r="I39" s="1" t="s">
        <v>46</v>
      </c>
      <c r="J39" s="3">
        <v>799</v>
      </c>
      <c r="K39" s="1">
        <v>246</v>
      </c>
      <c r="L39" s="4">
        <v>138859</v>
      </c>
      <c r="M39" s="4">
        <v>13885</v>
      </c>
      <c r="N39" s="4">
        <v>152744</v>
      </c>
      <c r="O39" s="31" t="s">
        <v>435</v>
      </c>
      <c r="P39" s="31" t="s">
        <v>432</v>
      </c>
      <c r="Q39" s="35">
        <f t="shared" si="54"/>
        <v>246</v>
      </c>
      <c r="R39" s="14">
        <v>46148</v>
      </c>
      <c r="S39" s="14">
        <f t="shared" si="55"/>
        <v>46393</v>
      </c>
      <c r="T39" s="34">
        <v>138859</v>
      </c>
      <c r="U39" s="34">
        <f t="shared" si="56"/>
        <v>13885.9</v>
      </c>
      <c r="V39" s="34">
        <f t="shared" si="57"/>
        <v>152744.9</v>
      </c>
      <c r="W39" s="35">
        <v>240</v>
      </c>
      <c r="X39" s="14">
        <f t="shared" si="58"/>
        <v>46148</v>
      </c>
      <c r="Y39" s="14">
        <f t="shared" si="59"/>
        <v>46387</v>
      </c>
      <c r="Z39" s="34">
        <v>135472.20000000001</v>
      </c>
      <c r="AA39" s="34">
        <f t="shared" si="60"/>
        <v>13547.22</v>
      </c>
      <c r="AB39" s="34">
        <f t="shared" si="61"/>
        <v>149019.42000000001</v>
      </c>
      <c r="AC39" s="15"/>
      <c r="AD39" s="35">
        <f t="shared" si="62"/>
        <v>0</v>
      </c>
      <c r="AE39" s="34">
        <f t="shared" si="63"/>
        <v>0</v>
      </c>
      <c r="AF39" s="34">
        <f t="shared" si="64"/>
        <v>0</v>
      </c>
      <c r="AG39" s="34">
        <f t="shared" si="65"/>
        <v>0</v>
      </c>
      <c r="AH39" s="15"/>
      <c r="AI39" s="35">
        <f t="shared" si="66"/>
        <v>0</v>
      </c>
      <c r="AJ39" s="34">
        <f t="shared" si="67"/>
        <v>0</v>
      </c>
      <c r="AK39" s="34">
        <f t="shared" si="68"/>
        <v>0</v>
      </c>
      <c r="AL39" s="34">
        <f t="shared" si="69"/>
        <v>0</v>
      </c>
      <c r="AM39" s="15"/>
      <c r="AN39" s="35">
        <f t="shared" si="70"/>
        <v>26</v>
      </c>
      <c r="AO39" s="34">
        <f t="shared" si="71"/>
        <v>14676.16</v>
      </c>
      <c r="AP39" s="34">
        <f t="shared" si="72"/>
        <v>1467.62</v>
      </c>
      <c r="AQ39" s="34">
        <f t="shared" si="73"/>
        <v>16143.779999999999</v>
      </c>
      <c r="AR39" s="15"/>
      <c r="AS39" s="35">
        <f t="shared" si="74"/>
        <v>30</v>
      </c>
      <c r="AT39" s="34">
        <f t="shared" si="75"/>
        <v>16934.03</v>
      </c>
      <c r="AU39" s="34">
        <f t="shared" si="76"/>
        <v>1693.4</v>
      </c>
      <c r="AV39" s="34">
        <f t="shared" si="77"/>
        <v>18627.43</v>
      </c>
      <c r="AW39" s="15"/>
      <c r="AX39" s="35">
        <f t="shared" si="78"/>
        <v>31</v>
      </c>
      <c r="AY39" s="34">
        <f t="shared" si="79"/>
        <v>17498.490000000002</v>
      </c>
      <c r="AZ39" s="34">
        <f t="shared" si="80"/>
        <v>1749.85</v>
      </c>
      <c r="BA39" s="34">
        <f t="shared" si="81"/>
        <v>19248.34</v>
      </c>
      <c r="BB39" s="15"/>
      <c r="BC39" s="35">
        <f t="shared" si="82"/>
        <v>31</v>
      </c>
      <c r="BD39" s="34">
        <f t="shared" si="83"/>
        <v>17498.490000000002</v>
      </c>
      <c r="BE39" s="34">
        <f t="shared" si="84"/>
        <v>1749.85</v>
      </c>
      <c r="BF39" s="34">
        <f t="shared" si="85"/>
        <v>19248.34</v>
      </c>
      <c r="BG39" s="15"/>
      <c r="BH39" s="35">
        <f t="shared" si="86"/>
        <v>30</v>
      </c>
      <c r="BI39" s="34">
        <f t="shared" si="87"/>
        <v>16934.03</v>
      </c>
      <c r="BJ39" s="34">
        <f t="shared" si="88"/>
        <v>1693.4</v>
      </c>
      <c r="BK39" s="34">
        <f t="shared" si="89"/>
        <v>18627.43</v>
      </c>
      <c r="BL39" s="15"/>
      <c r="BM39" s="35">
        <f t="shared" si="90"/>
        <v>31</v>
      </c>
      <c r="BN39" s="34">
        <f t="shared" si="91"/>
        <v>17498.490000000002</v>
      </c>
      <c r="BO39" s="34">
        <f t="shared" si="92"/>
        <v>1749.85</v>
      </c>
      <c r="BP39" s="34">
        <f t="shared" si="93"/>
        <v>19248.34</v>
      </c>
      <c r="BQ39" s="15"/>
      <c r="BR39" s="35">
        <f t="shared" si="94"/>
        <v>30</v>
      </c>
      <c r="BS39" s="34">
        <f t="shared" si="95"/>
        <v>16934.03</v>
      </c>
      <c r="BT39" s="34">
        <f t="shared" si="96"/>
        <v>1693.4</v>
      </c>
      <c r="BU39" s="34">
        <f t="shared" si="97"/>
        <v>18627.43</v>
      </c>
      <c r="BV39" s="15"/>
      <c r="BW39" s="35">
        <f t="shared" si="98"/>
        <v>31</v>
      </c>
      <c r="BX39" s="34">
        <f t="shared" si="99"/>
        <v>17498.490000000002</v>
      </c>
      <c r="BY39" s="34">
        <f t="shared" si="100"/>
        <v>1749.85</v>
      </c>
      <c r="BZ39" s="34">
        <f t="shared" si="101"/>
        <v>19248.34</v>
      </c>
      <c r="CA39" s="35">
        <f t="shared" si="102"/>
        <v>240</v>
      </c>
      <c r="CB39" s="34">
        <f t="shared" si="103"/>
        <v>135472.21</v>
      </c>
      <c r="CC39" s="34">
        <f t="shared" si="104"/>
        <v>13547.22</v>
      </c>
      <c r="CD39" s="34">
        <f t="shared" si="105"/>
        <v>149019.43</v>
      </c>
      <c r="CE39" s="16">
        <f t="shared" si="106"/>
        <v>-0.01</v>
      </c>
      <c r="CF39" s="16">
        <f t="shared" si="107"/>
        <v>0</v>
      </c>
      <c r="CG39" s="31" t="s">
        <v>418</v>
      </c>
      <c r="CH39" s="31" t="s">
        <v>419</v>
      </c>
      <c r="CI39" s="31" t="s">
        <v>49</v>
      </c>
      <c r="CJ39" s="31" t="s">
        <v>420</v>
      </c>
      <c r="CK39" s="31" t="s">
        <v>421</v>
      </c>
      <c r="CL39" s="31" t="s">
        <v>422</v>
      </c>
      <c r="CM39" s="29">
        <v>46142</v>
      </c>
      <c r="CN39" s="28" t="s">
        <v>423</v>
      </c>
      <c r="CO39" s="28"/>
      <c r="CP39" s="28"/>
    </row>
    <row r="40" spans="1:94" ht="40.049999999999997" customHeight="1" x14ac:dyDescent="0.25">
      <c r="A40" s="62">
        <v>89</v>
      </c>
      <c r="B40" s="63">
        <v>74</v>
      </c>
      <c r="C40" s="1" t="s">
        <v>258</v>
      </c>
      <c r="D40" s="2" t="s">
        <v>412</v>
      </c>
      <c r="E40" s="2" t="s">
        <v>436</v>
      </c>
      <c r="F40" s="2" t="s">
        <v>437</v>
      </c>
      <c r="G40" s="2" t="s">
        <v>438</v>
      </c>
      <c r="H40" s="64">
        <v>26.74</v>
      </c>
      <c r="I40" s="1" t="s">
        <v>46</v>
      </c>
      <c r="J40" s="3">
        <v>948</v>
      </c>
      <c r="K40" s="1">
        <v>249</v>
      </c>
      <c r="L40" s="4">
        <v>210402</v>
      </c>
      <c r="M40" s="4">
        <v>21040</v>
      </c>
      <c r="N40" s="4">
        <v>231442</v>
      </c>
      <c r="O40" s="31" t="s">
        <v>439</v>
      </c>
      <c r="P40" s="31" t="s">
        <v>440</v>
      </c>
      <c r="Q40" s="35">
        <f t="shared" si="54"/>
        <v>249</v>
      </c>
      <c r="R40" s="14">
        <v>46184</v>
      </c>
      <c r="S40" s="14">
        <f t="shared" si="55"/>
        <v>46432</v>
      </c>
      <c r="T40" s="34">
        <v>210402</v>
      </c>
      <c r="U40" s="34">
        <f t="shared" si="56"/>
        <v>21040.2</v>
      </c>
      <c r="V40" s="34">
        <f t="shared" si="57"/>
        <v>231442.2</v>
      </c>
      <c r="W40" s="35">
        <v>204</v>
      </c>
      <c r="X40" s="14">
        <f t="shared" si="58"/>
        <v>46184</v>
      </c>
      <c r="Y40" s="14">
        <f t="shared" si="59"/>
        <v>46387</v>
      </c>
      <c r="Z40" s="34">
        <v>172377.54</v>
      </c>
      <c r="AA40" s="34">
        <f t="shared" si="60"/>
        <v>17237.75</v>
      </c>
      <c r="AB40" s="34">
        <f t="shared" si="61"/>
        <v>189615.29</v>
      </c>
      <c r="AC40" s="15"/>
      <c r="AD40" s="35">
        <f t="shared" si="62"/>
        <v>0</v>
      </c>
      <c r="AE40" s="34">
        <f t="shared" si="63"/>
        <v>0</v>
      </c>
      <c r="AF40" s="34">
        <f t="shared" si="64"/>
        <v>0</v>
      </c>
      <c r="AG40" s="34">
        <f t="shared" si="65"/>
        <v>0</v>
      </c>
      <c r="AH40" s="15"/>
      <c r="AI40" s="35">
        <f t="shared" si="66"/>
        <v>0</v>
      </c>
      <c r="AJ40" s="34">
        <f t="shared" si="67"/>
        <v>0</v>
      </c>
      <c r="AK40" s="34">
        <f t="shared" si="68"/>
        <v>0</v>
      </c>
      <c r="AL40" s="34">
        <f t="shared" si="69"/>
        <v>0</v>
      </c>
      <c r="AM40" s="15"/>
      <c r="AN40" s="35">
        <f t="shared" si="70"/>
        <v>0</v>
      </c>
      <c r="AO40" s="34">
        <f t="shared" si="71"/>
        <v>0</v>
      </c>
      <c r="AP40" s="34">
        <f t="shared" si="72"/>
        <v>0</v>
      </c>
      <c r="AQ40" s="34">
        <f t="shared" si="73"/>
        <v>0</v>
      </c>
      <c r="AR40" s="15"/>
      <c r="AS40" s="35">
        <f t="shared" si="74"/>
        <v>20</v>
      </c>
      <c r="AT40" s="34">
        <f t="shared" si="75"/>
        <v>16899.759999999998</v>
      </c>
      <c r="AU40" s="34">
        <f t="shared" si="76"/>
        <v>1689.98</v>
      </c>
      <c r="AV40" s="34">
        <f t="shared" si="77"/>
        <v>18589.739999999998</v>
      </c>
      <c r="AW40" s="15"/>
      <c r="AX40" s="35">
        <f t="shared" si="78"/>
        <v>31</v>
      </c>
      <c r="AY40" s="34">
        <f t="shared" si="79"/>
        <v>26194.63</v>
      </c>
      <c r="AZ40" s="34">
        <f t="shared" si="80"/>
        <v>2619.46</v>
      </c>
      <c r="BA40" s="34">
        <f t="shared" si="81"/>
        <v>28814.09</v>
      </c>
      <c r="BB40" s="15"/>
      <c r="BC40" s="35">
        <f t="shared" si="82"/>
        <v>31</v>
      </c>
      <c r="BD40" s="34">
        <f t="shared" si="83"/>
        <v>26194.63</v>
      </c>
      <c r="BE40" s="34">
        <f t="shared" si="84"/>
        <v>2619.46</v>
      </c>
      <c r="BF40" s="34">
        <f t="shared" si="85"/>
        <v>28814.09</v>
      </c>
      <c r="BG40" s="15"/>
      <c r="BH40" s="35">
        <f t="shared" si="86"/>
        <v>30</v>
      </c>
      <c r="BI40" s="34">
        <f t="shared" si="87"/>
        <v>25349.64</v>
      </c>
      <c r="BJ40" s="34">
        <f t="shared" si="88"/>
        <v>2534.96</v>
      </c>
      <c r="BK40" s="34">
        <f t="shared" si="89"/>
        <v>27884.6</v>
      </c>
      <c r="BL40" s="15"/>
      <c r="BM40" s="35">
        <f t="shared" si="90"/>
        <v>31</v>
      </c>
      <c r="BN40" s="34">
        <f t="shared" si="91"/>
        <v>26194.63</v>
      </c>
      <c r="BO40" s="34">
        <f t="shared" si="92"/>
        <v>2619.46</v>
      </c>
      <c r="BP40" s="34">
        <f t="shared" si="93"/>
        <v>28814.09</v>
      </c>
      <c r="BQ40" s="15"/>
      <c r="BR40" s="35">
        <f t="shared" si="94"/>
        <v>30</v>
      </c>
      <c r="BS40" s="34">
        <f t="shared" si="95"/>
        <v>25349.64</v>
      </c>
      <c r="BT40" s="34">
        <f t="shared" si="96"/>
        <v>2534.96</v>
      </c>
      <c r="BU40" s="34">
        <f t="shared" si="97"/>
        <v>27884.6</v>
      </c>
      <c r="BV40" s="15"/>
      <c r="BW40" s="35">
        <f t="shared" si="98"/>
        <v>31</v>
      </c>
      <c r="BX40" s="34">
        <f t="shared" si="99"/>
        <v>26194.63</v>
      </c>
      <c r="BY40" s="34">
        <f t="shared" si="100"/>
        <v>2619.46</v>
      </c>
      <c r="BZ40" s="34">
        <f t="shared" si="101"/>
        <v>28814.09</v>
      </c>
      <c r="CA40" s="35">
        <f t="shared" si="102"/>
        <v>204</v>
      </c>
      <c r="CB40" s="34">
        <f t="shared" si="103"/>
        <v>172377.56</v>
      </c>
      <c r="CC40" s="34">
        <f t="shared" si="104"/>
        <v>17237.739999999998</v>
      </c>
      <c r="CD40" s="34">
        <f t="shared" si="105"/>
        <v>189615.3</v>
      </c>
      <c r="CE40" s="16">
        <f t="shared" si="106"/>
        <v>-0.02</v>
      </c>
      <c r="CF40" s="16">
        <f t="shared" si="107"/>
        <v>0.01</v>
      </c>
      <c r="CG40" s="31" t="s">
        <v>418</v>
      </c>
      <c r="CH40" s="31" t="s">
        <v>419</v>
      </c>
      <c r="CI40" s="31" t="s">
        <v>49</v>
      </c>
      <c r="CJ40" s="31" t="s">
        <v>420</v>
      </c>
      <c r="CK40" s="31" t="s">
        <v>421</v>
      </c>
      <c r="CL40" s="31" t="s">
        <v>422</v>
      </c>
      <c r="CM40" s="29">
        <v>46142</v>
      </c>
      <c r="CN40" s="28" t="s">
        <v>423</v>
      </c>
      <c r="CO40" s="28"/>
      <c r="CP40" s="28"/>
    </row>
    <row r="41" spans="1:94" ht="40.049999999999997" customHeight="1" x14ac:dyDescent="0.25">
      <c r="A41" s="62">
        <v>90</v>
      </c>
      <c r="B41" s="63">
        <v>74</v>
      </c>
      <c r="C41" s="1" t="s">
        <v>258</v>
      </c>
      <c r="D41" s="2" t="s">
        <v>412</v>
      </c>
      <c r="E41" s="2" t="s">
        <v>441</v>
      </c>
      <c r="F41" s="2" t="s">
        <v>442</v>
      </c>
      <c r="G41" s="2" t="s">
        <v>443</v>
      </c>
      <c r="H41" s="64">
        <v>33.622</v>
      </c>
      <c r="I41" s="1" t="s">
        <v>46</v>
      </c>
      <c r="J41" s="3">
        <v>960</v>
      </c>
      <c r="K41" s="1">
        <v>249</v>
      </c>
      <c r="L41" s="4">
        <v>267901</v>
      </c>
      <c r="M41" s="4">
        <v>26790</v>
      </c>
      <c r="N41" s="4">
        <v>294691</v>
      </c>
      <c r="O41" s="31" t="s">
        <v>444</v>
      </c>
      <c r="P41" s="31" t="s">
        <v>445</v>
      </c>
      <c r="Q41" s="35">
        <f t="shared" si="54"/>
        <v>249</v>
      </c>
      <c r="R41" s="14">
        <v>46184</v>
      </c>
      <c r="S41" s="14">
        <f t="shared" si="55"/>
        <v>46432</v>
      </c>
      <c r="T41" s="34">
        <v>267901</v>
      </c>
      <c r="U41" s="34">
        <f t="shared" si="56"/>
        <v>26790.1</v>
      </c>
      <c r="V41" s="34">
        <f t="shared" si="57"/>
        <v>294691.09999999998</v>
      </c>
      <c r="W41" s="35">
        <v>204</v>
      </c>
      <c r="X41" s="14">
        <f t="shared" si="58"/>
        <v>46184</v>
      </c>
      <c r="Y41" s="14">
        <f t="shared" si="59"/>
        <v>46387</v>
      </c>
      <c r="Z41" s="34">
        <v>219485.16</v>
      </c>
      <c r="AA41" s="34">
        <f t="shared" si="60"/>
        <v>21948.52</v>
      </c>
      <c r="AB41" s="34">
        <f t="shared" si="61"/>
        <v>241433.68</v>
      </c>
      <c r="AC41" s="15"/>
      <c r="AD41" s="35">
        <f t="shared" si="62"/>
        <v>0</v>
      </c>
      <c r="AE41" s="34">
        <f t="shared" si="63"/>
        <v>0</v>
      </c>
      <c r="AF41" s="34">
        <f t="shared" si="64"/>
        <v>0</v>
      </c>
      <c r="AG41" s="34">
        <f t="shared" si="65"/>
        <v>0</v>
      </c>
      <c r="AH41" s="15"/>
      <c r="AI41" s="35">
        <f t="shared" si="66"/>
        <v>0</v>
      </c>
      <c r="AJ41" s="34">
        <f t="shared" si="67"/>
        <v>0</v>
      </c>
      <c r="AK41" s="34">
        <f t="shared" si="68"/>
        <v>0</v>
      </c>
      <c r="AL41" s="34">
        <f t="shared" si="69"/>
        <v>0</v>
      </c>
      <c r="AM41" s="15"/>
      <c r="AN41" s="35">
        <f t="shared" si="70"/>
        <v>0</v>
      </c>
      <c r="AO41" s="34">
        <f t="shared" si="71"/>
        <v>0</v>
      </c>
      <c r="AP41" s="34">
        <f t="shared" si="72"/>
        <v>0</v>
      </c>
      <c r="AQ41" s="34">
        <f t="shared" si="73"/>
        <v>0</v>
      </c>
      <c r="AR41" s="15"/>
      <c r="AS41" s="35">
        <f t="shared" si="74"/>
        <v>20</v>
      </c>
      <c r="AT41" s="34">
        <f t="shared" si="75"/>
        <v>21518.15</v>
      </c>
      <c r="AU41" s="34">
        <f t="shared" si="76"/>
        <v>2151.8200000000002</v>
      </c>
      <c r="AV41" s="34">
        <f t="shared" si="77"/>
        <v>23669.97</v>
      </c>
      <c r="AW41" s="15"/>
      <c r="AX41" s="35">
        <f t="shared" si="78"/>
        <v>31</v>
      </c>
      <c r="AY41" s="34">
        <f t="shared" si="79"/>
        <v>33353.14</v>
      </c>
      <c r="AZ41" s="34">
        <f t="shared" si="80"/>
        <v>3335.31</v>
      </c>
      <c r="BA41" s="34">
        <f t="shared" si="81"/>
        <v>36688.449999999997</v>
      </c>
      <c r="BB41" s="15"/>
      <c r="BC41" s="35">
        <f t="shared" si="82"/>
        <v>31</v>
      </c>
      <c r="BD41" s="34">
        <f t="shared" si="83"/>
        <v>33353.14</v>
      </c>
      <c r="BE41" s="34">
        <f t="shared" si="84"/>
        <v>3335.31</v>
      </c>
      <c r="BF41" s="34">
        <f t="shared" si="85"/>
        <v>36688.449999999997</v>
      </c>
      <c r="BG41" s="15"/>
      <c r="BH41" s="35">
        <f t="shared" si="86"/>
        <v>30</v>
      </c>
      <c r="BI41" s="34">
        <f t="shared" si="87"/>
        <v>32277.23</v>
      </c>
      <c r="BJ41" s="34">
        <f t="shared" si="88"/>
        <v>3227.72</v>
      </c>
      <c r="BK41" s="34">
        <f t="shared" si="89"/>
        <v>35504.949999999997</v>
      </c>
      <c r="BL41" s="15"/>
      <c r="BM41" s="35">
        <f t="shared" si="90"/>
        <v>31</v>
      </c>
      <c r="BN41" s="34">
        <f t="shared" si="91"/>
        <v>33353.14</v>
      </c>
      <c r="BO41" s="34">
        <f t="shared" si="92"/>
        <v>3335.31</v>
      </c>
      <c r="BP41" s="34">
        <f t="shared" si="93"/>
        <v>36688.449999999997</v>
      </c>
      <c r="BQ41" s="15"/>
      <c r="BR41" s="35">
        <f t="shared" si="94"/>
        <v>30</v>
      </c>
      <c r="BS41" s="34">
        <f t="shared" si="95"/>
        <v>32277.23</v>
      </c>
      <c r="BT41" s="34">
        <f t="shared" si="96"/>
        <v>3227.72</v>
      </c>
      <c r="BU41" s="34">
        <f t="shared" si="97"/>
        <v>35504.949999999997</v>
      </c>
      <c r="BV41" s="15"/>
      <c r="BW41" s="35">
        <f t="shared" si="98"/>
        <v>31</v>
      </c>
      <c r="BX41" s="34">
        <f t="shared" si="99"/>
        <v>33353.14</v>
      </c>
      <c r="BY41" s="34">
        <f t="shared" si="100"/>
        <v>3335.31</v>
      </c>
      <c r="BZ41" s="34">
        <f t="shared" si="101"/>
        <v>36688.449999999997</v>
      </c>
      <c r="CA41" s="35">
        <f t="shared" si="102"/>
        <v>204</v>
      </c>
      <c r="CB41" s="34">
        <f t="shared" si="103"/>
        <v>219485.16999999998</v>
      </c>
      <c r="CC41" s="34">
        <f t="shared" si="104"/>
        <v>21948.5</v>
      </c>
      <c r="CD41" s="34">
        <f t="shared" si="105"/>
        <v>241433.66999999998</v>
      </c>
      <c r="CE41" s="16">
        <f t="shared" si="106"/>
        <v>-0.01</v>
      </c>
      <c r="CF41" s="16">
        <f t="shared" si="107"/>
        <v>0.02</v>
      </c>
      <c r="CG41" s="31" t="s">
        <v>418</v>
      </c>
      <c r="CH41" s="31" t="s">
        <v>419</v>
      </c>
      <c r="CI41" s="31" t="s">
        <v>49</v>
      </c>
      <c r="CJ41" s="31" t="s">
        <v>420</v>
      </c>
      <c r="CK41" s="31" t="s">
        <v>421</v>
      </c>
      <c r="CL41" s="31" t="s">
        <v>422</v>
      </c>
      <c r="CM41" s="29">
        <v>46142</v>
      </c>
      <c r="CN41" s="28" t="s">
        <v>423</v>
      </c>
      <c r="CO41" s="28"/>
      <c r="CP41" s="28"/>
    </row>
    <row r="42" spans="1:94" ht="40.049999999999997" customHeight="1" x14ac:dyDescent="0.25">
      <c r="A42" s="62">
        <v>91</v>
      </c>
      <c r="B42" s="63">
        <v>74</v>
      </c>
      <c r="C42" s="1" t="s">
        <v>258</v>
      </c>
      <c r="D42" s="2" t="s">
        <v>412</v>
      </c>
      <c r="E42" s="2" t="s">
        <v>446</v>
      </c>
      <c r="F42" s="2" t="s">
        <v>447</v>
      </c>
      <c r="G42" s="2" t="s">
        <v>448</v>
      </c>
      <c r="H42" s="64">
        <v>19.72</v>
      </c>
      <c r="I42" s="1" t="s">
        <v>46</v>
      </c>
      <c r="J42" s="3">
        <v>947</v>
      </c>
      <c r="K42" s="1">
        <v>249</v>
      </c>
      <c r="L42" s="4">
        <v>155002</v>
      </c>
      <c r="M42" s="4">
        <v>15500</v>
      </c>
      <c r="N42" s="4">
        <v>170502</v>
      </c>
      <c r="O42" s="31" t="s">
        <v>449</v>
      </c>
      <c r="P42" s="31" t="s">
        <v>450</v>
      </c>
      <c r="Q42" s="35">
        <f t="shared" si="54"/>
        <v>249</v>
      </c>
      <c r="R42" s="14">
        <v>46191</v>
      </c>
      <c r="S42" s="14">
        <f t="shared" si="55"/>
        <v>46439</v>
      </c>
      <c r="T42" s="34">
        <v>155002</v>
      </c>
      <c r="U42" s="34">
        <f t="shared" si="56"/>
        <v>15500.2</v>
      </c>
      <c r="V42" s="34">
        <f t="shared" si="57"/>
        <v>170502.2</v>
      </c>
      <c r="W42" s="35">
        <v>195</v>
      </c>
      <c r="X42" s="14">
        <f t="shared" si="58"/>
        <v>46191</v>
      </c>
      <c r="Y42" s="14">
        <f t="shared" si="59"/>
        <v>46385</v>
      </c>
      <c r="Z42" s="34">
        <v>121387.11</v>
      </c>
      <c r="AA42" s="34">
        <f t="shared" si="60"/>
        <v>12138.71</v>
      </c>
      <c r="AB42" s="34">
        <f t="shared" si="61"/>
        <v>133525.82</v>
      </c>
      <c r="AC42" s="15"/>
      <c r="AD42" s="35">
        <f t="shared" si="62"/>
        <v>0</v>
      </c>
      <c r="AE42" s="34">
        <f t="shared" si="63"/>
        <v>0</v>
      </c>
      <c r="AF42" s="34">
        <f t="shared" si="64"/>
        <v>0</v>
      </c>
      <c r="AG42" s="34">
        <f t="shared" si="65"/>
        <v>0</v>
      </c>
      <c r="AH42" s="15"/>
      <c r="AI42" s="35">
        <f t="shared" si="66"/>
        <v>0</v>
      </c>
      <c r="AJ42" s="34">
        <f t="shared" si="67"/>
        <v>0</v>
      </c>
      <c r="AK42" s="34">
        <f t="shared" si="68"/>
        <v>0</v>
      </c>
      <c r="AL42" s="34">
        <f t="shared" si="69"/>
        <v>0</v>
      </c>
      <c r="AM42" s="15"/>
      <c r="AN42" s="35">
        <f t="shared" si="70"/>
        <v>0</v>
      </c>
      <c r="AO42" s="34">
        <f t="shared" si="71"/>
        <v>0</v>
      </c>
      <c r="AP42" s="34">
        <f t="shared" si="72"/>
        <v>0</v>
      </c>
      <c r="AQ42" s="34">
        <f t="shared" si="73"/>
        <v>0</v>
      </c>
      <c r="AR42" s="15"/>
      <c r="AS42" s="35">
        <f t="shared" si="74"/>
        <v>13</v>
      </c>
      <c r="AT42" s="34">
        <f t="shared" si="75"/>
        <v>8092.47</v>
      </c>
      <c r="AU42" s="34">
        <f t="shared" si="76"/>
        <v>809.25</v>
      </c>
      <c r="AV42" s="34">
        <f t="shared" si="77"/>
        <v>8901.7200000000012</v>
      </c>
      <c r="AW42" s="15"/>
      <c r="AX42" s="35">
        <f t="shared" si="78"/>
        <v>31</v>
      </c>
      <c r="AY42" s="34">
        <f t="shared" si="79"/>
        <v>19297.439999999999</v>
      </c>
      <c r="AZ42" s="34">
        <f t="shared" si="80"/>
        <v>1929.74</v>
      </c>
      <c r="BA42" s="34">
        <f t="shared" si="81"/>
        <v>21227.18</v>
      </c>
      <c r="BB42" s="15"/>
      <c r="BC42" s="35">
        <f t="shared" si="82"/>
        <v>31</v>
      </c>
      <c r="BD42" s="34">
        <f t="shared" si="83"/>
        <v>19297.439999999999</v>
      </c>
      <c r="BE42" s="34">
        <f t="shared" si="84"/>
        <v>1929.74</v>
      </c>
      <c r="BF42" s="34">
        <f t="shared" si="85"/>
        <v>21227.18</v>
      </c>
      <c r="BG42" s="15"/>
      <c r="BH42" s="35">
        <f t="shared" si="86"/>
        <v>30</v>
      </c>
      <c r="BI42" s="34">
        <f t="shared" si="87"/>
        <v>18674.939999999999</v>
      </c>
      <c r="BJ42" s="34">
        <f t="shared" si="88"/>
        <v>1867.49</v>
      </c>
      <c r="BK42" s="34">
        <f t="shared" si="89"/>
        <v>20542.43</v>
      </c>
      <c r="BL42" s="15"/>
      <c r="BM42" s="35">
        <f t="shared" si="90"/>
        <v>31</v>
      </c>
      <c r="BN42" s="34">
        <f t="shared" si="91"/>
        <v>19297.439999999999</v>
      </c>
      <c r="BO42" s="34">
        <f t="shared" si="92"/>
        <v>1929.74</v>
      </c>
      <c r="BP42" s="34">
        <f t="shared" si="93"/>
        <v>21227.18</v>
      </c>
      <c r="BQ42" s="15"/>
      <c r="BR42" s="35">
        <f t="shared" si="94"/>
        <v>30</v>
      </c>
      <c r="BS42" s="34">
        <f t="shared" si="95"/>
        <v>18674.939999999999</v>
      </c>
      <c r="BT42" s="34">
        <f t="shared" si="96"/>
        <v>1867.49</v>
      </c>
      <c r="BU42" s="34">
        <f t="shared" si="97"/>
        <v>20542.43</v>
      </c>
      <c r="BV42" s="15"/>
      <c r="BW42" s="35">
        <f t="shared" si="98"/>
        <v>29</v>
      </c>
      <c r="BX42" s="34">
        <f t="shared" si="99"/>
        <v>18052.439999999999</v>
      </c>
      <c r="BY42" s="34">
        <f t="shared" si="100"/>
        <v>1805.24</v>
      </c>
      <c r="BZ42" s="34">
        <f t="shared" si="101"/>
        <v>19857.68</v>
      </c>
      <c r="CA42" s="35">
        <f t="shared" si="102"/>
        <v>195</v>
      </c>
      <c r="CB42" s="34">
        <f t="shared" si="103"/>
        <v>121387.11</v>
      </c>
      <c r="CC42" s="34">
        <f t="shared" si="104"/>
        <v>12138.689999999999</v>
      </c>
      <c r="CD42" s="34">
        <f t="shared" si="105"/>
        <v>133525.79999999999</v>
      </c>
      <c r="CE42" s="16">
        <f t="shared" si="106"/>
        <v>0</v>
      </c>
      <c r="CF42" s="16">
        <f t="shared" si="107"/>
        <v>0.02</v>
      </c>
      <c r="CG42" s="31" t="s">
        <v>418</v>
      </c>
      <c r="CH42" s="31" t="s">
        <v>419</v>
      </c>
      <c r="CI42" s="31" t="s">
        <v>49</v>
      </c>
      <c r="CJ42" s="31" t="s">
        <v>420</v>
      </c>
      <c r="CK42" s="31" t="s">
        <v>421</v>
      </c>
      <c r="CL42" s="31" t="s">
        <v>422</v>
      </c>
      <c r="CM42" s="29">
        <v>46142</v>
      </c>
      <c r="CN42" s="28" t="s">
        <v>423</v>
      </c>
      <c r="CO42" s="28"/>
      <c r="CP42" s="28"/>
    </row>
    <row r="43" spans="1:94" ht="40.049999999999997" customHeight="1" x14ac:dyDescent="0.25">
      <c r="A43" s="62">
        <v>92</v>
      </c>
      <c r="B43" s="63">
        <v>74</v>
      </c>
      <c r="C43" s="1" t="s">
        <v>258</v>
      </c>
      <c r="D43" s="2" t="s">
        <v>412</v>
      </c>
      <c r="E43" s="2" t="s">
        <v>451</v>
      </c>
      <c r="F43" s="2" t="s">
        <v>452</v>
      </c>
      <c r="G43" s="2" t="s">
        <v>453</v>
      </c>
      <c r="H43" s="64">
        <v>11.536</v>
      </c>
      <c r="I43" s="1" t="s">
        <v>46</v>
      </c>
      <c r="J43" s="3">
        <v>900</v>
      </c>
      <c r="K43" s="1">
        <v>246</v>
      </c>
      <c r="L43" s="4">
        <v>85136</v>
      </c>
      <c r="M43" s="4">
        <v>8513</v>
      </c>
      <c r="N43" s="4">
        <v>93649</v>
      </c>
      <c r="O43" s="31" t="s">
        <v>454</v>
      </c>
      <c r="P43" s="31" t="s">
        <v>417</v>
      </c>
      <c r="Q43" s="35">
        <f t="shared" si="54"/>
        <v>246</v>
      </c>
      <c r="R43" s="14">
        <v>46149</v>
      </c>
      <c r="S43" s="14">
        <f t="shared" si="55"/>
        <v>46394</v>
      </c>
      <c r="T43" s="34">
        <v>85136</v>
      </c>
      <c r="U43" s="34">
        <f t="shared" si="56"/>
        <v>8513.6</v>
      </c>
      <c r="V43" s="34">
        <f t="shared" si="57"/>
        <v>93649.600000000006</v>
      </c>
      <c r="W43" s="35">
        <v>237</v>
      </c>
      <c r="X43" s="14">
        <f t="shared" si="58"/>
        <v>46149</v>
      </c>
      <c r="Y43" s="14">
        <f t="shared" si="59"/>
        <v>46385</v>
      </c>
      <c r="Z43" s="34">
        <v>82021.27</v>
      </c>
      <c r="AA43" s="34">
        <f t="shared" si="60"/>
        <v>8202.1299999999992</v>
      </c>
      <c r="AB43" s="34">
        <f t="shared" si="61"/>
        <v>90223.400000000009</v>
      </c>
      <c r="AC43" s="15"/>
      <c r="AD43" s="35">
        <f t="shared" si="62"/>
        <v>0</v>
      </c>
      <c r="AE43" s="34">
        <f t="shared" si="63"/>
        <v>0</v>
      </c>
      <c r="AF43" s="34">
        <f t="shared" si="64"/>
        <v>0</v>
      </c>
      <c r="AG43" s="34">
        <f t="shared" si="65"/>
        <v>0</v>
      </c>
      <c r="AH43" s="15"/>
      <c r="AI43" s="35">
        <f t="shared" si="66"/>
        <v>0</v>
      </c>
      <c r="AJ43" s="34">
        <f t="shared" si="67"/>
        <v>0</v>
      </c>
      <c r="AK43" s="34">
        <f t="shared" si="68"/>
        <v>0</v>
      </c>
      <c r="AL43" s="34">
        <f t="shared" si="69"/>
        <v>0</v>
      </c>
      <c r="AM43" s="15"/>
      <c r="AN43" s="35">
        <f t="shared" si="70"/>
        <v>25</v>
      </c>
      <c r="AO43" s="34">
        <f t="shared" si="71"/>
        <v>8652.0300000000007</v>
      </c>
      <c r="AP43" s="34">
        <f t="shared" si="72"/>
        <v>865.2</v>
      </c>
      <c r="AQ43" s="34">
        <f t="shared" si="73"/>
        <v>9517.2300000000014</v>
      </c>
      <c r="AR43" s="15"/>
      <c r="AS43" s="35">
        <f t="shared" si="74"/>
        <v>30</v>
      </c>
      <c r="AT43" s="34">
        <f t="shared" si="75"/>
        <v>10382.44</v>
      </c>
      <c r="AU43" s="34">
        <f t="shared" si="76"/>
        <v>1038.24</v>
      </c>
      <c r="AV43" s="34">
        <f t="shared" si="77"/>
        <v>11420.68</v>
      </c>
      <c r="AW43" s="15"/>
      <c r="AX43" s="35">
        <f t="shared" si="78"/>
        <v>31</v>
      </c>
      <c r="AY43" s="34">
        <f t="shared" si="79"/>
        <v>10728.52</v>
      </c>
      <c r="AZ43" s="34">
        <f t="shared" si="80"/>
        <v>1072.8499999999999</v>
      </c>
      <c r="BA43" s="34">
        <f t="shared" si="81"/>
        <v>11801.37</v>
      </c>
      <c r="BB43" s="15"/>
      <c r="BC43" s="35">
        <f t="shared" si="82"/>
        <v>31</v>
      </c>
      <c r="BD43" s="34">
        <f t="shared" si="83"/>
        <v>10728.52</v>
      </c>
      <c r="BE43" s="34">
        <f t="shared" si="84"/>
        <v>1072.8499999999999</v>
      </c>
      <c r="BF43" s="34">
        <f t="shared" si="85"/>
        <v>11801.37</v>
      </c>
      <c r="BG43" s="15"/>
      <c r="BH43" s="35">
        <f t="shared" si="86"/>
        <v>30</v>
      </c>
      <c r="BI43" s="34">
        <f t="shared" si="87"/>
        <v>10382.44</v>
      </c>
      <c r="BJ43" s="34">
        <f t="shared" si="88"/>
        <v>1038.24</v>
      </c>
      <c r="BK43" s="34">
        <f t="shared" si="89"/>
        <v>11420.68</v>
      </c>
      <c r="BL43" s="15"/>
      <c r="BM43" s="35">
        <f t="shared" si="90"/>
        <v>31</v>
      </c>
      <c r="BN43" s="34">
        <f t="shared" si="91"/>
        <v>10728.52</v>
      </c>
      <c r="BO43" s="34">
        <f t="shared" si="92"/>
        <v>1072.8499999999999</v>
      </c>
      <c r="BP43" s="34">
        <f t="shared" si="93"/>
        <v>11801.37</v>
      </c>
      <c r="BQ43" s="15"/>
      <c r="BR43" s="35">
        <f t="shared" si="94"/>
        <v>30</v>
      </c>
      <c r="BS43" s="34">
        <f t="shared" si="95"/>
        <v>10382.44</v>
      </c>
      <c r="BT43" s="34">
        <f t="shared" si="96"/>
        <v>1038.24</v>
      </c>
      <c r="BU43" s="34">
        <f t="shared" si="97"/>
        <v>11420.68</v>
      </c>
      <c r="BV43" s="15"/>
      <c r="BW43" s="35">
        <f t="shared" si="98"/>
        <v>29</v>
      </c>
      <c r="BX43" s="34">
        <f t="shared" si="99"/>
        <v>10036.36</v>
      </c>
      <c r="BY43" s="34">
        <f t="shared" si="100"/>
        <v>1003.64</v>
      </c>
      <c r="BZ43" s="34">
        <f t="shared" si="101"/>
        <v>11040</v>
      </c>
      <c r="CA43" s="35">
        <f t="shared" si="102"/>
        <v>237</v>
      </c>
      <c r="CB43" s="34">
        <f t="shared" si="103"/>
        <v>82021.27</v>
      </c>
      <c r="CC43" s="34">
        <f t="shared" si="104"/>
        <v>8202.1099999999988</v>
      </c>
      <c r="CD43" s="34">
        <f t="shared" si="105"/>
        <v>90223.38</v>
      </c>
      <c r="CE43" s="16">
        <f t="shared" si="106"/>
        <v>0</v>
      </c>
      <c r="CF43" s="16">
        <f t="shared" si="107"/>
        <v>0.02</v>
      </c>
      <c r="CG43" s="31" t="s">
        <v>418</v>
      </c>
      <c r="CH43" s="31" t="s">
        <v>419</v>
      </c>
      <c r="CI43" s="31" t="s">
        <v>49</v>
      </c>
      <c r="CJ43" s="31" t="s">
        <v>420</v>
      </c>
      <c r="CK43" s="31" t="s">
        <v>421</v>
      </c>
      <c r="CL43" s="31" t="s">
        <v>422</v>
      </c>
      <c r="CM43" s="29">
        <v>46142</v>
      </c>
      <c r="CN43" s="28" t="s">
        <v>423</v>
      </c>
      <c r="CO43" s="28"/>
      <c r="CP43" s="28"/>
    </row>
    <row r="44" spans="1:94" ht="40.049999999999997" customHeight="1" x14ac:dyDescent="0.25">
      <c r="A44" s="62">
        <v>93</v>
      </c>
      <c r="B44" s="63">
        <v>74</v>
      </c>
      <c r="C44" s="1" t="s">
        <v>258</v>
      </c>
      <c r="D44" s="2" t="s">
        <v>412</v>
      </c>
      <c r="E44" s="2" t="s">
        <v>451</v>
      </c>
      <c r="F44" s="2" t="s">
        <v>455</v>
      </c>
      <c r="G44" s="2" t="s">
        <v>456</v>
      </c>
      <c r="H44" s="64">
        <v>9.7929999999999993</v>
      </c>
      <c r="I44" s="1" t="s">
        <v>46</v>
      </c>
      <c r="J44" s="3">
        <v>900</v>
      </c>
      <c r="K44" s="1">
        <v>246</v>
      </c>
      <c r="L44" s="4">
        <v>72273</v>
      </c>
      <c r="M44" s="4">
        <v>7227</v>
      </c>
      <c r="N44" s="4">
        <v>79500</v>
      </c>
      <c r="O44" s="31" t="s">
        <v>457</v>
      </c>
      <c r="P44" s="31" t="s">
        <v>417</v>
      </c>
      <c r="Q44" s="35">
        <f t="shared" si="54"/>
        <v>246</v>
      </c>
      <c r="R44" s="14">
        <v>46149</v>
      </c>
      <c r="S44" s="14">
        <f t="shared" si="55"/>
        <v>46394</v>
      </c>
      <c r="T44" s="34">
        <v>72273</v>
      </c>
      <c r="U44" s="34">
        <f t="shared" si="56"/>
        <v>7227.3</v>
      </c>
      <c r="V44" s="34">
        <f t="shared" si="57"/>
        <v>79500.3</v>
      </c>
      <c r="W44" s="35">
        <v>237</v>
      </c>
      <c r="X44" s="14">
        <f t="shared" si="58"/>
        <v>46149</v>
      </c>
      <c r="Y44" s="14">
        <f t="shared" si="59"/>
        <v>46385</v>
      </c>
      <c r="Z44" s="34">
        <v>69628.87</v>
      </c>
      <c r="AA44" s="34">
        <f t="shared" si="60"/>
        <v>6962.89</v>
      </c>
      <c r="AB44" s="34">
        <f t="shared" si="61"/>
        <v>76591.759999999995</v>
      </c>
      <c r="AC44" s="15"/>
      <c r="AD44" s="35">
        <f t="shared" si="62"/>
        <v>0</v>
      </c>
      <c r="AE44" s="34">
        <f t="shared" si="63"/>
        <v>0</v>
      </c>
      <c r="AF44" s="34">
        <f t="shared" si="64"/>
        <v>0</v>
      </c>
      <c r="AG44" s="34">
        <f t="shared" si="65"/>
        <v>0</v>
      </c>
      <c r="AH44" s="15"/>
      <c r="AI44" s="35">
        <f t="shared" si="66"/>
        <v>0</v>
      </c>
      <c r="AJ44" s="34">
        <f t="shared" si="67"/>
        <v>0</v>
      </c>
      <c r="AK44" s="34">
        <f t="shared" si="68"/>
        <v>0</v>
      </c>
      <c r="AL44" s="34">
        <f t="shared" si="69"/>
        <v>0</v>
      </c>
      <c r="AM44" s="15"/>
      <c r="AN44" s="35">
        <f t="shared" si="70"/>
        <v>25</v>
      </c>
      <c r="AO44" s="34">
        <f t="shared" si="71"/>
        <v>7344.82</v>
      </c>
      <c r="AP44" s="34">
        <f t="shared" si="72"/>
        <v>734.48</v>
      </c>
      <c r="AQ44" s="34">
        <f t="shared" si="73"/>
        <v>8079.2999999999993</v>
      </c>
      <c r="AR44" s="15"/>
      <c r="AS44" s="35">
        <f t="shared" si="74"/>
        <v>30</v>
      </c>
      <c r="AT44" s="34">
        <f t="shared" si="75"/>
        <v>8813.7800000000007</v>
      </c>
      <c r="AU44" s="34">
        <f t="shared" si="76"/>
        <v>881.38</v>
      </c>
      <c r="AV44" s="34">
        <f t="shared" si="77"/>
        <v>9695.16</v>
      </c>
      <c r="AW44" s="15"/>
      <c r="AX44" s="35">
        <f t="shared" si="78"/>
        <v>31</v>
      </c>
      <c r="AY44" s="34">
        <f t="shared" si="79"/>
        <v>9107.57</v>
      </c>
      <c r="AZ44" s="34">
        <f t="shared" si="80"/>
        <v>910.76</v>
      </c>
      <c r="BA44" s="34">
        <f t="shared" si="81"/>
        <v>10018.33</v>
      </c>
      <c r="BB44" s="15"/>
      <c r="BC44" s="35">
        <f t="shared" si="82"/>
        <v>31</v>
      </c>
      <c r="BD44" s="34">
        <f t="shared" si="83"/>
        <v>9107.57</v>
      </c>
      <c r="BE44" s="34">
        <f t="shared" si="84"/>
        <v>910.76</v>
      </c>
      <c r="BF44" s="34">
        <f t="shared" si="85"/>
        <v>10018.33</v>
      </c>
      <c r="BG44" s="15"/>
      <c r="BH44" s="35">
        <f t="shared" si="86"/>
        <v>30</v>
      </c>
      <c r="BI44" s="34">
        <f t="shared" si="87"/>
        <v>8813.7800000000007</v>
      </c>
      <c r="BJ44" s="34">
        <f t="shared" si="88"/>
        <v>881.38</v>
      </c>
      <c r="BK44" s="34">
        <f t="shared" si="89"/>
        <v>9695.16</v>
      </c>
      <c r="BL44" s="15"/>
      <c r="BM44" s="35">
        <f t="shared" si="90"/>
        <v>31</v>
      </c>
      <c r="BN44" s="34">
        <f t="shared" si="91"/>
        <v>9107.57</v>
      </c>
      <c r="BO44" s="34">
        <f t="shared" si="92"/>
        <v>910.76</v>
      </c>
      <c r="BP44" s="34">
        <f t="shared" si="93"/>
        <v>10018.33</v>
      </c>
      <c r="BQ44" s="15"/>
      <c r="BR44" s="35">
        <f t="shared" si="94"/>
        <v>30</v>
      </c>
      <c r="BS44" s="34">
        <f t="shared" si="95"/>
        <v>8813.7800000000007</v>
      </c>
      <c r="BT44" s="34">
        <f t="shared" si="96"/>
        <v>881.38</v>
      </c>
      <c r="BU44" s="34">
        <f t="shared" si="97"/>
        <v>9695.16</v>
      </c>
      <c r="BV44" s="15"/>
      <c r="BW44" s="35">
        <f t="shared" si="98"/>
        <v>29</v>
      </c>
      <c r="BX44" s="34">
        <f t="shared" si="99"/>
        <v>8519.99</v>
      </c>
      <c r="BY44" s="34">
        <f t="shared" si="100"/>
        <v>852</v>
      </c>
      <c r="BZ44" s="34">
        <f t="shared" si="101"/>
        <v>9371.99</v>
      </c>
      <c r="CA44" s="35">
        <f t="shared" si="102"/>
        <v>237</v>
      </c>
      <c r="CB44" s="34">
        <f t="shared" si="103"/>
        <v>69628.86</v>
      </c>
      <c r="CC44" s="34">
        <f t="shared" si="104"/>
        <v>6962.9000000000005</v>
      </c>
      <c r="CD44" s="34">
        <f t="shared" si="105"/>
        <v>76591.759999999995</v>
      </c>
      <c r="CE44" s="16">
        <f t="shared" si="106"/>
        <v>0.01</v>
      </c>
      <c r="CF44" s="16">
        <f t="shared" si="107"/>
        <v>-0.01</v>
      </c>
      <c r="CG44" s="31" t="s">
        <v>418</v>
      </c>
      <c r="CH44" s="31" t="s">
        <v>419</v>
      </c>
      <c r="CI44" s="31" t="s">
        <v>49</v>
      </c>
      <c r="CJ44" s="31" t="s">
        <v>420</v>
      </c>
      <c r="CK44" s="31" t="s">
        <v>421</v>
      </c>
      <c r="CL44" s="31" t="s">
        <v>422</v>
      </c>
      <c r="CM44" s="29">
        <v>46142</v>
      </c>
      <c r="CN44" s="28" t="s">
        <v>423</v>
      </c>
      <c r="CO44" s="28"/>
      <c r="CP44" s="28"/>
    </row>
    <row r="45" spans="1:94" ht="40.049999999999997" customHeight="1" x14ac:dyDescent="0.25">
      <c r="A45" s="62">
        <v>94</v>
      </c>
      <c r="B45" s="63">
        <v>74</v>
      </c>
      <c r="C45" s="1" t="s">
        <v>258</v>
      </c>
      <c r="D45" s="2" t="s">
        <v>412</v>
      </c>
      <c r="E45" s="2" t="s">
        <v>458</v>
      </c>
      <c r="F45" s="2" t="s">
        <v>459</v>
      </c>
      <c r="G45" s="2" t="s">
        <v>460</v>
      </c>
      <c r="H45" s="64">
        <v>33.646000000000001</v>
      </c>
      <c r="I45" s="1" t="s">
        <v>46</v>
      </c>
      <c r="J45" s="3">
        <v>804</v>
      </c>
      <c r="K45" s="1">
        <v>246</v>
      </c>
      <c r="L45" s="4">
        <v>221822</v>
      </c>
      <c r="M45" s="4">
        <v>22182</v>
      </c>
      <c r="N45" s="4">
        <v>244004</v>
      </c>
      <c r="O45" s="31" t="s">
        <v>461</v>
      </c>
      <c r="P45" s="31" t="s">
        <v>432</v>
      </c>
      <c r="Q45" s="35">
        <f t="shared" si="54"/>
        <v>246</v>
      </c>
      <c r="R45" s="14">
        <v>46190</v>
      </c>
      <c r="S45" s="14">
        <f t="shared" si="55"/>
        <v>46435</v>
      </c>
      <c r="T45" s="34">
        <v>221822</v>
      </c>
      <c r="U45" s="34">
        <f t="shared" si="56"/>
        <v>22182.2</v>
      </c>
      <c r="V45" s="34">
        <f t="shared" si="57"/>
        <v>244004.2</v>
      </c>
      <c r="W45" s="35">
        <v>198</v>
      </c>
      <c r="X45" s="14">
        <f t="shared" si="58"/>
        <v>46190</v>
      </c>
      <c r="Y45" s="14">
        <f t="shared" si="59"/>
        <v>46387</v>
      </c>
      <c r="Z45" s="34">
        <v>178539.66</v>
      </c>
      <c r="AA45" s="34">
        <f t="shared" si="60"/>
        <v>17853.97</v>
      </c>
      <c r="AB45" s="34">
        <f t="shared" si="61"/>
        <v>196393.63</v>
      </c>
      <c r="AC45" s="15"/>
      <c r="AD45" s="35">
        <f t="shared" si="62"/>
        <v>0</v>
      </c>
      <c r="AE45" s="34">
        <f t="shared" si="63"/>
        <v>0</v>
      </c>
      <c r="AF45" s="34">
        <f t="shared" si="64"/>
        <v>0</v>
      </c>
      <c r="AG45" s="34">
        <f t="shared" si="65"/>
        <v>0</v>
      </c>
      <c r="AH45" s="15"/>
      <c r="AI45" s="35">
        <f t="shared" si="66"/>
        <v>0</v>
      </c>
      <c r="AJ45" s="34">
        <f t="shared" si="67"/>
        <v>0</v>
      </c>
      <c r="AK45" s="34">
        <f t="shared" si="68"/>
        <v>0</v>
      </c>
      <c r="AL45" s="34">
        <f t="shared" si="69"/>
        <v>0</v>
      </c>
      <c r="AM45" s="15"/>
      <c r="AN45" s="35">
        <f t="shared" si="70"/>
        <v>0</v>
      </c>
      <c r="AO45" s="34">
        <f t="shared" si="71"/>
        <v>0</v>
      </c>
      <c r="AP45" s="34">
        <f t="shared" si="72"/>
        <v>0</v>
      </c>
      <c r="AQ45" s="34">
        <f t="shared" si="73"/>
        <v>0</v>
      </c>
      <c r="AR45" s="15"/>
      <c r="AS45" s="35">
        <f t="shared" si="74"/>
        <v>14</v>
      </c>
      <c r="AT45" s="34">
        <f t="shared" si="75"/>
        <v>12624.02</v>
      </c>
      <c r="AU45" s="34">
        <f t="shared" si="76"/>
        <v>1262.4000000000001</v>
      </c>
      <c r="AV45" s="34">
        <f t="shared" si="77"/>
        <v>13886.42</v>
      </c>
      <c r="AW45" s="15"/>
      <c r="AX45" s="35">
        <f t="shared" si="78"/>
        <v>31</v>
      </c>
      <c r="AY45" s="34">
        <f t="shared" si="79"/>
        <v>27953.18</v>
      </c>
      <c r="AZ45" s="34">
        <f t="shared" si="80"/>
        <v>2795.32</v>
      </c>
      <c r="BA45" s="34">
        <f t="shared" si="81"/>
        <v>30748.5</v>
      </c>
      <c r="BB45" s="15"/>
      <c r="BC45" s="35">
        <f t="shared" si="82"/>
        <v>31</v>
      </c>
      <c r="BD45" s="34">
        <f t="shared" si="83"/>
        <v>27953.18</v>
      </c>
      <c r="BE45" s="34">
        <f t="shared" si="84"/>
        <v>2795.32</v>
      </c>
      <c r="BF45" s="34">
        <f t="shared" si="85"/>
        <v>30748.5</v>
      </c>
      <c r="BG45" s="15"/>
      <c r="BH45" s="35">
        <f t="shared" si="86"/>
        <v>30</v>
      </c>
      <c r="BI45" s="34">
        <f t="shared" si="87"/>
        <v>27051.46</v>
      </c>
      <c r="BJ45" s="34">
        <f t="shared" si="88"/>
        <v>2705.15</v>
      </c>
      <c r="BK45" s="34">
        <f t="shared" si="89"/>
        <v>29756.61</v>
      </c>
      <c r="BL45" s="15"/>
      <c r="BM45" s="35">
        <f t="shared" si="90"/>
        <v>31</v>
      </c>
      <c r="BN45" s="34">
        <f t="shared" si="91"/>
        <v>27953.18</v>
      </c>
      <c r="BO45" s="34">
        <f t="shared" si="92"/>
        <v>2795.32</v>
      </c>
      <c r="BP45" s="34">
        <f t="shared" si="93"/>
        <v>30748.5</v>
      </c>
      <c r="BQ45" s="15"/>
      <c r="BR45" s="35">
        <f t="shared" si="94"/>
        <v>30</v>
      </c>
      <c r="BS45" s="34">
        <f t="shared" si="95"/>
        <v>27051.46</v>
      </c>
      <c r="BT45" s="34">
        <f t="shared" si="96"/>
        <v>2705.15</v>
      </c>
      <c r="BU45" s="34">
        <f t="shared" si="97"/>
        <v>29756.61</v>
      </c>
      <c r="BV45" s="15"/>
      <c r="BW45" s="35">
        <f t="shared" si="98"/>
        <v>31</v>
      </c>
      <c r="BX45" s="34">
        <f t="shared" si="99"/>
        <v>27953.18</v>
      </c>
      <c r="BY45" s="34">
        <f t="shared" si="100"/>
        <v>2795.32</v>
      </c>
      <c r="BZ45" s="34">
        <f t="shared" si="101"/>
        <v>30748.5</v>
      </c>
      <c r="CA45" s="35">
        <f t="shared" si="102"/>
        <v>198</v>
      </c>
      <c r="CB45" s="34">
        <f t="shared" si="103"/>
        <v>178539.65999999997</v>
      </c>
      <c r="CC45" s="34">
        <f t="shared" si="104"/>
        <v>17853.98</v>
      </c>
      <c r="CD45" s="34">
        <f t="shared" si="105"/>
        <v>196393.63999999998</v>
      </c>
      <c r="CE45" s="16">
        <f t="shared" si="106"/>
        <v>0</v>
      </c>
      <c r="CF45" s="16">
        <f t="shared" si="107"/>
        <v>-0.01</v>
      </c>
      <c r="CG45" s="31" t="s">
        <v>418</v>
      </c>
      <c r="CH45" s="31" t="s">
        <v>419</v>
      </c>
      <c r="CI45" s="31" t="s">
        <v>49</v>
      </c>
      <c r="CJ45" s="31" t="s">
        <v>420</v>
      </c>
      <c r="CK45" s="31" t="s">
        <v>421</v>
      </c>
      <c r="CL45" s="31" t="s">
        <v>422</v>
      </c>
      <c r="CM45" s="29">
        <v>46142</v>
      </c>
      <c r="CN45" s="28" t="s">
        <v>423</v>
      </c>
      <c r="CO45" s="28"/>
      <c r="CP45" s="28"/>
    </row>
    <row r="46" spans="1:94" ht="40.049999999999997" customHeight="1" x14ac:dyDescent="0.25">
      <c r="A46" s="62">
        <v>95</v>
      </c>
      <c r="B46" s="63">
        <v>74</v>
      </c>
      <c r="C46" s="1" t="s">
        <v>258</v>
      </c>
      <c r="D46" s="2" t="s">
        <v>412</v>
      </c>
      <c r="E46" s="2" t="s">
        <v>462</v>
      </c>
      <c r="F46" s="2" t="s">
        <v>463</v>
      </c>
      <c r="G46" s="2" t="s">
        <v>464</v>
      </c>
      <c r="H46" s="64">
        <v>19.64</v>
      </c>
      <c r="I46" s="1" t="s">
        <v>46</v>
      </c>
      <c r="J46" s="3">
        <v>776</v>
      </c>
      <c r="K46" s="1">
        <v>249</v>
      </c>
      <c r="L46" s="4">
        <v>126498</v>
      </c>
      <c r="M46" s="4">
        <v>12649</v>
      </c>
      <c r="N46" s="4">
        <v>139147</v>
      </c>
      <c r="O46" s="31" t="s">
        <v>465</v>
      </c>
      <c r="P46" s="31" t="s">
        <v>466</v>
      </c>
      <c r="Q46" s="35">
        <f t="shared" si="54"/>
        <v>249</v>
      </c>
      <c r="R46" s="14">
        <v>46197</v>
      </c>
      <c r="S46" s="14">
        <f t="shared" si="55"/>
        <v>46445</v>
      </c>
      <c r="T46" s="34">
        <v>126498</v>
      </c>
      <c r="U46" s="34">
        <f t="shared" si="56"/>
        <v>12649.8</v>
      </c>
      <c r="V46" s="34">
        <f t="shared" si="57"/>
        <v>139147.79999999999</v>
      </c>
      <c r="W46" s="35">
        <v>189</v>
      </c>
      <c r="X46" s="14">
        <f t="shared" si="58"/>
        <v>46197</v>
      </c>
      <c r="Y46" s="14">
        <f t="shared" si="59"/>
        <v>46385</v>
      </c>
      <c r="Z46" s="34">
        <v>96016.55</v>
      </c>
      <c r="AA46" s="34">
        <f t="shared" si="60"/>
        <v>9601.66</v>
      </c>
      <c r="AB46" s="34">
        <f t="shared" si="61"/>
        <v>105618.21</v>
      </c>
      <c r="AC46" s="15"/>
      <c r="AD46" s="35">
        <f t="shared" si="62"/>
        <v>0</v>
      </c>
      <c r="AE46" s="34">
        <f t="shared" si="63"/>
        <v>0</v>
      </c>
      <c r="AF46" s="34">
        <f t="shared" si="64"/>
        <v>0</v>
      </c>
      <c r="AG46" s="34">
        <f t="shared" si="65"/>
        <v>0</v>
      </c>
      <c r="AH46" s="15"/>
      <c r="AI46" s="35">
        <f t="shared" si="66"/>
        <v>0</v>
      </c>
      <c r="AJ46" s="34">
        <f t="shared" si="67"/>
        <v>0</v>
      </c>
      <c r="AK46" s="34">
        <f t="shared" si="68"/>
        <v>0</v>
      </c>
      <c r="AL46" s="34">
        <f t="shared" si="69"/>
        <v>0</v>
      </c>
      <c r="AM46" s="15"/>
      <c r="AN46" s="35">
        <f t="shared" si="70"/>
        <v>0</v>
      </c>
      <c r="AO46" s="34">
        <f t="shared" si="71"/>
        <v>0</v>
      </c>
      <c r="AP46" s="34">
        <f t="shared" si="72"/>
        <v>0</v>
      </c>
      <c r="AQ46" s="34">
        <f t="shared" si="73"/>
        <v>0</v>
      </c>
      <c r="AR46" s="15"/>
      <c r="AS46" s="35">
        <f t="shared" si="74"/>
        <v>7</v>
      </c>
      <c r="AT46" s="34">
        <f t="shared" si="75"/>
        <v>3556.17</v>
      </c>
      <c r="AU46" s="34">
        <f t="shared" si="76"/>
        <v>355.62</v>
      </c>
      <c r="AV46" s="34">
        <f t="shared" si="77"/>
        <v>3911.79</v>
      </c>
      <c r="AW46" s="15"/>
      <c r="AX46" s="35">
        <f t="shared" si="78"/>
        <v>31</v>
      </c>
      <c r="AY46" s="34">
        <f t="shared" si="79"/>
        <v>15748.75</v>
      </c>
      <c r="AZ46" s="34">
        <f t="shared" si="80"/>
        <v>1574.88</v>
      </c>
      <c r="BA46" s="34">
        <f t="shared" si="81"/>
        <v>17323.63</v>
      </c>
      <c r="BB46" s="15"/>
      <c r="BC46" s="35">
        <f t="shared" si="82"/>
        <v>31</v>
      </c>
      <c r="BD46" s="34">
        <f t="shared" si="83"/>
        <v>15748.75</v>
      </c>
      <c r="BE46" s="34">
        <f t="shared" si="84"/>
        <v>1574.88</v>
      </c>
      <c r="BF46" s="34">
        <f t="shared" si="85"/>
        <v>17323.63</v>
      </c>
      <c r="BG46" s="15"/>
      <c r="BH46" s="35">
        <f t="shared" si="86"/>
        <v>30</v>
      </c>
      <c r="BI46" s="34">
        <f t="shared" si="87"/>
        <v>15240.72</v>
      </c>
      <c r="BJ46" s="34">
        <f t="shared" si="88"/>
        <v>1524.07</v>
      </c>
      <c r="BK46" s="34">
        <f t="shared" si="89"/>
        <v>16764.79</v>
      </c>
      <c r="BL46" s="15"/>
      <c r="BM46" s="35">
        <f t="shared" si="90"/>
        <v>31</v>
      </c>
      <c r="BN46" s="34">
        <f t="shared" si="91"/>
        <v>15748.75</v>
      </c>
      <c r="BO46" s="34">
        <f t="shared" si="92"/>
        <v>1574.88</v>
      </c>
      <c r="BP46" s="34">
        <f t="shared" si="93"/>
        <v>17323.63</v>
      </c>
      <c r="BQ46" s="15"/>
      <c r="BR46" s="35">
        <f t="shared" si="94"/>
        <v>30</v>
      </c>
      <c r="BS46" s="34">
        <f t="shared" si="95"/>
        <v>15240.72</v>
      </c>
      <c r="BT46" s="34">
        <f t="shared" si="96"/>
        <v>1524.07</v>
      </c>
      <c r="BU46" s="34">
        <f t="shared" si="97"/>
        <v>16764.79</v>
      </c>
      <c r="BV46" s="15"/>
      <c r="BW46" s="35">
        <f t="shared" si="98"/>
        <v>29</v>
      </c>
      <c r="BX46" s="34">
        <f t="shared" si="99"/>
        <v>14732.7</v>
      </c>
      <c r="BY46" s="34">
        <f t="shared" si="100"/>
        <v>1473.27</v>
      </c>
      <c r="BZ46" s="34">
        <f t="shared" si="101"/>
        <v>16205.970000000001</v>
      </c>
      <c r="CA46" s="35">
        <f t="shared" si="102"/>
        <v>189</v>
      </c>
      <c r="CB46" s="34">
        <f t="shared" si="103"/>
        <v>96016.56</v>
      </c>
      <c r="CC46" s="34">
        <f t="shared" si="104"/>
        <v>9601.67</v>
      </c>
      <c r="CD46" s="34">
        <f t="shared" si="105"/>
        <v>105618.23</v>
      </c>
      <c r="CE46" s="16">
        <f t="shared" si="106"/>
        <v>-0.01</v>
      </c>
      <c r="CF46" s="16">
        <f t="shared" si="107"/>
        <v>-0.01</v>
      </c>
      <c r="CG46" s="31" t="s">
        <v>418</v>
      </c>
      <c r="CH46" s="31" t="s">
        <v>419</v>
      </c>
      <c r="CI46" s="31" t="s">
        <v>49</v>
      </c>
      <c r="CJ46" s="31" t="s">
        <v>420</v>
      </c>
      <c r="CK46" s="31" t="s">
        <v>421</v>
      </c>
      <c r="CL46" s="31" t="s">
        <v>422</v>
      </c>
      <c r="CM46" s="29">
        <v>46142</v>
      </c>
      <c r="CN46" s="28" t="s">
        <v>423</v>
      </c>
      <c r="CO46" s="28"/>
      <c r="CP46" s="28"/>
    </row>
    <row r="47" spans="1:94" ht="40.049999999999997" customHeight="1" x14ac:dyDescent="0.25">
      <c r="A47" s="62">
        <v>96</v>
      </c>
      <c r="B47" s="63">
        <v>74</v>
      </c>
      <c r="C47" s="1" t="s">
        <v>258</v>
      </c>
      <c r="D47" s="2" t="s">
        <v>412</v>
      </c>
      <c r="E47" s="2" t="s">
        <v>467</v>
      </c>
      <c r="F47" s="2" t="s">
        <v>468</v>
      </c>
      <c r="G47" s="2" t="s">
        <v>469</v>
      </c>
      <c r="H47" s="64">
        <v>15.8</v>
      </c>
      <c r="I47" s="1" t="s">
        <v>46</v>
      </c>
      <c r="J47" s="3">
        <v>840</v>
      </c>
      <c r="K47" s="1">
        <v>249</v>
      </c>
      <c r="L47" s="4">
        <v>110158</v>
      </c>
      <c r="M47" s="4">
        <v>11015</v>
      </c>
      <c r="N47" s="4">
        <v>121173</v>
      </c>
      <c r="O47" s="31" t="s">
        <v>470</v>
      </c>
      <c r="P47" s="31" t="s">
        <v>471</v>
      </c>
      <c r="Q47" s="35">
        <f t="shared" si="54"/>
        <v>249</v>
      </c>
      <c r="R47" s="14">
        <v>46149</v>
      </c>
      <c r="S47" s="14">
        <f t="shared" si="55"/>
        <v>46397</v>
      </c>
      <c r="T47" s="34">
        <v>110158</v>
      </c>
      <c r="U47" s="34">
        <f t="shared" si="56"/>
        <v>11015.8</v>
      </c>
      <c r="V47" s="34">
        <f t="shared" si="57"/>
        <v>121173.8</v>
      </c>
      <c r="W47" s="35">
        <v>237</v>
      </c>
      <c r="X47" s="14">
        <f t="shared" si="58"/>
        <v>46149</v>
      </c>
      <c r="Y47" s="14">
        <f t="shared" si="59"/>
        <v>46385</v>
      </c>
      <c r="Z47" s="34">
        <v>104849.18</v>
      </c>
      <c r="AA47" s="34">
        <f t="shared" si="60"/>
        <v>10484.92</v>
      </c>
      <c r="AB47" s="34">
        <f t="shared" si="61"/>
        <v>115334.09999999999</v>
      </c>
      <c r="AC47" s="15"/>
      <c r="AD47" s="35">
        <f t="shared" si="62"/>
        <v>0</v>
      </c>
      <c r="AE47" s="34">
        <f t="shared" si="63"/>
        <v>0</v>
      </c>
      <c r="AF47" s="34">
        <f t="shared" si="64"/>
        <v>0</v>
      </c>
      <c r="AG47" s="34">
        <f t="shared" si="65"/>
        <v>0</v>
      </c>
      <c r="AH47" s="15"/>
      <c r="AI47" s="35">
        <f t="shared" si="66"/>
        <v>0</v>
      </c>
      <c r="AJ47" s="34">
        <f t="shared" si="67"/>
        <v>0</v>
      </c>
      <c r="AK47" s="34">
        <f t="shared" si="68"/>
        <v>0</v>
      </c>
      <c r="AL47" s="34">
        <f t="shared" si="69"/>
        <v>0</v>
      </c>
      <c r="AM47" s="15"/>
      <c r="AN47" s="35">
        <f t="shared" si="70"/>
        <v>25</v>
      </c>
      <c r="AO47" s="34">
        <f t="shared" si="71"/>
        <v>11060.04</v>
      </c>
      <c r="AP47" s="34">
        <f t="shared" si="72"/>
        <v>1106</v>
      </c>
      <c r="AQ47" s="34">
        <f t="shared" si="73"/>
        <v>12166.04</v>
      </c>
      <c r="AR47" s="15"/>
      <c r="AS47" s="35">
        <f t="shared" si="74"/>
        <v>30</v>
      </c>
      <c r="AT47" s="34">
        <f t="shared" si="75"/>
        <v>13272.05</v>
      </c>
      <c r="AU47" s="34">
        <f t="shared" si="76"/>
        <v>1327.21</v>
      </c>
      <c r="AV47" s="34">
        <f t="shared" si="77"/>
        <v>14599.259999999998</v>
      </c>
      <c r="AW47" s="15"/>
      <c r="AX47" s="35">
        <f t="shared" si="78"/>
        <v>31</v>
      </c>
      <c r="AY47" s="34">
        <f t="shared" si="79"/>
        <v>13714.45</v>
      </c>
      <c r="AZ47" s="34">
        <f t="shared" si="80"/>
        <v>1371.45</v>
      </c>
      <c r="BA47" s="34">
        <f t="shared" si="81"/>
        <v>15085.900000000001</v>
      </c>
      <c r="BB47" s="15"/>
      <c r="BC47" s="35">
        <f t="shared" si="82"/>
        <v>31</v>
      </c>
      <c r="BD47" s="34">
        <f t="shared" si="83"/>
        <v>13714.45</v>
      </c>
      <c r="BE47" s="34">
        <f t="shared" si="84"/>
        <v>1371.45</v>
      </c>
      <c r="BF47" s="34">
        <f t="shared" si="85"/>
        <v>15085.900000000001</v>
      </c>
      <c r="BG47" s="15"/>
      <c r="BH47" s="35">
        <f t="shared" si="86"/>
        <v>30</v>
      </c>
      <c r="BI47" s="34">
        <f t="shared" si="87"/>
        <v>13272.05</v>
      </c>
      <c r="BJ47" s="34">
        <f t="shared" si="88"/>
        <v>1327.21</v>
      </c>
      <c r="BK47" s="34">
        <f t="shared" si="89"/>
        <v>14599.259999999998</v>
      </c>
      <c r="BL47" s="15"/>
      <c r="BM47" s="35">
        <f t="shared" si="90"/>
        <v>31</v>
      </c>
      <c r="BN47" s="34">
        <f t="shared" si="91"/>
        <v>13714.45</v>
      </c>
      <c r="BO47" s="34">
        <f t="shared" si="92"/>
        <v>1371.45</v>
      </c>
      <c r="BP47" s="34">
        <f t="shared" si="93"/>
        <v>15085.900000000001</v>
      </c>
      <c r="BQ47" s="15"/>
      <c r="BR47" s="35">
        <f t="shared" si="94"/>
        <v>30</v>
      </c>
      <c r="BS47" s="34">
        <f t="shared" si="95"/>
        <v>13272.05</v>
      </c>
      <c r="BT47" s="34">
        <f t="shared" si="96"/>
        <v>1327.21</v>
      </c>
      <c r="BU47" s="34">
        <f t="shared" si="97"/>
        <v>14599.259999999998</v>
      </c>
      <c r="BV47" s="15"/>
      <c r="BW47" s="35">
        <f t="shared" si="98"/>
        <v>29</v>
      </c>
      <c r="BX47" s="34">
        <f t="shared" si="99"/>
        <v>12829.65</v>
      </c>
      <c r="BY47" s="34">
        <f t="shared" si="100"/>
        <v>1282.97</v>
      </c>
      <c r="BZ47" s="34">
        <f t="shared" si="101"/>
        <v>14112.619999999999</v>
      </c>
      <c r="CA47" s="35">
        <f t="shared" si="102"/>
        <v>237</v>
      </c>
      <c r="CB47" s="34">
        <f t="shared" si="103"/>
        <v>104849.19</v>
      </c>
      <c r="CC47" s="34">
        <f t="shared" si="104"/>
        <v>10484.949999999999</v>
      </c>
      <c r="CD47" s="34">
        <f t="shared" si="105"/>
        <v>115334.14</v>
      </c>
      <c r="CE47" s="16">
        <f t="shared" si="106"/>
        <v>-0.01</v>
      </c>
      <c r="CF47" s="16">
        <f t="shared" si="107"/>
        <v>-0.03</v>
      </c>
      <c r="CG47" s="31" t="s">
        <v>418</v>
      </c>
      <c r="CH47" s="31" t="s">
        <v>419</v>
      </c>
      <c r="CI47" s="31" t="s">
        <v>49</v>
      </c>
      <c r="CJ47" s="31" t="s">
        <v>420</v>
      </c>
      <c r="CK47" s="31" t="s">
        <v>421</v>
      </c>
      <c r="CL47" s="31" t="s">
        <v>422</v>
      </c>
      <c r="CM47" s="29">
        <v>46142</v>
      </c>
      <c r="CN47" s="28" t="s">
        <v>423</v>
      </c>
      <c r="CO47" s="28"/>
      <c r="CP47" s="28"/>
    </row>
    <row r="48" spans="1:94" ht="40.049999999999997" customHeight="1" x14ac:dyDescent="0.25">
      <c r="A48" s="62">
        <v>97</v>
      </c>
      <c r="B48" s="63">
        <v>74</v>
      </c>
      <c r="C48" s="1" t="s">
        <v>258</v>
      </c>
      <c r="D48" s="2" t="s">
        <v>412</v>
      </c>
      <c r="E48" s="2" t="s">
        <v>472</v>
      </c>
      <c r="F48" s="2" t="s">
        <v>473</v>
      </c>
      <c r="G48" s="2" t="s">
        <v>474</v>
      </c>
      <c r="H48" s="64">
        <v>11.47</v>
      </c>
      <c r="I48" s="1" t="s">
        <v>46</v>
      </c>
      <c r="J48" s="3">
        <v>816</v>
      </c>
      <c r="K48" s="1">
        <v>246</v>
      </c>
      <c r="L48" s="4">
        <v>76749</v>
      </c>
      <c r="M48" s="4">
        <v>7674</v>
      </c>
      <c r="N48" s="4">
        <v>84423</v>
      </c>
      <c r="O48" s="31" t="s">
        <v>475</v>
      </c>
      <c r="P48" s="31" t="s">
        <v>471</v>
      </c>
      <c r="Q48" s="35">
        <f t="shared" si="54"/>
        <v>246</v>
      </c>
      <c r="R48" s="14">
        <v>46149</v>
      </c>
      <c r="S48" s="14">
        <f t="shared" si="55"/>
        <v>46394</v>
      </c>
      <c r="T48" s="34">
        <v>76749</v>
      </c>
      <c r="U48" s="34">
        <f t="shared" si="56"/>
        <v>7674.9</v>
      </c>
      <c r="V48" s="34">
        <f t="shared" si="57"/>
        <v>84423.9</v>
      </c>
      <c r="W48" s="35">
        <v>237</v>
      </c>
      <c r="X48" s="14">
        <f t="shared" si="58"/>
        <v>46149</v>
      </c>
      <c r="Y48" s="14">
        <f t="shared" si="59"/>
        <v>46385</v>
      </c>
      <c r="Z48" s="34">
        <v>73941.11</v>
      </c>
      <c r="AA48" s="34">
        <f t="shared" si="60"/>
        <v>7394.11</v>
      </c>
      <c r="AB48" s="34">
        <f t="shared" si="61"/>
        <v>81335.22</v>
      </c>
      <c r="AC48" s="15"/>
      <c r="AD48" s="35">
        <f t="shared" si="62"/>
        <v>0</v>
      </c>
      <c r="AE48" s="34">
        <f t="shared" si="63"/>
        <v>0</v>
      </c>
      <c r="AF48" s="34">
        <f t="shared" si="64"/>
        <v>0</v>
      </c>
      <c r="AG48" s="34">
        <f t="shared" si="65"/>
        <v>0</v>
      </c>
      <c r="AH48" s="15"/>
      <c r="AI48" s="35">
        <f t="shared" si="66"/>
        <v>0</v>
      </c>
      <c r="AJ48" s="34">
        <f t="shared" si="67"/>
        <v>0</v>
      </c>
      <c r="AK48" s="34">
        <f t="shared" si="68"/>
        <v>0</v>
      </c>
      <c r="AL48" s="34">
        <f t="shared" si="69"/>
        <v>0</v>
      </c>
      <c r="AM48" s="15"/>
      <c r="AN48" s="35">
        <f t="shared" si="70"/>
        <v>25</v>
      </c>
      <c r="AO48" s="34">
        <f t="shared" si="71"/>
        <v>7799.7</v>
      </c>
      <c r="AP48" s="34">
        <f t="shared" si="72"/>
        <v>779.97</v>
      </c>
      <c r="AQ48" s="34">
        <f t="shared" si="73"/>
        <v>8579.67</v>
      </c>
      <c r="AR48" s="15"/>
      <c r="AS48" s="35">
        <f t="shared" si="74"/>
        <v>30</v>
      </c>
      <c r="AT48" s="34">
        <f t="shared" si="75"/>
        <v>9359.6299999999992</v>
      </c>
      <c r="AU48" s="34">
        <f t="shared" si="76"/>
        <v>935.96</v>
      </c>
      <c r="AV48" s="34">
        <f t="shared" si="77"/>
        <v>10295.59</v>
      </c>
      <c r="AW48" s="15"/>
      <c r="AX48" s="35">
        <f t="shared" si="78"/>
        <v>31</v>
      </c>
      <c r="AY48" s="34">
        <f t="shared" si="79"/>
        <v>9671.6200000000008</v>
      </c>
      <c r="AZ48" s="34">
        <f t="shared" si="80"/>
        <v>967.16</v>
      </c>
      <c r="BA48" s="34">
        <f t="shared" si="81"/>
        <v>10638.78</v>
      </c>
      <c r="BB48" s="15"/>
      <c r="BC48" s="35">
        <f t="shared" si="82"/>
        <v>31</v>
      </c>
      <c r="BD48" s="34">
        <f t="shared" si="83"/>
        <v>9671.6200000000008</v>
      </c>
      <c r="BE48" s="34">
        <f t="shared" si="84"/>
        <v>967.16</v>
      </c>
      <c r="BF48" s="34">
        <f t="shared" si="85"/>
        <v>10638.78</v>
      </c>
      <c r="BG48" s="15"/>
      <c r="BH48" s="35">
        <f t="shared" si="86"/>
        <v>30</v>
      </c>
      <c r="BI48" s="34">
        <f t="shared" si="87"/>
        <v>9359.6299999999992</v>
      </c>
      <c r="BJ48" s="34">
        <f t="shared" si="88"/>
        <v>935.96</v>
      </c>
      <c r="BK48" s="34">
        <f t="shared" si="89"/>
        <v>10295.59</v>
      </c>
      <c r="BL48" s="15"/>
      <c r="BM48" s="35">
        <f t="shared" si="90"/>
        <v>31</v>
      </c>
      <c r="BN48" s="34">
        <f t="shared" si="91"/>
        <v>9671.6200000000008</v>
      </c>
      <c r="BO48" s="34">
        <f t="shared" si="92"/>
        <v>967.16</v>
      </c>
      <c r="BP48" s="34">
        <f t="shared" si="93"/>
        <v>10638.78</v>
      </c>
      <c r="BQ48" s="15"/>
      <c r="BR48" s="35">
        <f t="shared" si="94"/>
        <v>30</v>
      </c>
      <c r="BS48" s="34">
        <f t="shared" si="95"/>
        <v>9359.6299999999992</v>
      </c>
      <c r="BT48" s="34">
        <f t="shared" si="96"/>
        <v>935.96</v>
      </c>
      <c r="BU48" s="34">
        <f t="shared" si="97"/>
        <v>10295.59</v>
      </c>
      <c r="BV48" s="15"/>
      <c r="BW48" s="35">
        <f t="shared" si="98"/>
        <v>29</v>
      </c>
      <c r="BX48" s="34">
        <f t="shared" si="99"/>
        <v>9047.65</v>
      </c>
      <c r="BY48" s="34">
        <f t="shared" si="100"/>
        <v>904.77</v>
      </c>
      <c r="BZ48" s="34">
        <f t="shared" si="101"/>
        <v>9952.42</v>
      </c>
      <c r="CA48" s="35">
        <f t="shared" si="102"/>
        <v>237</v>
      </c>
      <c r="CB48" s="34">
        <f t="shared" si="103"/>
        <v>73941.099999999991</v>
      </c>
      <c r="CC48" s="34">
        <f t="shared" si="104"/>
        <v>7394.1</v>
      </c>
      <c r="CD48" s="34">
        <f t="shared" si="105"/>
        <v>81335.199999999997</v>
      </c>
      <c r="CE48" s="16">
        <f t="shared" si="106"/>
        <v>0.01</v>
      </c>
      <c r="CF48" s="16">
        <f t="shared" si="107"/>
        <v>0.01</v>
      </c>
      <c r="CG48" s="31" t="s">
        <v>418</v>
      </c>
      <c r="CH48" s="31" t="s">
        <v>419</v>
      </c>
      <c r="CI48" s="31" t="s">
        <v>49</v>
      </c>
      <c r="CJ48" s="31" t="s">
        <v>420</v>
      </c>
      <c r="CK48" s="31" t="s">
        <v>421</v>
      </c>
      <c r="CL48" s="31" t="s">
        <v>422</v>
      </c>
      <c r="CM48" s="29">
        <v>46142</v>
      </c>
      <c r="CN48" s="28" t="s">
        <v>423</v>
      </c>
      <c r="CO48" s="28"/>
      <c r="CP48" s="28"/>
    </row>
    <row r="49" spans="1:94" ht="40.049999999999997" customHeight="1" x14ac:dyDescent="0.25">
      <c r="A49" s="62">
        <v>98</v>
      </c>
      <c r="B49" s="63">
        <v>74</v>
      </c>
      <c r="C49" s="1" t="s">
        <v>258</v>
      </c>
      <c r="D49" s="2" t="s">
        <v>412</v>
      </c>
      <c r="E49" s="2" t="s">
        <v>476</v>
      </c>
      <c r="F49" s="2" t="s">
        <v>477</v>
      </c>
      <c r="G49" s="2" t="s">
        <v>478</v>
      </c>
      <c r="H49" s="64">
        <v>12.084</v>
      </c>
      <c r="I49" s="1" t="s">
        <v>46</v>
      </c>
      <c r="J49" s="3">
        <v>923</v>
      </c>
      <c r="K49" s="1">
        <v>246</v>
      </c>
      <c r="L49" s="4">
        <v>91459</v>
      </c>
      <c r="M49" s="4">
        <v>9145</v>
      </c>
      <c r="N49" s="4">
        <v>100604</v>
      </c>
      <c r="O49" s="31" t="s">
        <v>479</v>
      </c>
      <c r="P49" s="31" t="s">
        <v>471</v>
      </c>
      <c r="Q49" s="35">
        <f t="shared" si="54"/>
        <v>246</v>
      </c>
      <c r="R49" s="14">
        <v>46149</v>
      </c>
      <c r="S49" s="14">
        <f t="shared" si="55"/>
        <v>46394</v>
      </c>
      <c r="T49" s="34">
        <v>91459</v>
      </c>
      <c r="U49" s="34">
        <f t="shared" si="56"/>
        <v>9145.9</v>
      </c>
      <c r="V49" s="34">
        <f t="shared" si="57"/>
        <v>100604.9</v>
      </c>
      <c r="W49" s="35">
        <v>237</v>
      </c>
      <c r="X49" s="14">
        <f t="shared" si="58"/>
        <v>46149</v>
      </c>
      <c r="Y49" s="14">
        <f t="shared" si="59"/>
        <v>46385</v>
      </c>
      <c r="Z49" s="34">
        <v>88112.94</v>
      </c>
      <c r="AA49" s="34">
        <f t="shared" si="60"/>
        <v>8811.2900000000009</v>
      </c>
      <c r="AB49" s="34">
        <f t="shared" si="61"/>
        <v>96924.23000000001</v>
      </c>
      <c r="AC49" s="15"/>
      <c r="AD49" s="35">
        <f t="shared" si="62"/>
        <v>0</v>
      </c>
      <c r="AE49" s="34">
        <f t="shared" si="63"/>
        <v>0</v>
      </c>
      <c r="AF49" s="34">
        <f t="shared" si="64"/>
        <v>0</v>
      </c>
      <c r="AG49" s="34">
        <f t="shared" si="65"/>
        <v>0</v>
      </c>
      <c r="AH49" s="15"/>
      <c r="AI49" s="35">
        <f t="shared" si="66"/>
        <v>0</v>
      </c>
      <c r="AJ49" s="34">
        <f t="shared" si="67"/>
        <v>0</v>
      </c>
      <c r="AK49" s="34">
        <f t="shared" si="68"/>
        <v>0</v>
      </c>
      <c r="AL49" s="34">
        <f t="shared" si="69"/>
        <v>0</v>
      </c>
      <c r="AM49" s="15"/>
      <c r="AN49" s="35">
        <f t="shared" si="70"/>
        <v>25</v>
      </c>
      <c r="AO49" s="34">
        <f t="shared" si="71"/>
        <v>9294.61</v>
      </c>
      <c r="AP49" s="34">
        <f t="shared" si="72"/>
        <v>929.46</v>
      </c>
      <c r="AQ49" s="34">
        <f t="shared" si="73"/>
        <v>10224.07</v>
      </c>
      <c r="AR49" s="15"/>
      <c r="AS49" s="35">
        <f t="shared" si="74"/>
        <v>30</v>
      </c>
      <c r="AT49" s="34">
        <f t="shared" si="75"/>
        <v>11153.54</v>
      </c>
      <c r="AU49" s="34">
        <f t="shared" si="76"/>
        <v>1115.3499999999999</v>
      </c>
      <c r="AV49" s="34">
        <f t="shared" si="77"/>
        <v>12268.890000000001</v>
      </c>
      <c r="AW49" s="15"/>
      <c r="AX49" s="35">
        <f t="shared" si="78"/>
        <v>31</v>
      </c>
      <c r="AY49" s="34">
        <f t="shared" si="79"/>
        <v>11525.32</v>
      </c>
      <c r="AZ49" s="34">
        <f t="shared" si="80"/>
        <v>1152.53</v>
      </c>
      <c r="BA49" s="34">
        <f t="shared" si="81"/>
        <v>12677.85</v>
      </c>
      <c r="BB49" s="15"/>
      <c r="BC49" s="35">
        <f t="shared" si="82"/>
        <v>31</v>
      </c>
      <c r="BD49" s="34">
        <f t="shared" si="83"/>
        <v>11525.32</v>
      </c>
      <c r="BE49" s="34">
        <f t="shared" si="84"/>
        <v>1152.53</v>
      </c>
      <c r="BF49" s="34">
        <f t="shared" si="85"/>
        <v>12677.85</v>
      </c>
      <c r="BG49" s="15"/>
      <c r="BH49" s="35">
        <f t="shared" si="86"/>
        <v>30</v>
      </c>
      <c r="BI49" s="34">
        <f t="shared" si="87"/>
        <v>11153.54</v>
      </c>
      <c r="BJ49" s="34">
        <f t="shared" si="88"/>
        <v>1115.3499999999999</v>
      </c>
      <c r="BK49" s="34">
        <f t="shared" si="89"/>
        <v>12268.890000000001</v>
      </c>
      <c r="BL49" s="15"/>
      <c r="BM49" s="35">
        <f t="shared" si="90"/>
        <v>31</v>
      </c>
      <c r="BN49" s="34">
        <f t="shared" si="91"/>
        <v>11525.32</v>
      </c>
      <c r="BO49" s="34">
        <f t="shared" si="92"/>
        <v>1152.53</v>
      </c>
      <c r="BP49" s="34">
        <f t="shared" si="93"/>
        <v>12677.85</v>
      </c>
      <c r="BQ49" s="15"/>
      <c r="BR49" s="35">
        <f t="shared" si="94"/>
        <v>30</v>
      </c>
      <c r="BS49" s="34">
        <f t="shared" si="95"/>
        <v>11153.54</v>
      </c>
      <c r="BT49" s="34">
        <f t="shared" si="96"/>
        <v>1115.3499999999999</v>
      </c>
      <c r="BU49" s="34">
        <f t="shared" si="97"/>
        <v>12268.890000000001</v>
      </c>
      <c r="BV49" s="15"/>
      <c r="BW49" s="35">
        <f t="shared" si="98"/>
        <v>29</v>
      </c>
      <c r="BX49" s="34">
        <f t="shared" si="99"/>
        <v>10781.75</v>
      </c>
      <c r="BY49" s="34">
        <f t="shared" si="100"/>
        <v>1078.18</v>
      </c>
      <c r="BZ49" s="34">
        <f t="shared" si="101"/>
        <v>11859.93</v>
      </c>
      <c r="CA49" s="35">
        <f t="shared" si="102"/>
        <v>237</v>
      </c>
      <c r="CB49" s="34">
        <f t="shared" si="103"/>
        <v>88112.94</v>
      </c>
      <c r="CC49" s="34">
        <f t="shared" si="104"/>
        <v>8811.2799999999988</v>
      </c>
      <c r="CD49" s="34">
        <f t="shared" si="105"/>
        <v>96924.22</v>
      </c>
      <c r="CE49" s="16">
        <f t="shared" si="106"/>
        <v>0</v>
      </c>
      <c r="CF49" s="16">
        <f t="shared" si="107"/>
        <v>0.01</v>
      </c>
      <c r="CG49" s="31" t="s">
        <v>418</v>
      </c>
      <c r="CH49" s="31" t="s">
        <v>419</v>
      </c>
      <c r="CI49" s="31" t="s">
        <v>49</v>
      </c>
      <c r="CJ49" s="31" t="s">
        <v>420</v>
      </c>
      <c r="CK49" s="31" t="s">
        <v>421</v>
      </c>
      <c r="CL49" s="31" t="s">
        <v>422</v>
      </c>
      <c r="CM49" s="29">
        <v>46142</v>
      </c>
      <c r="CN49" s="28" t="s">
        <v>423</v>
      </c>
      <c r="CO49" s="28"/>
      <c r="CP49" s="28"/>
    </row>
    <row r="50" spans="1:94" ht="40.049999999999997" customHeight="1" x14ac:dyDescent="0.25">
      <c r="A50" s="62">
        <v>99</v>
      </c>
      <c r="B50" s="63">
        <v>74</v>
      </c>
      <c r="C50" s="1" t="s">
        <v>258</v>
      </c>
      <c r="D50" s="2" t="s">
        <v>412</v>
      </c>
      <c r="E50" s="2" t="s">
        <v>480</v>
      </c>
      <c r="F50" s="2" t="s">
        <v>481</v>
      </c>
      <c r="G50" s="2" t="s">
        <v>482</v>
      </c>
      <c r="H50" s="64">
        <v>29.83</v>
      </c>
      <c r="I50" s="1" t="s">
        <v>46</v>
      </c>
      <c r="J50" s="3">
        <v>840</v>
      </c>
      <c r="K50" s="1">
        <v>246</v>
      </c>
      <c r="L50" s="4">
        <v>205470</v>
      </c>
      <c r="M50" s="4">
        <v>20547</v>
      </c>
      <c r="N50" s="4">
        <v>226017</v>
      </c>
      <c r="O50" s="31" t="s">
        <v>483</v>
      </c>
      <c r="P50" s="31" t="s">
        <v>450</v>
      </c>
      <c r="Q50" s="35">
        <f t="shared" si="54"/>
        <v>246</v>
      </c>
      <c r="R50" s="14">
        <v>46191</v>
      </c>
      <c r="S50" s="14">
        <f t="shared" si="55"/>
        <v>46436</v>
      </c>
      <c r="T50" s="34">
        <v>205470</v>
      </c>
      <c r="U50" s="34">
        <f t="shared" si="56"/>
        <v>20547</v>
      </c>
      <c r="V50" s="34">
        <f t="shared" si="57"/>
        <v>226017</v>
      </c>
      <c r="W50" s="35">
        <v>195</v>
      </c>
      <c r="X50" s="14">
        <f t="shared" si="58"/>
        <v>46191</v>
      </c>
      <c r="Y50" s="14">
        <f t="shared" si="59"/>
        <v>46385</v>
      </c>
      <c r="Z50" s="34">
        <v>162872.56</v>
      </c>
      <c r="AA50" s="34">
        <f t="shared" si="60"/>
        <v>16287.26</v>
      </c>
      <c r="AB50" s="34">
        <f t="shared" si="61"/>
        <v>179159.82</v>
      </c>
      <c r="AC50" s="15"/>
      <c r="AD50" s="35">
        <f t="shared" si="62"/>
        <v>0</v>
      </c>
      <c r="AE50" s="34">
        <f t="shared" si="63"/>
        <v>0</v>
      </c>
      <c r="AF50" s="34">
        <f t="shared" si="64"/>
        <v>0</v>
      </c>
      <c r="AG50" s="34">
        <f t="shared" si="65"/>
        <v>0</v>
      </c>
      <c r="AH50" s="15"/>
      <c r="AI50" s="35">
        <f t="shared" si="66"/>
        <v>0</v>
      </c>
      <c r="AJ50" s="34">
        <f t="shared" si="67"/>
        <v>0</v>
      </c>
      <c r="AK50" s="34">
        <f t="shared" si="68"/>
        <v>0</v>
      </c>
      <c r="AL50" s="34">
        <f t="shared" si="69"/>
        <v>0</v>
      </c>
      <c r="AM50" s="15"/>
      <c r="AN50" s="35">
        <f t="shared" si="70"/>
        <v>0</v>
      </c>
      <c r="AO50" s="34">
        <f t="shared" si="71"/>
        <v>0</v>
      </c>
      <c r="AP50" s="34">
        <f t="shared" si="72"/>
        <v>0</v>
      </c>
      <c r="AQ50" s="34">
        <f t="shared" si="73"/>
        <v>0</v>
      </c>
      <c r="AR50" s="15"/>
      <c r="AS50" s="35">
        <f t="shared" si="74"/>
        <v>13</v>
      </c>
      <c r="AT50" s="34">
        <f t="shared" si="75"/>
        <v>10858.17</v>
      </c>
      <c r="AU50" s="34">
        <f t="shared" si="76"/>
        <v>1085.82</v>
      </c>
      <c r="AV50" s="34">
        <f t="shared" si="77"/>
        <v>11943.99</v>
      </c>
      <c r="AW50" s="15"/>
      <c r="AX50" s="35">
        <f t="shared" si="78"/>
        <v>31</v>
      </c>
      <c r="AY50" s="34">
        <f t="shared" si="79"/>
        <v>25892.560000000001</v>
      </c>
      <c r="AZ50" s="34">
        <f t="shared" si="80"/>
        <v>2589.2600000000002</v>
      </c>
      <c r="BA50" s="34">
        <f t="shared" si="81"/>
        <v>28481.82</v>
      </c>
      <c r="BB50" s="15"/>
      <c r="BC50" s="35">
        <f t="shared" si="82"/>
        <v>31</v>
      </c>
      <c r="BD50" s="34">
        <f t="shared" si="83"/>
        <v>25892.560000000001</v>
      </c>
      <c r="BE50" s="34">
        <f t="shared" si="84"/>
        <v>2589.2600000000002</v>
      </c>
      <c r="BF50" s="34">
        <f t="shared" si="85"/>
        <v>28481.82</v>
      </c>
      <c r="BG50" s="15"/>
      <c r="BH50" s="35">
        <f t="shared" si="86"/>
        <v>30</v>
      </c>
      <c r="BI50" s="34">
        <f t="shared" si="87"/>
        <v>25057.32</v>
      </c>
      <c r="BJ50" s="34">
        <f t="shared" si="88"/>
        <v>2505.73</v>
      </c>
      <c r="BK50" s="34">
        <f t="shared" si="89"/>
        <v>27563.05</v>
      </c>
      <c r="BL50" s="15"/>
      <c r="BM50" s="35">
        <f t="shared" si="90"/>
        <v>31</v>
      </c>
      <c r="BN50" s="34">
        <f t="shared" si="91"/>
        <v>25892.560000000001</v>
      </c>
      <c r="BO50" s="34">
        <f t="shared" si="92"/>
        <v>2589.2600000000002</v>
      </c>
      <c r="BP50" s="34">
        <f t="shared" si="93"/>
        <v>28481.82</v>
      </c>
      <c r="BQ50" s="15"/>
      <c r="BR50" s="35">
        <f t="shared" si="94"/>
        <v>30</v>
      </c>
      <c r="BS50" s="34">
        <f t="shared" si="95"/>
        <v>25057.32</v>
      </c>
      <c r="BT50" s="34">
        <f t="shared" si="96"/>
        <v>2505.73</v>
      </c>
      <c r="BU50" s="34">
        <f t="shared" si="97"/>
        <v>27563.05</v>
      </c>
      <c r="BV50" s="15"/>
      <c r="BW50" s="35">
        <f t="shared" si="98"/>
        <v>29</v>
      </c>
      <c r="BX50" s="34">
        <f t="shared" si="99"/>
        <v>24222.07</v>
      </c>
      <c r="BY50" s="34">
        <f t="shared" si="100"/>
        <v>2422.21</v>
      </c>
      <c r="BZ50" s="34">
        <f t="shared" si="101"/>
        <v>26644.28</v>
      </c>
      <c r="CA50" s="35">
        <f t="shared" si="102"/>
        <v>195</v>
      </c>
      <c r="CB50" s="34">
        <f t="shared" si="103"/>
        <v>162872.56000000003</v>
      </c>
      <c r="CC50" s="34">
        <f t="shared" si="104"/>
        <v>16287.27</v>
      </c>
      <c r="CD50" s="34">
        <f t="shared" si="105"/>
        <v>179159.83000000002</v>
      </c>
      <c r="CE50" s="16">
        <f t="shared" si="106"/>
        <v>0</v>
      </c>
      <c r="CF50" s="16">
        <f t="shared" si="107"/>
        <v>-0.01</v>
      </c>
      <c r="CG50" s="31" t="s">
        <v>418</v>
      </c>
      <c r="CH50" s="31" t="s">
        <v>419</v>
      </c>
      <c r="CI50" s="31" t="s">
        <v>49</v>
      </c>
      <c r="CJ50" s="31" t="s">
        <v>420</v>
      </c>
      <c r="CK50" s="31" t="s">
        <v>421</v>
      </c>
      <c r="CL50" s="31" t="s">
        <v>422</v>
      </c>
      <c r="CM50" s="29">
        <v>46142</v>
      </c>
      <c r="CN50" s="28" t="s">
        <v>423</v>
      </c>
      <c r="CO50" s="28"/>
      <c r="CP50" s="28"/>
    </row>
    <row r="51" spans="1:94" ht="40.049999999999997" customHeight="1" thickBot="1" x14ac:dyDescent="0.3">
      <c r="A51" s="65">
        <v>100</v>
      </c>
      <c r="B51" s="66">
        <v>74</v>
      </c>
      <c r="C51" s="46" t="s">
        <v>258</v>
      </c>
      <c r="D51" s="47" t="s">
        <v>412</v>
      </c>
      <c r="E51" s="47" t="s">
        <v>412</v>
      </c>
      <c r="F51" s="47" t="s">
        <v>484</v>
      </c>
      <c r="G51" s="47" t="s">
        <v>485</v>
      </c>
      <c r="H51" s="67">
        <v>11.483000000000001</v>
      </c>
      <c r="I51" s="46" t="s">
        <v>46</v>
      </c>
      <c r="J51" s="48">
        <v>845</v>
      </c>
      <c r="K51" s="46">
        <v>246</v>
      </c>
      <c r="L51" s="49">
        <v>79566</v>
      </c>
      <c r="M51" s="49">
        <v>7956</v>
      </c>
      <c r="N51" s="49">
        <v>87522</v>
      </c>
      <c r="O51" s="53" t="s">
        <v>486</v>
      </c>
      <c r="P51" s="53" t="s">
        <v>471</v>
      </c>
      <c r="Q51" s="60">
        <f t="shared" si="54"/>
        <v>246</v>
      </c>
      <c r="R51" s="50">
        <v>46149</v>
      </c>
      <c r="S51" s="50">
        <f t="shared" si="55"/>
        <v>46394</v>
      </c>
      <c r="T51" s="58">
        <v>79566</v>
      </c>
      <c r="U51" s="58">
        <f t="shared" si="56"/>
        <v>7956.6</v>
      </c>
      <c r="V51" s="58">
        <f t="shared" si="57"/>
        <v>87522.6</v>
      </c>
      <c r="W51" s="60">
        <v>237</v>
      </c>
      <c r="X51" s="50">
        <f t="shared" si="58"/>
        <v>46149</v>
      </c>
      <c r="Y51" s="50">
        <f t="shared" si="59"/>
        <v>46385</v>
      </c>
      <c r="Z51" s="58">
        <v>76655.05</v>
      </c>
      <c r="AA51" s="58">
        <f t="shared" si="60"/>
        <v>7665.51</v>
      </c>
      <c r="AB51" s="58">
        <f t="shared" si="61"/>
        <v>84320.56</v>
      </c>
      <c r="AC51" s="51"/>
      <c r="AD51" s="60">
        <f t="shared" si="62"/>
        <v>0</v>
      </c>
      <c r="AE51" s="58">
        <f t="shared" si="63"/>
        <v>0</v>
      </c>
      <c r="AF51" s="58">
        <f t="shared" si="64"/>
        <v>0</v>
      </c>
      <c r="AG51" s="58">
        <f t="shared" si="65"/>
        <v>0</v>
      </c>
      <c r="AH51" s="51"/>
      <c r="AI51" s="60">
        <f t="shared" si="66"/>
        <v>0</v>
      </c>
      <c r="AJ51" s="58">
        <f t="shared" si="67"/>
        <v>0</v>
      </c>
      <c r="AK51" s="58">
        <f t="shared" si="68"/>
        <v>0</v>
      </c>
      <c r="AL51" s="58">
        <f t="shared" si="69"/>
        <v>0</v>
      </c>
      <c r="AM51" s="51"/>
      <c r="AN51" s="60">
        <f t="shared" si="70"/>
        <v>25</v>
      </c>
      <c r="AO51" s="58">
        <f t="shared" si="71"/>
        <v>8085.98</v>
      </c>
      <c r="AP51" s="58">
        <f t="shared" si="72"/>
        <v>808.6</v>
      </c>
      <c r="AQ51" s="58">
        <f t="shared" si="73"/>
        <v>8894.58</v>
      </c>
      <c r="AR51" s="51"/>
      <c r="AS51" s="60">
        <f t="shared" si="74"/>
        <v>30</v>
      </c>
      <c r="AT51" s="58">
        <f t="shared" si="75"/>
        <v>9703.17</v>
      </c>
      <c r="AU51" s="58">
        <f t="shared" si="76"/>
        <v>970.32</v>
      </c>
      <c r="AV51" s="58">
        <f t="shared" si="77"/>
        <v>10673.49</v>
      </c>
      <c r="AW51" s="51"/>
      <c r="AX51" s="60">
        <f t="shared" si="78"/>
        <v>31</v>
      </c>
      <c r="AY51" s="58">
        <f t="shared" si="79"/>
        <v>10026.61</v>
      </c>
      <c r="AZ51" s="58">
        <f t="shared" si="80"/>
        <v>1002.66</v>
      </c>
      <c r="BA51" s="58">
        <f t="shared" si="81"/>
        <v>11029.27</v>
      </c>
      <c r="BB51" s="51"/>
      <c r="BC51" s="60">
        <f t="shared" si="82"/>
        <v>31</v>
      </c>
      <c r="BD51" s="58">
        <f t="shared" si="83"/>
        <v>10026.61</v>
      </c>
      <c r="BE51" s="58">
        <f t="shared" si="84"/>
        <v>1002.66</v>
      </c>
      <c r="BF51" s="58">
        <f t="shared" si="85"/>
        <v>11029.27</v>
      </c>
      <c r="BG51" s="51"/>
      <c r="BH51" s="60">
        <f t="shared" si="86"/>
        <v>30</v>
      </c>
      <c r="BI51" s="58">
        <f t="shared" si="87"/>
        <v>9703.17</v>
      </c>
      <c r="BJ51" s="58">
        <f t="shared" si="88"/>
        <v>970.32</v>
      </c>
      <c r="BK51" s="58">
        <f t="shared" si="89"/>
        <v>10673.49</v>
      </c>
      <c r="BL51" s="51"/>
      <c r="BM51" s="60">
        <f t="shared" si="90"/>
        <v>31</v>
      </c>
      <c r="BN51" s="58">
        <f t="shared" si="91"/>
        <v>10026.61</v>
      </c>
      <c r="BO51" s="58">
        <f t="shared" si="92"/>
        <v>1002.66</v>
      </c>
      <c r="BP51" s="58">
        <f t="shared" si="93"/>
        <v>11029.27</v>
      </c>
      <c r="BQ51" s="51"/>
      <c r="BR51" s="60">
        <f t="shared" si="94"/>
        <v>30</v>
      </c>
      <c r="BS51" s="58">
        <f t="shared" si="95"/>
        <v>9703.17</v>
      </c>
      <c r="BT51" s="58">
        <f t="shared" si="96"/>
        <v>970.32</v>
      </c>
      <c r="BU51" s="58">
        <f t="shared" si="97"/>
        <v>10673.49</v>
      </c>
      <c r="BV51" s="51"/>
      <c r="BW51" s="60">
        <f t="shared" si="98"/>
        <v>29</v>
      </c>
      <c r="BX51" s="58">
        <f t="shared" si="99"/>
        <v>9379.73</v>
      </c>
      <c r="BY51" s="58">
        <f t="shared" si="100"/>
        <v>937.97</v>
      </c>
      <c r="BZ51" s="58">
        <f t="shared" si="101"/>
        <v>10317.699999999999</v>
      </c>
      <c r="CA51" s="60">
        <f t="shared" si="102"/>
        <v>237</v>
      </c>
      <c r="CB51" s="58">
        <f t="shared" si="103"/>
        <v>76655.05</v>
      </c>
      <c r="CC51" s="58">
        <f t="shared" si="104"/>
        <v>7665.5099999999993</v>
      </c>
      <c r="CD51" s="58">
        <f t="shared" si="105"/>
        <v>84320.56</v>
      </c>
      <c r="CE51" s="52">
        <f t="shared" si="106"/>
        <v>0</v>
      </c>
      <c r="CF51" s="52">
        <f t="shared" si="107"/>
        <v>0</v>
      </c>
      <c r="CG51" s="53" t="s">
        <v>418</v>
      </c>
      <c r="CH51" s="53" t="s">
        <v>419</v>
      </c>
      <c r="CI51" s="53" t="s">
        <v>49</v>
      </c>
      <c r="CJ51" s="53" t="s">
        <v>420</v>
      </c>
      <c r="CK51" s="53" t="s">
        <v>421</v>
      </c>
      <c r="CL51" s="53" t="s">
        <v>422</v>
      </c>
      <c r="CM51" s="54">
        <v>46142</v>
      </c>
      <c r="CN51" s="55" t="s">
        <v>423</v>
      </c>
      <c r="CO51" s="55"/>
      <c r="CP51" s="55"/>
    </row>
    <row r="52" spans="1:94" ht="40.049999999999997" customHeight="1" thickTop="1" x14ac:dyDescent="0.25">
      <c r="A52" s="68">
        <v>101</v>
      </c>
      <c r="B52" s="69">
        <v>193</v>
      </c>
      <c r="C52" s="36" t="s">
        <v>258</v>
      </c>
      <c r="D52" s="37" t="s">
        <v>487</v>
      </c>
      <c r="E52" s="37" t="s">
        <v>488</v>
      </c>
      <c r="F52" s="37" t="s">
        <v>489</v>
      </c>
      <c r="G52" s="37" t="s">
        <v>490</v>
      </c>
      <c r="H52" s="70">
        <v>20.606999999999999</v>
      </c>
      <c r="I52" s="36" t="s">
        <v>46</v>
      </c>
      <c r="J52" s="38">
        <v>957.32</v>
      </c>
      <c r="K52" s="36">
        <v>210</v>
      </c>
      <c r="L52" s="39">
        <v>138093</v>
      </c>
      <c r="M52" s="39">
        <v>14361</v>
      </c>
      <c r="N52" s="39">
        <v>152454</v>
      </c>
      <c r="O52" s="43" t="s">
        <v>491</v>
      </c>
      <c r="P52" s="43" t="s">
        <v>492</v>
      </c>
      <c r="Q52" s="61">
        <f t="shared" si="54"/>
        <v>210</v>
      </c>
      <c r="R52" s="40">
        <v>46141</v>
      </c>
      <c r="S52" s="40">
        <f t="shared" si="55"/>
        <v>46350</v>
      </c>
      <c r="T52" s="56">
        <v>138093</v>
      </c>
      <c r="U52" s="56">
        <f t="shared" si="56"/>
        <v>13809.3</v>
      </c>
      <c r="V52" s="56">
        <f t="shared" si="57"/>
        <v>151902.29999999999</v>
      </c>
      <c r="W52" s="61"/>
      <c r="X52" s="40">
        <f t="shared" si="58"/>
        <v>46141</v>
      </c>
      <c r="Y52" s="40" t="str">
        <f t="shared" si="59"/>
        <v/>
      </c>
      <c r="Z52" s="56"/>
      <c r="AA52" s="56">
        <f t="shared" si="60"/>
        <v>0</v>
      </c>
      <c r="AB52" s="56">
        <f t="shared" si="61"/>
        <v>0</v>
      </c>
      <c r="AC52" s="41"/>
      <c r="AD52" s="61">
        <f t="shared" si="62"/>
        <v>0</v>
      </c>
      <c r="AE52" s="56">
        <f t="shared" si="63"/>
        <v>0</v>
      </c>
      <c r="AF52" s="56">
        <f t="shared" si="64"/>
        <v>0</v>
      </c>
      <c r="AG52" s="56">
        <f t="shared" si="65"/>
        <v>0</v>
      </c>
      <c r="AH52" s="41"/>
      <c r="AI52" s="61">
        <f t="shared" si="66"/>
        <v>2</v>
      </c>
      <c r="AJ52" s="56">
        <f t="shared" si="67"/>
        <v>1315.17</v>
      </c>
      <c r="AK52" s="56">
        <f t="shared" si="68"/>
        <v>131.52000000000001</v>
      </c>
      <c r="AL52" s="56">
        <f t="shared" si="69"/>
        <v>1446.69</v>
      </c>
      <c r="AM52" s="41"/>
      <c r="AN52" s="61">
        <f t="shared" si="70"/>
        <v>31</v>
      </c>
      <c r="AO52" s="56">
        <f t="shared" si="71"/>
        <v>20385.16</v>
      </c>
      <c r="AP52" s="56">
        <f t="shared" si="72"/>
        <v>2038.52</v>
      </c>
      <c r="AQ52" s="56">
        <f t="shared" si="73"/>
        <v>22423.68</v>
      </c>
      <c r="AR52" s="41"/>
      <c r="AS52" s="61">
        <f t="shared" si="74"/>
        <v>30</v>
      </c>
      <c r="AT52" s="56">
        <f t="shared" si="75"/>
        <v>19727.57</v>
      </c>
      <c r="AU52" s="56">
        <f t="shared" si="76"/>
        <v>1972.76</v>
      </c>
      <c r="AV52" s="56">
        <f t="shared" si="77"/>
        <v>21700.329999999998</v>
      </c>
      <c r="AW52" s="41"/>
      <c r="AX52" s="61">
        <f t="shared" si="78"/>
        <v>31</v>
      </c>
      <c r="AY52" s="56">
        <f t="shared" si="79"/>
        <v>20385.16</v>
      </c>
      <c r="AZ52" s="56">
        <f t="shared" si="80"/>
        <v>2038.52</v>
      </c>
      <c r="BA52" s="56">
        <f t="shared" si="81"/>
        <v>22423.68</v>
      </c>
      <c r="BB52" s="41"/>
      <c r="BC52" s="61">
        <f t="shared" si="82"/>
        <v>31</v>
      </c>
      <c r="BD52" s="56">
        <f t="shared" si="83"/>
        <v>20385.16</v>
      </c>
      <c r="BE52" s="56">
        <f t="shared" si="84"/>
        <v>2038.52</v>
      </c>
      <c r="BF52" s="56">
        <f t="shared" si="85"/>
        <v>22423.68</v>
      </c>
      <c r="BG52" s="41"/>
      <c r="BH52" s="61">
        <f t="shared" si="86"/>
        <v>30</v>
      </c>
      <c r="BI52" s="56">
        <f t="shared" si="87"/>
        <v>19727.57</v>
      </c>
      <c r="BJ52" s="56">
        <f t="shared" si="88"/>
        <v>1972.76</v>
      </c>
      <c r="BK52" s="56">
        <f t="shared" si="89"/>
        <v>21700.329999999998</v>
      </c>
      <c r="BL52" s="41"/>
      <c r="BM52" s="61">
        <f t="shared" si="90"/>
        <v>31</v>
      </c>
      <c r="BN52" s="56">
        <f t="shared" si="91"/>
        <v>20385.16</v>
      </c>
      <c r="BO52" s="56">
        <f t="shared" si="92"/>
        <v>2038.52</v>
      </c>
      <c r="BP52" s="56">
        <f t="shared" si="93"/>
        <v>22423.68</v>
      </c>
      <c r="BQ52" s="41"/>
      <c r="BR52" s="61">
        <f t="shared" si="94"/>
        <v>24</v>
      </c>
      <c r="BS52" s="56">
        <f t="shared" si="95"/>
        <v>15782.06</v>
      </c>
      <c r="BT52" s="56">
        <f t="shared" si="96"/>
        <v>1578.21</v>
      </c>
      <c r="BU52" s="56">
        <f t="shared" si="97"/>
        <v>17360.27</v>
      </c>
      <c r="BV52" s="41"/>
      <c r="BW52" s="61">
        <f t="shared" si="98"/>
        <v>0</v>
      </c>
      <c r="BX52" s="56">
        <f t="shared" si="99"/>
        <v>0</v>
      </c>
      <c r="BY52" s="56">
        <f t="shared" si="100"/>
        <v>0</v>
      </c>
      <c r="BZ52" s="56">
        <f t="shared" si="101"/>
        <v>0</v>
      </c>
      <c r="CA52" s="61">
        <f t="shared" si="102"/>
        <v>210</v>
      </c>
      <c r="CB52" s="56">
        <f t="shared" si="103"/>
        <v>138093.01</v>
      </c>
      <c r="CC52" s="56">
        <f t="shared" si="104"/>
        <v>13809.330000000002</v>
      </c>
      <c r="CD52" s="56">
        <f t="shared" si="105"/>
        <v>151902.34000000003</v>
      </c>
      <c r="CE52" s="42">
        <f t="shared" si="106"/>
        <v>-0.01</v>
      </c>
      <c r="CF52" s="42">
        <f t="shared" si="107"/>
        <v>-0.03</v>
      </c>
      <c r="CG52" s="43" t="s">
        <v>493</v>
      </c>
      <c r="CH52" s="43" t="s">
        <v>494</v>
      </c>
      <c r="CI52" s="43" t="s">
        <v>49</v>
      </c>
      <c r="CJ52" s="43" t="s">
        <v>495</v>
      </c>
      <c r="CK52" s="43" t="s">
        <v>496</v>
      </c>
      <c r="CL52" s="43" t="s">
        <v>497</v>
      </c>
      <c r="CM52" s="44">
        <v>46126</v>
      </c>
      <c r="CN52" s="45" t="s">
        <v>498</v>
      </c>
      <c r="CO52" s="45"/>
      <c r="CP52" s="45"/>
    </row>
    <row r="53" spans="1:94" ht="40.049999999999997" customHeight="1" x14ac:dyDescent="0.25">
      <c r="A53" s="62">
        <v>102</v>
      </c>
      <c r="B53" s="63">
        <v>193</v>
      </c>
      <c r="C53" s="1" t="s">
        <v>258</v>
      </c>
      <c r="D53" s="2" t="s">
        <v>487</v>
      </c>
      <c r="E53" s="2" t="s">
        <v>499</v>
      </c>
      <c r="F53" s="2" t="s">
        <v>500</v>
      </c>
      <c r="G53" s="2" t="s">
        <v>501</v>
      </c>
      <c r="H53" s="64">
        <v>18.042000000000002</v>
      </c>
      <c r="I53" s="1" t="s">
        <v>46</v>
      </c>
      <c r="J53" s="3">
        <v>954.19</v>
      </c>
      <c r="K53" s="1">
        <v>210</v>
      </c>
      <c r="L53" s="4">
        <v>120509</v>
      </c>
      <c r="M53" s="4">
        <v>12466</v>
      </c>
      <c r="N53" s="4">
        <v>132975</v>
      </c>
      <c r="O53" s="31" t="s">
        <v>502</v>
      </c>
      <c r="P53" s="31" t="s">
        <v>503</v>
      </c>
      <c r="Q53" s="35">
        <f t="shared" si="54"/>
        <v>210</v>
      </c>
      <c r="R53" s="14">
        <v>46174</v>
      </c>
      <c r="S53" s="14">
        <f t="shared" si="55"/>
        <v>46383</v>
      </c>
      <c r="T53" s="34">
        <v>120509</v>
      </c>
      <c r="U53" s="34">
        <f t="shared" si="56"/>
        <v>12050.9</v>
      </c>
      <c r="V53" s="34">
        <f t="shared" si="57"/>
        <v>132559.9</v>
      </c>
      <c r="W53" s="35"/>
      <c r="X53" s="14">
        <f t="shared" si="58"/>
        <v>46174</v>
      </c>
      <c r="Y53" s="14" t="str">
        <f t="shared" si="59"/>
        <v/>
      </c>
      <c r="Z53" s="34"/>
      <c r="AA53" s="34">
        <f t="shared" si="60"/>
        <v>0</v>
      </c>
      <c r="AB53" s="34">
        <f t="shared" si="61"/>
        <v>0</v>
      </c>
      <c r="AC53" s="15"/>
      <c r="AD53" s="35">
        <f t="shared" si="62"/>
        <v>0</v>
      </c>
      <c r="AE53" s="34">
        <f t="shared" si="63"/>
        <v>0</v>
      </c>
      <c r="AF53" s="34">
        <f t="shared" si="64"/>
        <v>0</v>
      </c>
      <c r="AG53" s="34">
        <f t="shared" si="65"/>
        <v>0</v>
      </c>
      <c r="AH53" s="15"/>
      <c r="AI53" s="35">
        <f t="shared" si="66"/>
        <v>0</v>
      </c>
      <c r="AJ53" s="34">
        <f t="shared" si="67"/>
        <v>0</v>
      </c>
      <c r="AK53" s="34">
        <f t="shared" si="68"/>
        <v>0</v>
      </c>
      <c r="AL53" s="34">
        <f t="shared" si="69"/>
        <v>0</v>
      </c>
      <c r="AM53" s="15"/>
      <c r="AN53" s="35">
        <f t="shared" si="70"/>
        <v>0</v>
      </c>
      <c r="AO53" s="34">
        <f t="shared" si="71"/>
        <v>0</v>
      </c>
      <c r="AP53" s="34">
        <f t="shared" si="72"/>
        <v>0</v>
      </c>
      <c r="AQ53" s="34">
        <f t="shared" si="73"/>
        <v>0</v>
      </c>
      <c r="AR53" s="15"/>
      <c r="AS53" s="35">
        <f t="shared" si="74"/>
        <v>30</v>
      </c>
      <c r="AT53" s="34">
        <f t="shared" si="75"/>
        <v>17215.57</v>
      </c>
      <c r="AU53" s="34">
        <f t="shared" si="76"/>
        <v>1721.56</v>
      </c>
      <c r="AV53" s="34">
        <f t="shared" si="77"/>
        <v>18937.13</v>
      </c>
      <c r="AW53" s="15"/>
      <c r="AX53" s="35">
        <f t="shared" si="78"/>
        <v>31</v>
      </c>
      <c r="AY53" s="34">
        <f t="shared" si="79"/>
        <v>17789.419999999998</v>
      </c>
      <c r="AZ53" s="34">
        <f t="shared" si="80"/>
        <v>1778.94</v>
      </c>
      <c r="BA53" s="34">
        <f t="shared" si="81"/>
        <v>19568.359999999997</v>
      </c>
      <c r="BB53" s="15"/>
      <c r="BC53" s="35">
        <f t="shared" si="82"/>
        <v>31</v>
      </c>
      <c r="BD53" s="34">
        <f t="shared" si="83"/>
        <v>17789.419999999998</v>
      </c>
      <c r="BE53" s="34">
        <f t="shared" si="84"/>
        <v>1778.94</v>
      </c>
      <c r="BF53" s="34">
        <f t="shared" si="85"/>
        <v>19568.359999999997</v>
      </c>
      <c r="BG53" s="15"/>
      <c r="BH53" s="35">
        <f t="shared" si="86"/>
        <v>30</v>
      </c>
      <c r="BI53" s="34">
        <f t="shared" si="87"/>
        <v>17215.57</v>
      </c>
      <c r="BJ53" s="34">
        <f t="shared" si="88"/>
        <v>1721.56</v>
      </c>
      <c r="BK53" s="34">
        <f t="shared" si="89"/>
        <v>18937.13</v>
      </c>
      <c r="BL53" s="15"/>
      <c r="BM53" s="35">
        <f t="shared" si="90"/>
        <v>31</v>
      </c>
      <c r="BN53" s="34">
        <f t="shared" si="91"/>
        <v>17789.419999999998</v>
      </c>
      <c r="BO53" s="34">
        <f t="shared" si="92"/>
        <v>1778.94</v>
      </c>
      <c r="BP53" s="34">
        <f t="shared" si="93"/>
        <v>19568.359999999997</v>
      </c>
      <c r="BQ53" s="15"/>
      <c r="BR53" s="35">
        <f t="shared" si="94"/>
        <v>30</v>
      </c>
      <c r="BS53" s="34">
        <f t="shared" si="95"/>
        <v>17215.57</v>
      </c>
      <c r="BT53" s="34">
        <f t="shared" si="96"/>
        <v>1721.56</v>
      </c>
      <c r="BU53" s="34">
        <f t="shared" si="97"/>
        <v>18937.13</v>
      </c>
      <c r="BV53" s="15"/>
      <c r="BW53" s="35">
        <f t="shared" si="98"/>
        <v>27</v>
      </c>
      <c r="BX53" s="34">
        <f t="shared" si="99"/>
        <v>15494.01</v>
      </c>
      <c r="BY53" s="34">
        <f t="shared" si="100"/>
        <v>1549.4</v>
      </c>
      <c r="BZ53" s="34">
        <f t="shared" si="101"/>
        <v>17043.41</v>
      </c>
      <c r="CA53" s="35">
        <f t="shared" si="102"/>
        <v>210</v>
      </c>
      <c r="CB53" s="34">
        <f t="shared" si="103"/>
        <v>120508.98</v>
      </c>
      <c r="CC53" s="34">
        <f t="shared" si="104"/>
        <v>12050.9</v>
      </c>
      <c r="CD53" s="34">
        <f t="shared" si="105"/>
        <v>132559.88</v>
      </c>
      <c r="CE53" s="16">
        <f t="shared" si="106"/>
        <v>0.02</v>
      </c>
      <c r="CF53" s="16">
        <f t="shared" si="107"/>
        <v>0</v>
      </c>
      <c r="CG53" s="31" t="s">
        <v>493</v>
      </c>
      <c r="CH53" s="31" t="s">
        <v>494</v>
      </c>
      <c r="CI53" s="31" t="s">
        <v>49</v>
      </c>
      <c r="CJ53" s="31" t="s">
        <v>495</v>
      </c>
      <c r="CK53" s="31" t="s">
        <v>496</v>
      </c>
      <c r="CL53" s="31" t="s">
        <v>497</v>
      </c>
      <c r="CM53" s="29">
        <v>46126</v>
      </c>
      <c r="CN53" s="28" t="s">
        <v>498</v>
      </c>
      <c r="CO53" s="28"/>
      <c r="CP53" s="28"/>
    </row>
    <row r="54" spans="1:94" ht="40.049999999999997" customHeight="1" x14ac:dyDescent="0.25">
      <c r="A54" s="62">
        <v>103</v>
      </c>
      <c r="B54" s="63">
        <v>193</v>
      </c>
      <c r="C54" s="1" t="s">
        <v>258</v>
      </c>
      <c r="D54" s="2" t="s">
        <v>487</v>
      </c>
      <c r="E54" s="2" t="s">
        <v>487</v>
      </c>
      <c r="F54" s="2" t="s">
        <v>504</v>
      </c>
      <c r="G54" s="2" t="s">
        <v>505</v>
      </c>
      <c r="H54" s="64">
        <v>17.716000000000001</v>
      </c>
      <c r="I54" s="1" t="s">
        <v>46</v>
      </c>
      <c r="J54" s="3">
        <v>959.78</v>
      </c>
      <c r="K54" s="1">
        <v>210</v>
      </c>
      <c r="L54" s="4">
        <v>119025</v>
      </c>
      <c r="M54" s="4">
        <v>11902</v>
      </c>
      <c r="N54" s="4">
        <v>130927</v>
      </c>
      <c r="O54" s="31" t="s">
        <v>506</v>
      </c>
      <c r="P54" s="31" t="s">
        <v>507</v>
      </c>
      <c r="Q54" s="35">
        <f t="shared" si="54"/>
        <v>210</v>
      </c>
      <c r="R54" s="14">
        <v>46136</v>
      </c>
      <c r="S54" s="14">
        <f t="shared" si="55"/>
        <v>46345</v>
      </c>
      <c r="T54" s="34">
        <v>119025</v>
      </c>
      <c r="U54" s="34">
        <f t="shared" si="56"/>
        <v>11902.5</v>
      </c>
      <c r="V54" s="34">
        <f t="shared" si="57"/>
        <v>130927.5</v>
      </c>
      <c r="W54" s="35"/>
      <c r="X54" s="14">
        <f t="shared" si="58"/>
        <v>46136</v>
      </c>
      <c r="Y54" s="14" t="str">
        <f t="shared" si="59"/>
        <v/>
      </c>
      <c r="Z54" s="34"/>
      <c r="AA54" s="34">
        <f t="shared" si="60"/>
        <v>0</v>
      </c>
      <c r="AB54" s="34">
        <f t="shared" si="61"/>
        <v>0</v>
      </c>
      <c r="AC54" s="15"/>
      <c r="AD54" s="35">
        <f t="shared" si="62"/>
        <v>0</v>
      </c>
      <c r="AE54" s="34">
        <f t="shared" si="63"/>
        <v>0</v>
      </c>
      <c r="AF54" s="34">
        <f t="shared" si="64"/>
        <v>0</v>
      </c>
      <c r="AG54" s="34">
        <f t="shared" si="65"/>
        <v>0</v>
      </c>
      <c r="AH54" s="15"/>
      <c r="AI54" s="35">
        <f t="shared" si="66"/>
        <v>7</v>
      </c>
      <c r="AJ54" s="34">
        <f t="shared" si="67"/>
        <v>3967.5</v>
      </c>
      <c r="AK54" s="34">
        <f t="shared" si="68"/>
        <v>396.75</v>
      </c>
      <c r="AL54" s="34">
        <f t="shared" si="69"/>
        <v>4364.25</v>
      </c>
      <c r="AM54" s="15"/>
      <c r="AN54" s="35">
        <f t="shared" si="70"/>
        <v>31</v>
      </c>
      <c r="AO54" s="34">
        <f t="shared" si="71"/>
        <v>17570.36</v>
      </c>
      <c r="AP54" s="34">
        <f t="shared" si="72"/>
        <v>1757.04</v>
      </c>
      <c r="AQ54" s="34">
        <f t="shared" si="73"/>
        <v>19327.400000000001</v>
      </c>
      <c r="AR54" s="15"/>
      <c r="AS54" s="35">
        <f t="shared" si="74"/>
        <v>30</v>
      </c>
      <c r="AT54" s="34">
        <f t="shared" si="75"/>
        <v>17003.57</v>
      </c>
      <c r="AU54" s="34">
        <f t="shared" si="76"/>
        <v>1700.36</v>
      </c>
      <c r="AV54" s="34">
        <f t="shared" si="77"/>
        <v>18703.93</v>
      </c>
      <c r="AW54" s="15"/>
      <c r="AX54" s="35">
        <f t="shared" si="78"/>
        <v>31</v>
      </c>
      <c r="AY54" s="34">
        <f t="shared" si="79"/>
        <v>17570.36</v>
      </c>
      <c r="AZ54" s="34">
        <f t="shared" si="80"/>
        <v>1757.04</v>
      </c>
      <c r="BA54" s="34">
        <f t="shared" si="81"/>
        <v>19327.400000000001</v>
      </c>
      <c r="BB54" s="15"/>
      <c r="BC54" s="35">
        <f t="shared" si="82"/>
        <v>31</v>
      </c>
      <c r="BD54" s="34">
        <f t="shared" si="83"/>
        <v>17570.36</v>
      </c>
      <c r="BE54" s="34">
        <f t="shared" si="84"/>
        <v>1757.04</v>
      </c>
      <c r="BF54" s="34">
        <f t="shared" si="85"/>
        <v>19327.400000000001</v>
      </c>
      <c r="BG54" s="15"/>
      <c r="BH54" s="35">
        <f t="shared" si="86"/>
        <v>30</v>
      </c>
      <c r="BI54" s="34">
        <f t="shared" si="87"/>
        <v>17003.57</v>
      </c>
      <c r="BJ54" s="34">
        <f t="shared" si="88"/>
        <v>1700.36</v>
      </c>
      <c r="BK54" s="34">
        <f t="shared" si="89"/>
        <v>18703.93</v>
      </c>
      <c r="BL54" s="15"/>
      <c r="BM54" s="35">
        <f t="shared" si="90"/>
        <v>31</v>
      </c>
      <c r="BN54" s="34">
        <f t="shared" si="91"/>
        <v>17570.36</v>
      </c>
      <c r="BO54" s="34">
        <f t="shared" si="92"/>
        <v>1757.04</v>
      </c>
      <c r="BP54" s="34">
        <f t="shared" si="93"/>
        <v>19327.400000000001</v>
      </c>
      <c r="BQ54" s="15"/>
      <c r="BR54" s="35">
        <f t="shared" si="94"/>
        <v>19</v>
      </c>
      <c r="BS54" s="34">
        <f t="shared" si="95"/>
        <v>10768.93</v>
      </c>
      <c r="BT54" s="34">
        <f t="shared" si="96"/>
        <v>1076.8900000000001</v>
      </c>
      <c r="BU54" s="34">
        <f t="shared" si="97"/>
        <v>11845.82</v>
      </c>
      <c r="BV54" s="15"/>
      <c r="BW54" s="35">
        <f t="shared" si="98"/>
        <v>0</v>
      </c>
      <c r="BX54" s="34">
        <f t="shared" si="99"/>
        <v>0</v>
      </c>
      <c r="BY54" s="34">
        <f t="shared" si="100"/>
        <v>0</v>
      </c>
      <c r="BZ54" s="34">
        <f t="shared" si="101"/>
        <v>0</v>
      </c>
      <c r="CA54" s="35">
        <f t="shared" si="102"/>
        <v>210</v>
      </c>
      <c r="CB54" s="34">
        <f t="shared" si="103"/>
        <v>119025.01000000001</v>
      </c>
      <c r="CC54" s="34">
        <f t="shared" si="104"/>
        <v>11902.52</v>
      </c>
      <c r="CD54" s="34">
        <f t="shared" si="105"/>
        <v>130927.53000000001</v>
      </c>
      <c r="CE54" s="16">
        <f t="shared" si="106"/>
        <v>-0.01</v>
      </c>
      <c r="CF54" s="16">
        <f t="shared" si="107"/>
        <v>-0.02</v>
      </c>
      <c r="CG54" s="31" t="s">
        <v>493</v>
      </c>
      <c r="CH54" s="31" t="s">
        <v>494</v>
      </c>
      <c r="CI54" s="31" t="s">
        <v>49</v>
      </c>
      <c r="CJ54" s="31" t="s">
        <v>495</v>
      </c>
      <c r="CK54" s="31" t="s">
        <v>496</v>
      </c>
      <c r="CL54" s="31" t="s">
        <v>497</v>
      </c>
      <c r="CM54" s="29">
        <v>46126</v>
      </c>
      <c r="CN54" s="28" t="s">
        <v>498</v>
      </c>
      <c r="CO54" s="28"/>
      <c r="CP54" s="28"/>
    </row>
    <row r="55" spans="1:94" ht="40.049999999999997" customHeight="1" x14ac:dyDescent="0.25">
      <c r="A55" s="62">
        <v>104</v>
      </c>
      <c r="B55" s="63">
        <v>193</v>
      </c>
      <c r="C55" s="1" t="s">
        <v>258</v>
      </c>
      <c r="D55" s="2" t="s">
        <v>487</v>
      </c>
      <c r="E55" s="2" t="s">
        <v>508</v>
      </c>
      <c r="F55" s="2" t="s">
        <v>509</v>
      </c>
      <c r="G55" s="2" t="s">
        <v>510</v>
      </c>
      <c r="H55" s="64">
        <v>18.969200000000001</v>
      </c>
      <c r="I55" s="1" t="s">
        <v>46</v>
      </c>
      <c r="J55" s="3">
        <v>953.16</v>
      </c>
      <c r="K55" s="1">
        <v>210</v>
      </c>
      <c r="L55" s="4">
        <v>126565</v>
      </c>
      <c r="M55" s="4">
        <v>12656</v>
      </c>
      <c r="N55" s="4">
        <v>139221</v>
      </c>
      <c r="O55" s="31" t="s">
        <v>511</v>
      </c>
      <c r="P55" s="31" t="s">
        <v>512</v>
      </c>
      <c r="Q55" s="35">
        <f t="shared" si="54"/>
        <v>210</v>
      </c>
      <c r="R55" s="14">
        <v>46135</v>
      </c>
      <c r="S55" s="14">
        <f t="shared" si="55"/>
        <v>46344</v>
      </c>
      <c r="T55" s="34">
        <v>126565</v>
      </c>
      <c r="U55" s="34">
        <f t="shared" si="56"/>
        <v>12656.5</v>
      </c>
      <c r="V55" s="34">
        <f t="shared" si="57"/>
        <v>139221.5</v>
      </c>
      <c r="W55" s="35"/>
      <c r="X55" s="14">
        <f t="shared" si="58"/>
        <v>46135</v>
      </c>
      <c r="Y55" s="14" t="str">
        <f t="shared" si="59"/>
        <v/>
      </c>
      <c r="Z55" s="34"/>
      <c r="AA55" s="34">
        <f t="shared" si="60"/>
        <v>0</v>
      </c>
      <c r="AB55" s="34">
        <f t="shared" si="61"/>
        <v>0</v>
      </c>
      <c r="AC55" s="15"/>
      <c r="AD55" s="35">
        <f t="shared" si="62"/>
        <v>0</v>
      </c>
      <c r="AE55" s="34">
        <f t="shared" si="63"/>
        <v>0</v>
      </c>
      <c r="AF55" s="34">
        <f t="shared" si="64"/>
        <v>0</v>
      </c>
      <c r="AG55" s="34">
        <f t="shared" si="65"/>
        <v>0</v>
      </c>
      <c r="AH55" s="15"/>
      <c r="AI55" s="35">
        <f t="shared" si="66"/>
        <v>8</v>
      </c>
      <c r="AJ55" s="34">
        <f t="shared" si="67"/>
        <v>4821.5200000000004</v>
      </c>
      <c r="AK55" s="34">
        <f t="shared" si="68"/>
        <v>482.15</v>
      </c>
      <c r="AL55" s="34">
        <f t="shared" si="69"/>
        <v>5303.67</v>
      </c>
      <c r="AM55" s="15"/>
      <c r="AN55" s="35">
        <f t="shared" si="70"/>
        <v>31</v>
      </c>
      <c r="AO55" s="34">
        <f t="shared" si="71"/>
        <v>18683.400000000001</v>
      </c>
      <c r="AP55" s="34">
        <f t="shared" si="72"/>
        <v>1868.34</v>
      </c>
      <c r="AQ55" s="34">
        <f t="shared" si="73"/>
        <v>20551.740000000002</v>
      </c>
      <c r="AR55" s="15"/>
      <c r="AS55" s="35">
        <f t="shared" si="74"/>
        <v>30</v>
      </c>
      <c r="AT55" s="34">
        <f t="shared" si="75"/>
        <v>18080.71</v>
      </c>
      <c r="AU55" s="34">
        <f t="shared" si="76"/>
        <v>1808.07</v>
      </c>
      <c r="AV55" s="34">
        <f t="shared" si="77"/>
        <v>19888.78</v>
      </c>
      <c r="AW55" s="15"/>
      <c r="AX55" s="35">
        <f t="shared" si="78"/>
        <v>31</v>
      </c>
      <c r="AY55" s="34">
        <f t="shared" si="79"/>
        <v>18683.400000000001</v>
      </c>
      <c r="AZ55" s="34">
        <f t="shared" si="80"/>
        <v>1868.34</v>
      </c>
      <c r="BA55" s="34">
        <f t="shared" si="81"/>
        <v>20551.740000000002</v>
      </c>
      <c r="BB55" s="15"/>
      <c r="BC55" s="35">
        <f t="shared" si="82"/>
        <v>31</v>
      </c>
      <c r="BD55" s="34">
        <f t="shared" si="83"/>
        <v>18683.400000000001</v>
      </c>
      <c r="BE55" s="34">
        <f t="shared" si="84"/>
        <v>1868.34</v>
      </c>
      <c r="BF55" s="34">
        <f t="shared" si="85"/>
        <v>20551.740000000002</v>
      </c>
      <c r="BG55" s="15"/>
      <c r="BH55" s="35">
        <f t="shared" si="86"/>
        <v>30</v>
      </c>
      <c r="BI55" s="34">
        <f t="shared" si="87"/>
        <v>18080.71</v>
      </c>
      <c r="BJ55" s="34">
        <f t="shared" si="88"/>
        <v>1808.07</v>
      </c>
      <c r="BK55" s="34">
        <f t="shared" si="89"/>
        <v>19888.78</v>
      </c>
      <c r="BL55" s="15"/>
      <c r="BM55" s="35">
        <f t="shared" si="90"/>
        <v>31</v>
      </c>
      <c r="BN55" s="34">
        <f t="shared" si="91"/>
        <v>18683.400000000001</v>
      </c>
      <c r="BO55" s="34">
        <f t="shared" si="92"/>
        <v>1868.34</v>
      </c>
      <c r="BP55" s="34">
        <f t="shared" si="93"/>
        <v>20551.740000000002</v>
      </c>
      <c r="BQ55" s="15"/>
      <c r="BR55" s="35">
        <f t="shared" si="94"/>
        <v>18</v>
      </c>
      <c r="BS55" s="34">
        <f t="shared" si="95"/>
        <v>10848.43</v>
      </c>
      <c r="BT55" s="34">
        <f t="shared" si="96"/>
        <v>1084.8399999999999</v>
      </c>
      <c r="BU55" s="34">
        <f t="shared" si="97"/>
        <v>11933.27</v>
      </c>
      <c r="BV55" s="15"/>
      <c r="BW55" s="35">
        <f t="shared" si="98"/>
        <v>0</v>
      </c>
      <c r="BX55" s="34">
        <f t="shared" si="99"/>
        <v>0</v>
      </c>
      <c r="BY55" s="34">
        <f t="shared" si="100"/>
        <v>0</v>
      </c>
      <c r="BZ55" s="34">
        <f t="shared" si="101"/>
        <v>0</v>
      </c>
      <c r="CA55" s="35">
        <f t="shared" si="102"/>
        <v>210</v>
      </c>
      <c r="CB55" s="34">
        <f t="shared" si="103"/>
        <v>126564.97</v>
      </c>
      <c r="CC55" s="34">
        <f t="shared" si="104"/>
        <v>12656.49</v>
      </c>
      <c r="CD55" s="34">
        <f t="shared" si="105"/>
        <v>139221.46</v>
      </c>
      <c r="CE55" s="16">
        <f t="shared" si="106"/>
        <v>0.03</v>
      </c>
      <c r="CF55" s="16">
        <f t="shared" si="107"/>
        <v>0.01</v>
      </c>
      <c r="CG55" s="31" t="s">
        <v>493</v>
      </c>
      <c r="CH55" s="31" t="s">
        <v>494</v>
      </c>
      <c r="CI55" s="31" t="s">
        <v>49</v>
      </c>
      <c r="CJ55" s="31" t="s">
        <v>495</v>
      </c>
      <c r="CK55" s="31" t="s">
        <v>496</v>
      </c>
      <c r="CL55" s="31" t="s">
        <v>497</v>
      </c>
      <c r="CM55" s="29">
        <v>46126</v>
      </c>
      <c r="CN55" s="28" t="s">
        <v>498</v>
      </c>
      <c r="CO55" s="28"/>
      <c r="CP55" s="28"/>
    </row>
    <row r="56" spans="1:94" ht="40.049999999999997" customHeight="1" x14ac:dyDescent="0.25">
      <c r="A56" s="62">
        <v>105</v>
      </c>
      <c r="B56" s="63">
        <v>193</v>
      </c>
      <c r="C56" s="1" t="s">
        <v>258</v>
      </c>
      <c r="D56" s="2" t="s">
        <v>487</v>
      </c>
      <c r="E56" s="2" t="s">
        <v>513</v>
      </c>
      <c r="F56" s="2" t="s">
        <v>514</v>
      </c>
      <c r="G56" s="2" t="s">
        <v>515</v>
      </c>
      <c r="H56" s="64">
        <v>32.170999999999999</v>
      </c>
      <c r="I56" s="1" t="s">
        <v>46</v>
      </c>
      <c r="J56" s="3">
        <v>968.67</v>
      </c>
      <c r="K56" s="1">
        <v>210</v>
      </c>
      <c r="L56" s="4">
        <v>218142</v>
      </c>
      <c r="M56" s="4">
        <v>21814</v>
      </c>
      <c r="N56" s="4">
        <v>239956</v>
      </c>
      <c r="O56" s="31" t="s">
        <v>516</v>
      </c>
      <c r="P56" s="31" t="s">
        <v>331</v>
      </c>
      <c r="Q56" s="35">
        <f t="shared" si="54"/>
        <v>210</v>
      </c>
      <c r="R56" s="14">
        <v>46135</v>
      </c>
      <c r="S56" s="14">
        <f t="shared" si="55"/>
        <v>46344</v>
      </c>
      <c r="T56" s="34">
        <v>218142</v>
      </c>
      <c r="U56" s="34">
        <f t="shared" si="56"/>
        <v>21814.2</v>
      </c>
      <c r="V56" s="34">
        <f t="shared" si="57"/>
        <v>239956.2</v>
      </c>
      <c r="W56" s="35"/>
      <c r="X56" s="14">
        <f t="shared" si="58"/>
        <v>46135</v>
      </c>
      <c r="Y56" s="14" t="str">
        <f t="shared" si="59"/>
        <v/>
      </c>
      <c r="Z56" s="34"/>
      <c r="AA56" s="34">
        <f t="shared" si="60"/>
        <v>0</v>
      </c>
      <c r="AB56" s="34">
        <f t="shared" si="61"/>
        <v>0</v>
      </c>
      <c r="AC56" s="15"/>
      <c r="AD56" s="35">
        <f t="shared" si="62"/>
        <v>0</v>
      </c>
      <c r="AE56" s="34">
        <f t="shared" si="63"/>
        <v>0</v>
      </c>
      <c r="AF56" s="34">
        <f t="shared" si="64"/>
        <v>0</v>
      </c>
      <c r="AG56" s="34">
        <f t="shared" si="65"/>
        <v>0</v>
      </c>
      <c r="AH56" s="15"/>
      <c r="AI56" s="35">
        <f t="shared" si="66"/>
        <v>8</v>
      </c>
      <c r="AJ56" s="34">
        <f t="shared" si="67"/>
        <v>8310.17</v>
      </c>
      <c r="AK56" s="34">
        <f t="shared" si="68"/>
        <v>831.02</v>
      </c>
      <c r="AL56" s="34">
        <f t="shared" si="69"/>
        <v>9141.19</v>
      </c>
      <c r="AM56" s="15"/>
      <c r="AN56" s="35">
        <f t="shared" si="70"/>
        <v>31</v>
      </c>
      <c r="AO56" s="34">
        <f t="shared" si="71"/>
        <v>32201.91</v>
      </c>
      <c r="AP56" s="34">
        <f t="shared" si="72"/>
        <v>3220.19</v>
      </c>
      <c r="AQ56" s="34">
        <f t="shared" si="73"/>
        <v>35422.1</v>
      </c>
      <c r="AR56" s="15"/>
      <c r="AS56" s="35">
        <f t="shared" si="74"/>
        <v>30</v>
      </c>
      <c r="AT56" s="34">
        <f t="shared" si="75"/>
        <v>31163.14</v>
      </c>
      <c r="AU56" s="34">
        <f t="shared" si="76"/>
        <v>3116.31</v>
      </c>
      <c r="AV56" s="34">
        <f t="shared" si="77"/>
        <v>34279.449999999997</v>
      </c>
      <c r="AW56" s="15"/>
      <c r="AX56" s="35">
        <f t="shared" si="78"/>
        <v>31</v>
      </c>
      <c r="AY56" s="34">
        <f t="shared" si="79"/>
        <v>32201.91</v>
      </c>
      <c r="AZ56" s="34">
        <f t="shared" si="80"/>
        <v>3220.19</v>
      </c>
      <c r="BA56" s="34">
        <f t="shared" si="81"/>
        <v>35422.1</v>
      </c>
      <c r="BB56" s="15"/>
      <c r="BC56" s="35">
        <f t="shared" si="82"/>
        <v>31</v>
      </c>
      <c r="BD56" s="34">
        <f t="shared" si="83"/>
        <v>32201.91</v>
      </c>
      <c r="BE56" s="34">
        <f t="shared" si="84"/>
        <v>3220.19</v>
      </c>
      <c r="BF56" s="34">
        <f t="shared" si="85"/>
        <v>35422.1</v>
      </c>
      <c r="BG56" s="15"/>
      <c r="BH56" s="35">
        <f t="shared" si="86"/>
        <v>30</v>
      </c>
      <c r="BI56" s="34">
        <f t="shared" si="87"/>
        <v>31163.14</v>
      </c>
      <c r="BJ56" s="34">
        <f t="shared" si="88"/>
        <v>3116.31</v>
      </c>
      <c r="BK56" s="34">
        <f t="shared" si="89"/>
        <v>34279.449999999997</v>
      </c>
      <c r="BL56" s="15"/>
      <c r="BM56" s="35">
        <f t="shared" si="90"/>
        <v>31</v>
      </c>
      <c r="BN56" s="34">
        <f t="shared" si="91"/>
        <v>32201.91</v>
      </c>
      <c r="BO56" s="34">
        <f t="shared" si="92"/>
        <v>3220.19</v>
      </c>
      <c r="BP56" s="34">
        <f t="shared" si="93"/>
        <v>35422.1</v>
      </c>
      <c r="BQ56" s="15"/>
      <c r="BR56" s="35">
        <f t="shared" si="94"/>
        <v>18</v>
      </c>
      <c r="BS56" s="34">
        <f t="shared" si="95"/>
        <v>18697.89</v>
      </c>
      <c r="BT56" s="34">
        <f t="shared" si="96"/>
        <v>1869.79</v>
      </c>
      <c r="BU56" s="34">
        <f t="shared" si="97"/>
        <v>20567.68</v>
      </c>
      <c r="BV56" s="15"/>
      <c r="BW56" s="35">
        <f t="shared" si="98"/>
        <v>0</v>
      </c>
      <c r="BX56" s="34">
        <f t="shared" si="99"/>
        <v>0</v>
      </c>
      <c r="BY56" s="34">
        <f t="shared" si="100"/>
        <v>0</v>
      </c>
      <c r="BZ56" s="34">
        <f t="shared" si="101"/>
        <v>0</v>
      </c>
      <c r="CA56" s="35">
        <f t="shared" si="102"/>
        <v>210</v>
      </c>
      <c r="CB56" s="34">
        <f t="shared" si="103"/>
        <v>218141.97999999998</v>
      </c>
      <c r="CC56" s="34">
        <f t="shared" si="104"/>
        <v>21814.190000000002</v>
      </c>
      <c r="CD56" s="34">
        <f t="shared" si="105"/>
        <v>239956.16999999998</v>
      </c>
      <c r="CE56" s="16">
        <f t="shared" si="106"/>
        <v>0.02</v>
      </c>
      <c r="CF56" s="16">
        <f t="shared" si="107"/>
        <v>0.01</v>
      </c>
      <c r="CG56" s="31" t="s">
        <v>493</v>
      </c>
      <c r="CH56" s="31" t="s">
        <v>494</v>
      </c>
      <c r="CI56" s="31" t="s">
        <v>49</v>
      </c>
      <c r="CJ56" s="31" t="s">
        <v>495</v>
      </c>
      <c r="CK56" s="31" t="s">
        <v>496</v>
      </c>
      <c r="CL56" s="31" t="s">
        <v>497</v>
      </c>
      <c r="CM56" s="29">
        <v>46126</v>
      </c>
      <c r="CN56" s="28" t="s">
        <v>498</v>
      </c>
      <c r="CO56" s="28"/>
      <c r="CP56" s="28"/>
    </row>
    <row r="57" spans="1:94" ht="40.049999999999997" customHeight="1" x14ac:dyDescent="0.25">
      <c r="A57" s="62">
        <v>106</v>
      </c>
      <c r="B57" s="63">
        <v>193</v>
      </c>
      <c r="C57" s="1" t="s">
        <v>258</v>
      </c>
      <c r="D57" s="2" t="s">
        <v>487</v>
      </c>
      <c r="E57" s="2" t="s">
        <v>517</v>
      </c>
      <c r="F57" s="2" t="s">
        <v>518</v>
      </c>
      <c r="G57" s="2" t="s">
        <v>519</v>
      </c>
      <c r="H57" s="64">
        <v>7.6230000000000002</v>
      </c>
      <c r="I57" s="1" t="s">
        <v>46</v>
      </c>
      <c r="J57" s="3">
        <v>943.38</v>
      </c>
      <c r="K57" s="1">
        <v>210</v>
      </c>
      <c r="L57" s="4">
        <v>50340</v>
      </c>
      <c r="M57" s="4">
        <v>5034</v>
      </c>
      <c r="N57" s="4">
        <v>55374</v>
      </c>
      <c r="O57" s="31" t="s">
        <v>520</v>
      </c>
      <c r="P57" s="31" t="s">
        <v>521</v>
      </c>
      <c r="Q57" s="35">
        <f t="shared" si="54"/>
        <v>210</v>
      </c>
      <c r="R57" s="14">
        <v>46135</v>
      </c>
      <c r="S57" s="14">
        <f t="shared" si="55"/>
        <v>46344</v>
      </c>
      <c r="T57" s="34">
        <v>50340</v>
      </c>
      <c r="U57" s="34">
        <f t="shared" si="56"/>
        <v>5034</v>
      </c>
      <c r="V57" s="34">
        <f t="shared" si="57"/>
        <v>55374</v>
      </c>
      <c r="W57" s="35"/>
      <c r="X57" s="14">
        <f t="shared" si="58"/>
        <v>46135</v>
      </c>
      <c r="Y57" s="14" t="str">
        <f t="shared" si="59"/>
        <v/>
      </c>
      <c r="Z57" s="34"/>
      <c r="AA57" s="34">
        <f t="shared" si="60"/>
        <v>0</v>
      </c>
      <c r="AB57" s="34">
        <f t="shared" si="61"/>
        <v>0</v>
      </c>
      <c r="AC57" s="15"/>
      <c r="AD57" s="35">
        <f t="shared" si="62"/>
        <v>0</v>
      </c>
      <c r="AE57" s="34">
        <f t="shared" si="63"/>
        <v>0</v>
      </c>
      <c r="AF57" s="34">
        <f t="shared" si="64"/>
        <v>0</v>
      </c>
      <c r="AG57" s="34">
        <f t="shared" si="65"/>
        <v>0</v>
      </c>
      <c r="AH57" s="15"/>
      <c r="AI57" s="35">
        <f t="shared" si="66"/>
        <v>8</v>
      </c>
      <c r="AJ57" s="34">
        <f t="shared" si="67"/>
        <v>1917.71</v>
      </c>
      <c r="AK57" s="34">
        <f t="shared" si="68"/>
        <v>191.77</v>
      </c>
      <c r="AL57" s="34">
        <f t="shared" si="69"/>
        <v>2109.48</v>
      </c>
      <c r="AM57" s="15"/>
      <c r="AN57" s="35">
        <f t="shared" si="70"/>
        <v>31</v>
      </c>
      <c r="AO57" s="34">
        <f t="shared" si="71"/>
        <v>7431.14</v>
      </c>
      <c r="AP57" s="34">
        <f t="shared" si="72"/>
        <v>743.11</v>
      </c>
      <c r="AQ57" s="34">
        <f t="shared" si="73"/>
        <v>8174.25</v>
      </c>
      <c r="AR57" s="15"/>
      <c r="AS57" s="35">
        <f t="shared" si="74"/>
        <v>30</v>
      </c>
      <c r="AT57" s="34">
        <f t="shared" si="75"/>
        <v>7191.43</v>
      </c>
      <c r="AU57" s="34">
        <f t="shared" si="76"/>
        <v>719.14</v>
      </c>
      <c r="AV57" s="34">
        <f t="shared" si="77"/>
        <v>7910.5700000000006</v>
      </c>
      <c r="AW57" s="15"/>
      <c r="AX57" s="35">
        <f t="shared" si="78"/>
        <v>31</v>
      </c>
      <c r="AY57" s="34">
        <f t="shared" si="79"/>
        <v>7431.14</v>
      </c>
      <c r="AZ57" s="34">
        <f t="shared" si="80"/>
        <v>743.11</v>
      </c>
      <c r="BA57" s="34">
        <f t="shared" si="81"/>
        <v>8174.25</v>
      </c>
      <c r="BB57" s="15"/>
      <c r="BC57" s="35">
        <f t="shared" si="82"/>
        <v>31</v>
      </c>
      <c r="BD57" s="34">
        <f t="shared" si="83"/>
        <v>7431.14</v>
      </c>
      <c r="BE57" s="34">
        <f t="shared" si="84"/>
        <v>743.11</v>
      </c>
      <c r="BF57" s="34">
        <f t="shared" si="85"/>
        <v>8174.25</v>
      </c>
      <c r="BG57" s="15"/>
      <c r="BH57" s="35">
        <f t="shared" si="86"/>
        <v>30</v>
      </c>
      <c r="BI57" s="34">
        <f t="shared" si="87"/>
        <v>7191.43</v>
      </c>
      <c r="BJ57" s="34">
        <f t="shared" si="88"/>
        <v>719.14</v>
      </c>
      <c r="BK57" s="34">
        <f t="shared" si="89"/>
        <v>7910.5700000000006</v>
      </c>
      <c r="BL57" s="15"/>
      <c r="BM57" s="35">
        <f t="shared" si="90"/>
        <v>31</v>
      </c>
      <c r="BN57" s="34">
        <f t="shared" si="91"/>
        <v>7431.14</v>
      </c>
      <c r="BO57" s="34">
        <f t="shared" si="92"/>
        <v>743.11</v>
      </c>
      <c r="BP57" s="34">
        <f t="shared" si="93"/>
        <v>8174.25</v>
      </c>
      <c r="BQ57" s="15"/>
      <c r="BR57" s="35">
        <f t="shared" si="94"/>
        <v>18</v>
      </c>
      <c r="BS57" s="34">
        <f t="shared" si="95"/>
        <v>4314.8599999999997</v>
      </c>
      <c r="BT57" s="34">
        <f t="shared" si="96"/>
        <v>431.49</v>
      </c>
      <c r="BU57" s="34">
        <f t="shared" si="97"/>
        <v>4746.3499999999995</v>
      </c>
      <c r="BV57" s="15"/>
      <c r="BW57" s="35">
        <f t="shared" si="98"/>
        <v>0</v>
      </c>
      <c r="BX57" s="34">
        <f t="shared" si="99"/>
        <v>0</v>
      </c>
      <c r="BY57" s="34">
        <f t="shared" si="100"/>
        <v>0</v>
      </c>
      <c r="BZ57" s="34">
        <f t="shared" si="101"/>
        <v>0</v>
      </c>
      <c r="CA57" s="35">
        <f t="shared" si="102"/>
        <v>210</v>
      </c>
      <c r="CB57" s="34">
        <f t="shared" si="103"/>
        <v>50339.99</v>
      </c>
      <c r="CC57" s="34">
        <f t="shared" si="104"/>
        <v>5033.9799999999996</v>
      </c>
      <c r="CD57" s="34">
        <f t="shared" si="105"/>
        <v>55373.97</v>
      </c>
      <c r="CE57" s="16">
        <f t="shared" si="106"/>
        <v>0.01</v>
      </c>
      <c r="CF57" s="16">
        <f t="shared" si="107"/>
        <v>0.02</v>
      </c>
      <c r="CG57" s="31" t="s">
        <v>493</v>
      </c>
      <c r="CH57" s="31" t="s">
        <v>494</v>
      </c>
      <c r="CI57" s="31" t="s">
        <v>49</v>
      </c>
      <c r="CJ57" s="31" t="s">
        <v>495</v>
      </c>
      <c r="CK57" s="31" t="s">
        <v>496</v>
      </c>
      <c r="CL57" s="31" t="s">
        <v>497</v>
      </c>
      <c r="CM57" s="29">
        <v>46126</v>
      </c>
      <c r="CN57" s="28" t="s">
        <v>498</v>
      </c>
      <c r="CO57" s="28"/>
      <c r="CP57" s="28"/>
    </row>
    <row r="58" spans="1:94" ht="40.049999999999997" customHeight="1" x14ac:dyDescent="0.25">
      <c r="A58" s="62">
        <v>107</v>
      </c>
      <c r="B58" s="63">
        <v>193</v>
      </c>
      <c r="C58" s="1" t="s">
        <v>258</v>
      </c>
      <c r="D58" s="2" t="s">
        <v>487</v>
      </c>
      <c r="E58" s="2" t="s">
        <v>522</v>
      </c>
      <c r="F58" s="2" t="s">
        <v>523</v>
      </c>
      <c r="G58" s="2" t="s">
        <v>524</v>
      </c>
      <c r="H58" s="64">
        <v>19.98</v>
      </c>
      <c r="I58" s="1" t="s">
        <v>46</v>
      </c>
      <c r="J58" s="3">
        <v>961.7</v>
      </c>
      <c r="K58" s="1">
        <v>210</v>
      </c>
      <c r="L58" s="4">
        <v>134504</v>
      </c>
      <c r="M58" s="4">
        <v>13450</v>
      </c>
      <c r="N58" s="4">
        <v>147954</v>
      </c>
      <c r="O58" s="31" t="s">
        <v>525</v>
      </c>
      <c r="P58" s="31" t="s">
        <v>521</v>
      </c>
      <c r="Q58" s="35">
        <f t="shared" si="54"/>
        <v>210</v>
      </c>
      <c r="R58" s="14">
        <v>46133</v>
      </c>
      <c r="S58" s="14">
        <f t="shared" si="55"/>
        <v>46342</v>
      </c>
      <c r="T58" s="34">
        <v>134504</v>
      </c>
      <c r="U58" s="34">
        <f t="shared" si="56"/>
        <v>13450.4</v>
      </c>
      <c r="V58" s="34">
        <f t="shared" si="57"/>
        <v>147954.4</v>
      </c>
      <c r="W58" s="35"/>
      <c r="X58" s="14">
        <f t="shared" si="58"/>
        <v>46133</v>
      </c>
      <c r="Y58" s="14" t="str">
        <f t="shared" si="59"/>
        <v/>
      </c>
      <c r="Z58" s="34"/>
      <c r="AA58" s="34">
        <f t="shared" si="60"/>
        <v>0</v>
      </c>
      <c r="AB58" s="34">
        <f t="shared" si="61"/>
        <v>0</v>
      </c>
      <c r="AC58" s="15"/>
      <c r="AD58" s="35">
        <f t="shared" si="62"/>
        <v>0</v>
      </c>
      <c r="AE58" s="34">
        <f t="shared" si="63"/>
        <v>0</v>
      </c>
      <c r="AF58" s="34">
        <f t="shared" si="64"/>
        <v>0</v>
      </c>
      <c r="AG58" s="34">
        <f t="shared" si="65"/>
        <v>0</v>
      </c>
      <c r="AH58" s="15"/>
      <c r="AI58" s="35">
        <f t="shared" si="66"/>
        <v>10</v>
      </c>
      <c r="AJ58" s="34">
        <f t="shared" si="67"/>
        <v>6404.95</v>
      </c>
      <c r="AK58" s="34">
        <f t="shared" si="68"/>
        <v>640.5</v>
      </c>
      <c r="AL58" s="34">
        <f t="shared" si="69"/>
        <v>7045.45</v>
      </c>
      <c r="AM58" s="15"/>
      <c r="AN58" s="35">
        <f t="shared" si="70"/>
        <v>31</v>
      </c>
      <c r="AO58" s="34">
        <f t="shared" si="71"/>
        <v>19855.349999999999</v>
      </c>
      <c r="AP58" s="34">
        <f t="shared" si="72"/>
        <v>1985.54</v>
      </c>
      <c r="AQ58" s="34">
        <f t="shared" si="73"/>
        <v>21840.89</v>
      </c>
      <c r="AR58" s="15"/>
      <c r="AS58" s="35">
        <f t="shared" si="74"/>
        <v>30</v>
      </c>
      <c r="AT58" s="34">
        <f t="shared" si="75"/>
        <v>19214.86</v>
      </c>
      <c r="AU58" s="34">
        <f t="shared" si="76"/>
        <v>1921.49</v>
      </c>
      <c r="AV58" s="34">
        <f t="shared" si="77"/>
        <v>21136.350000000002</v>
      </c>
      <c r="AW58" s="15"/>
      <c r="AX58" s="35">
        <f t="shared" si="78"/>
        <v>31</v>
      </c>
      <c r="AY58" s="34">
        <f t="shared" si="79"/>
        <v>19855.349999999999</v>
      </c>
      <c r="AZ58" s="34">
        <f t="shared" si="80"/>
        <v>1985.54</v>
      </c>
      <c r="BA58" s="34">
        <f t="shared" si="81"/>
        <v>21840.89</v>
      </c>
      <c r="BB58" s="15"/>
      <c r="BC58" s="35">
        <f t="shared" si="82"/>
        <v>31</v>
      </c>
      <c r="BD58" s="34">
        <f t="shared" si="83"/>
        <v>19855.349999999999</v>
      </c>
      <c r="BE58" s="34">
        <f t="shared" si="84"/>
        <v>1985.54</v>
      </c>
      <c r="BF58" s="34">
        <f t="shared" si="85"/>
        <v>21840.89</v>
      </c>
      <c r="BG58" s="15"/>
      <c r="BH58" s="35">
        <f t="shared" si="86"/>
        <v>30</v>
      </c>
      <c r="BI58" s="34">
        <f t="shared" si="87"/>
        <v>19214.86</v>
      </c>
      <c r="BJ58" s="34">
        <f t="shared" si="88"/>
        <v>1921.49</v>
      </c>
      <c r="BK58" s="34">
        <f t="shared" si="89"/>
        <v>21136.350000000002</v>
      </c>
      <c r="BL58" s="15"/>
      <c r="BM58" s="35">
        <f t="shared" si="90"/>
        <v>31</v>
      </c>
      <c r="BN58" s="34">
        <f t="shared" si="91"/>
        <v>19855.349999999999</v>
      </c>
      <c r="BO58" s="34">
        <f t="shared" si="92"/>
        <v>1985.54</v>
      </c>
      <c r="BP58" s="34">
        <f t="shared" si="93"/>
        <v>21840.89</v>
      </c>
      <c r="BQ58" s="15"/>
      <c r="BR58" s="35">
        <f t="shared" si="94"/>
        <v>16</v>
      </c>
      <c r="BS58" s="34">
        <f t="shared" si="95"/>
        <v>10247.92</v>
      </c>
      <c r="BT58" s="34">
        <f t="shared" si="96"/>
        <v>1024.79</v>
      </c>
      <c r="BU58" s="34">
        <f t="shared" si="97"/>
        <v>11272.71</v>
      </c>
      <c r="BV58" s="15"/>
      <c r="BW58" s="35">
        <f t="shared" si="98"/>
        <v>0</v>
      </c>
      <c r="BX58" s="34">
        <f t="shared" si="99"/>
        <v>0</v>
      </c>
      <c r="BY58" s="34">
        <f t="shared" si="100"/>
        <v>0</v>
      </c>
      <c r="BZ58" s="34">
        <f t="shared" si="101"/>
        <v>0</v>
      </c>
      <c r="CA58" s="35">
        <f t="shared" si="102"/>
        <v>210</v>
      </c>
      <c r="CB58" s="34">
        <f t="shared" si="103"/>
        <v>134503.99000000002</v>
      </c>
      <c r="CC58" s="34">
        <f t="shared" si="104"/>
        <v>13450.43</v>
      </c>
      <c r="CD58" s="34">
        <f t="shared" si="105"/>
        <v>147954.42000000001</v>
      </c>
      <c r="CE58" s="16">
        <f t="shared" si="106"/>
        <v>0.01</v>
      </c>
      <c r="CF58" s="16">
        <f t="shared" si="107"/>
        <v>-0.03</v>
      </c>
      <c r="CG58" s="31" t="s">
        <v>493</v>
      </c>
      <c r="CH58" s="31" t="s">
        <v>494</v>
      </c>
      <c r="CI58" s="31" t="s">
        <v>49</v>
      </c>
      <c r="CJ58" s="31" t="s">
        <v>495</v>
      </c>
      <c r="CK58" s="31" t="s">
        <v>496</v>
      </c>
      <c r="CL58" s="31" t="s">
        <v>497</v>
      </c>
      <c r="CM58" s="29">
        <v>46126</v>
      </c>
      <c r="CN58" s="28" t="s">
        <v>498</v>
      </c>
      <c r="CO58" s="28"/>
      <c r="CP58" s="28"/>
    </row>
    <row r="59" spans="1:94" ht="40.049999999999997" customHeight="1" x14ac:dyDescent="0.25">
      <c r="A59" s="62">
        <v>108</v>
      </c>
      <c r="B59" s="63">
        <v>193</v>
      </c>
      <c r="C59" s="1" t="s">
        <v>258</v>
      </c>
      <c r="D59" s="2" t="s">
        <v>487</v>
      </c>
      <c r="E59" s="2" t="s">
        <v>526</v>
      </c>
      <c r="F59" s="2" t="s">
        <v>527</v>
      </c>
      <c r="G59" s="2" t="s">
        <v>528</v>
      </c>
      <c r="H59" s="64">
        <v>36.478999999999999</v>
      </c>
      <c r="I59" s="1" t="s">
        <v>46</v>
      </c>
      <c r="J59" s="3">
        <v>916.32</v>
      </c>
      <c r="K59" s="1">
        <v>210</v>
      </c>
      <c r="L59" s="4">
        <v>233986</v>
      </c>
      <c r="M59" s="4">
        <v>23398</v>
      </c>
      <c r="N59" s="4">
        <v>257384</v>
      </c>
      <c r="O59" s="31" t="s">
        <v>529</v>
      </c>
      <c r="P59" s="31" t="s">
        <v>530</v>
      </c>
      <c r="Q59" s="35">
        <f t="shared" si="54"/>
        <v>210</v>
      </c>
      <c r="R59" s="14">
        <v>46140</v>
      </c>
      <c r="S59" s="14">
        <f t="shared" si="55"/>
        <v>46349</v>
      </c>
      <c r="T59" s="34">
        <v>233986</v>
      </c>
      <c r="U59" s="34">
        <f t="shared" si="56"/>
        <v>23398.6</v>
      </c>
      <c r="V59" s="34">
        <f t="shared" si="57"/>
        <v>257384.6</v>
      </c>
      <c r="W59" s="35"/>
      <c r="X59" s="14">
        <f t="shared" si="58"/>
        <v>46140</v>
      </c>
      <c r="Y59" s="14" t="str">
        <f t="shared" si="59"/>
        <v/>
      </c>
      <c r="Z59" s="34"/>
      <c r="AA59" s="34">
        <f t="shared" si="60"/>
        <v>0</v>
      </c>
      <c r="AB59" s="34">
        <f t="shared" si="61"/>
        <v>0</v>
      </c>
      <c r="AC59" s="15"/>
      <c r="AD59" s="35">
        <f t="shared" si="62"/>
        <v>0</v>
      </c>
      <c r="AE59" s="34">
        <f t="shared" si="63"/>
        <v>0</v>
      </c>
      <c r="AF59" s="34">
        <f t="shared" si="64"/>
        <v>0</v>
      </c>
      <c r="AG59" s="34">
        <f t="shared" si="65"/>
        <v>0</v>
      </c>
      <c r="AH59" s="15"/>
      <c r="AI59" s="35">
        <f t="shared" si="66"/>
        <v>3</v>
      </c>
      <c r="AJ59" s="34">
        <f t="shared" si="67"/>
        <v>3342.66</v>
      </c>
      <c r="AK59" s="34">
        <f t="shared" si="68"/>
        <v>334.27</v>
      </c>
      <c r="AL59" s="34">
        <f t="shared" si="69"/>
        <v>3676.93</v>
      </c>
      <c r="AM59" s="15"/>
      <c r="AN59" s="35">
        <f t="shared" si="70"/>
        <v>31</v>
      </c>
      <c r="AO59" s="34">
        <f t="shared" si="71"/>
        <v>34540.79</v>
      </c>
      <c r="AP59" s="34">
        <f t="shared" si="72"/>
        <v>3454.08</v>
      </c>
      <c r="AQ59" s="34">
        <f t="shared" si="73"/>
        <v>37994.870000000003</v>
      </c>
      <c r="AR59" s="15"/>
      <c r="AS59" s="35">
        <f t="shared" si="74"/>
        <v>30</v>
      </c>
      <c r="AT59" s="34">
        <f t="shared" si="75"/>
        <v>33426.57</v>
      </c>
      <c r="AU59" s="34">
        <f t="shared" si="76"/>
        <v>3342.66</v>
      </c>
      <c r="AV59" s="34">
        <f t="shared" si="77"/>
        <v>36769.229999999996</v>
      </c>
      <c r="AW59" s="15"/>
      <c r="AX59" s="35">
        <f t="shared" si="78"/>
        <v>31</v>
      </c>
      <c r="AY59" s="34">
        <f t="shared" si="79"/>
        <v>34540.79</v>
      </c>
      <c r="AZ59" s="34">
        <f t="shared" si="80"/>
        <v>3454.08</v>
      </c>
      <c r="BA59" s="34">
        <f t="shared" si="81"/>
        <v>37994.870000000003</v>
      </c>
      <c r="BB59" s="15"/>
      <c r="BC59" s="35">
        <f t="shared" si="82"/>
        <v>31</v>
      </c>
      <c r="BD59" s="34">
        <f t="shared" si="83"/>
        <v>34540.79</v>
      </c>
      <c r="BE59" s="34">
        <f t="shared" si="84"/>
        <v>3454.08</v>
      </c>
      <c r="BF59" s="34">
        <f t="shared" si="85"/>
        <v>37994.870000000003</v>
      </c>
      <c r="BG59" s="15"/>
      <c r="BH59" s="35">
        <f t="shared" si="86"/>
        <v>30</v>
      </c>
      <c r="BI59" s="34">
        <f t="shared" si="87"/>
        <v>33426.57</v>
      </c>
      <c r="BJ59" s="34">
        <f t="shared" si="88"/>
        <v>3342.66</v>
      </c>
      <c r="BK59" s="34">
        <f t="shared" si="89"/>
        <v>36769.229999999996</v>
      </c>
      <c r="BL59" s="15"/>
      <c r="BM59" s="35">
        <f t="shared" si="90"/>
        <v>31</v>
      </c>
      <c r="BN59" s="34">
        <f t="shared" si="91"/>
        <v>34540.79</v>
      </c>
      <c r="BO59" s="34">
        <f t="shared" si="92"/>
        <v>3454.08</v>
      </c>
      <c r="BP59" s="34">
        <f t="shared" si="93"/>
        <v>37994.870000000003</v>
      </c>
      <c r="BQ59" s="15"/>
      <c r="BR59" s="35">
        <f t="shared" si="94"/>
        <v>23</v>
      </c>
      <c r="BS59" s="34">
        <f t="shared" si="95"/>
        <v>25627.040000000001</v>
      </c>
      <c r="BT59" s="34">
        <f t="shared" si="96"/>
        <v>2562.6999999999998</v>
      </c>
      <c r="BU59" s="34">
        <f t="shared" si="97"/>
        <v>28189.74</v>
      </c>
      <c r="BV59" s="15"/>
      <c r="BW59" s="35">
        <f t="shared" si="98"/>
        <v>0</v>
      </c>
      <c r="BX59" s="34">
        <f t="shared" si="99"/>
        <v>0</v>
      </c>
      <c r="BY59" s="34">
        <f t="shared" si="100"/>
        <v>0</v>
      </c>
      <c r="BZ59" s="34">
        <f t="shared" si="101"/>
        <v>0</v>
      </c>
      <c r="CA59" s="35">
        <f t="shared" si="102"/>
        <v>210</v>
      </c>
      <c r="CB59" s="34">
        <f t="shared" si="103"/>
        <v>233986.00000000003</v>
      </c>
      <c r="CC59" s="34">
        <f t="shared" si="104"/>
        <v>23398.610000000004</v>
      </c>
      <c r="CD59" s="34">
        <f t="shared" si="105"/>
        <v>257384.61000000004</v>
      </c>
      <c r="CE59" s="16">
        <f t="shared" si="106"/>
        <v>0</v>
      </c>
      <c r="CF59" s="16">
        <f t="shared" si="107"/>
        <v>-0.01</v>
      </c>
      <c r="CG59" s="31" t="s">
        <v>493</v>
      </c>
      <c r="CH59" s="31" t="s">
        <v>494</v>
      </c>
      <c r="CI59" s="31" t="s">
        <v>49</v>
      </c>
      <c r="CJ59" s="31" t="s">
        <v>495</v>
      </c>
      <c r="CK59" s="31" t="s">
        <v>496</v>
      </c>
      <c r="CL59" s="31" t="s">
        <v>497</v>
      </c>
      <c r="CM59" s="29">
        <v>46126</v>
      </c>
      <c r="CN59" s="28" t="s">
        <v>498</v>
      </c>
      <c r="CO59" s="28"/>
      <c r="CP59" s="28"/>
    </row>
    <row r="60" spans="1:94" ht="40.049999999999997" customHeight="1" x14ac:dyDescent="0.25">
      <c r="A60" s="62">
        <v>109</v>
      </c>
      <c r="B60" s="63">
        <v>193</v>
      </c>
      <c r="C60" s="1" t="s">
        <v>258</v>
      </c>
      <c r="D60" s="2" t="s">
        <v>487</v>
      </c>
      <c r="E60" s="2" t="s">
        <v>531</v>
      </c>
      <c r="F60" s="2" t="s">
        <v>532</v>
      </c>
      <c r="G60" s="2" t="s">
        <v>533</v>
      </c>
      <c r="H60" s="64">
        <v>16.533999999999999</v>
      </c>
      <c r="I60" s="1" t="s">
        <v>46</v>
      </c>
      <c r="J60" s="3">
        <v>979.53</v>
      </c>
      <c r="K60" s="1">
        <v>210</v>
      </c>
      <c r="L60" s="4">
        <v>113369</v>
      </c>
      <c r="M60" s="4">
        <v>11336</v>
      </c>
      <c r="N60" s="4">
        <v>124705</v>
      </c>
      <c r="O60" s="31" t="s">
        <v>534</v>
      </c>
      <c r="P60" s="31" t="s">
        <v>535</v>
      </c>
      <c r="Q60" s="35">
        <f t="shared" si="54"/>
        <v>210</v>
      </c>
      <c r="R60" s="14">
        <v>46133</v>
      </c>
      <c r="S60" s="14">
        <f t="shared" si="55"/>
        <v>46342</v>
      </c>
      <c r="T60" s="34">
        <v>113369</v>
      </c>
      <c r="U60" s="34">
        <f t="shared" si="56"/>
        <v>11336.9</v>
      </c>
      <c r="V60" s="34">
        <f t="shared" si="57"/>
        <v>124705.9</v>
      </c>
      <c r="W60" s="35"/>
      <c r="X60" s="14">
        <f t="shared" si="58"/>
        <v>46133</v>
      </c>
      <c r="Y60" s="14" t="str">
        <f t="shared" si="59"/>
        <v/>
      </c>
      <c r="Z60" s="34"/>
      <c r="AA60" s="34">
        <f t="shared" si="60"/>
        <v>0</v>
      </c>
      <c r="AB60" s="34">
        <f t="shared" si="61"/>
        <v>0</v>
      </c>
      <c r="AC60" s="15"/>
      <c r="AD60" s="35">
        <f t="shared" si="62"/>
        <v>0</v>
      </c>
      <c r="AE60" s="34">
        <f t="shared" si="63"/>
        <v>0</v>
      </c>
      <c r="AF60" s="34">
        <f t="shared" si="64"/>
        <v>0</v>
      </c>
      <c r="AG60" s="34">
        <f t="shared" si="65"/>
        <v>0</v>
      </c>
      <c r="AH60" s="15"/>
      <c r="AI60" s="35">
        <f t="shared" si="66"/>
        <v>10</v>
      </c>
      <c r="AJ60" s="34">
        <f t="shared" si="67"/>
        <v>5398.52</v>
      </c>
      <c r="AK60" s="34">
        <f t="shared" si="68"/>
        <v>539.85</v>
      </c>
      <c r="AL60" s="34">
        <f t="shared" si="69"/>
        <v>5938.3700000000008</v>
      </c>
      <c r="AM60" s="15"/>
      <c r="AN60" s="35">
        <f t="shared" si="70"/>
        <v>31</v>
      </c>
      <c r="AO60" s="34">
        <f t="shared" si="71"/>
        <v>16735.419999999998</v>
      </c>
      <c r="AP60" s="34">
        <f t="shared" si="72"/>
        <v>1673.54</v>
      </c>
      <c r="AQ60" s="34">
        <f t="shared" si="73"/>
        <v>18408.96</v>
      </c>
      <c r="AR60" s="15"/>
      <c r="AS60" s="35">
        <f t="shared" si="74"/>
        <v>30</v>
      </c>
      <c r="AT60" s="34">
        <f t="shared" si="75"/>
        <v>16195.57</v>
      </c>
      <c r="AU60" s="34">
        <f t="shared" si="76"/>
        <v>1619.56</v>
      </c>
      <c r="AV60" s="34">
        <f t="shared" si="77"/>
        <v>17815.13</v>
      </c>
      <c r="AW60" s="15"/>
      <c r="AX60" s="35">
        <f t="shared" si="78"/>
        <v>31</v>
      </c>
      <c r="AY60" s="34">
        <f t="shared" si="79"/>
        <v>16735.419999999998</v>
      </c>
      <c r="AZ60" s="34">
        <f t="shared" si="80"/>
        <v>1673.54</v>
      </c>
      <c r="BA60" s="34">
        <f t="shared" si="81"/>
        <v>18408.96</v>
      </c>
      <c r="BB60" s="15"/>
      <c r="BC60" s="35">
        <f t="shared" si="82"/>
        <v>31</v>
      </c>
      <c r="BD60" s="34">
        <f t="shared" si="83"/>
        <v>16735.419999999998</v>
      </c>
      <c r="BE60" s="34">
        <f t="shared" si="84"/>
        <v>1673.54</v>
      </c>
      <c r="BF60" s="34">
        <f t="shared" si="85"/>
        <v>18408.96</v>
      </c>
      <c r="BG60" s="15"/>
      <c r="BH60" s="35">
        <f t="shared" si="86"/>
        <v>30</v>
      </c>
      <c r="BI60" s="34">
        <f t="shared" si="87"/>
        <v>16195.57</v>
      </c>
      <c r="BJ60" s="34">
        <f t="shared" si="88"/>
        <v>1619.56</v>
      </c>
      <c r="BK60" s="34">
        <f t="shared" si="89"/>
        <v>17815.13</v>
      </c>
      <c r="BL60" s="15"/>
      <c r="BM60" s="35">
        <f t="shared" si="90"/>
        <v>31</v>
      </c>
      <c r="BN60" s="34">
        <f t="shared" si="91"/>
        <v>16735.419999999998</v>
      </c>
      <c r="BO60" s="34">
        <f t="shared" si="92"/>
        <v>1673.54</v>
      </c>
      <c r="BP60" s="34">
        <f t="shared" si="93"/>
        <v>18408.96</v>
      </c>
      <c r="BQ60" s="15"/>
      <c r="BR60" s="35">
        <f t="shared" si="94"/>
        <v>16</v>
      </c>
      <c r="BS60" s="34">
        <f t="shared" si="95"/>
        <v>8637.64</v>
      </c>
      <c r="BT60" s="34">
        <f t="shared" si="96"/>
        <v>863.76</v>
      </c>
      <c r="BU60" s="34">
        <f t="shared" si="97"/>
        <v>9501.4</v>
      </c>
      <c r="BV60" s="15"/>
      <c r="BW60" s="35">
        <f t="shared" si="98"/>
        <v>0</v>
      </c>
      <c r="BX60" s="34">
        <f t="shared" si="99"/>
        <v>0</v>
      </c>
      <c r="BY60" s="34">
        <f t="shared" si="100"/>
        <v>0</v>
      </c>
      <c r="BZ60" s="34">
        <f t="shared" si="101"/>
        <v>0</v>
      </c>
      <c r="CA60" s="35">
        <f t="shared" si="102"/>
        <v>210</v>
      </c>
      <c r="CB60" s="34">
        <f t="shared" si="103"/>
        <v>113368.97999999998</v>
      </c>
      <c r="CC60" s="34">
        <f t="shared" si="104"/>
        <v>11336.890000000001</v>
      </c>
      <c r="CD60" s="34">
        <f t="shared" si="105"/>
        <v>124705.86999999998</v>
      </c>
      <c r="CE60" s="16">
        <f t="shared" si="106"/>
        <v>0.02</v>
      </c>
      <c r="CF60" s="16">
        <f t="shared" si="107"/>
        <v>0.01</v>
      </c>
      <c r="CG60" s="31" t="s">
        <v>493</v>
      </c>
      <c r="CH60" s="31" t="s">
        <v>494</v>
      </c>
      <c r="CI60" s="31" t="s">
        <v>49</v>
      </c>
      <c r="CJ60" s="31" t="s">
        <v>495</v>
      </c>
      <c r="CK60" s="31" t="s">
        <v>496</v>
      </c>
      <c r="CL60" s="31" t="s">
        <v>497</v>
      </c>
      <c r="CM60" s="29">
        <v>46126</v>
      </c>
      <c r="CN60" s="28" t="s">
        <v>498</v>
      </c>
      <c r="CO60" s="28"/>
      <c r="CP60" s="28"/>
    </row>
    <row r="61" spans="1:94" ht="40.049999999999997" customHeight="1" x14ac:dyDescent="0.25">
      <c r="A61" s="62">
        <v>110</v>
      </c>
      <c r="B61" s="63">
        <v>193</v>
      </c>
      <c r="C61" s="1" t="s">
        <v>258</v>
      </c>
      <c r="D61" s="2" t="s">
        <v>487</v>
      </c>
      <c r="E61" s="2" t="s">
        <v>536</v>
      </c>
      <c r="F61" s="2" t="s">
        <v>537</v>
      </c>
      <c r="G61" s="2" t="s">
        <v>538</v>
      </c>
      <c r="H61" s="64">
        <v>23.459</v>
      </c>
      <c r="I61" s="1" t="s">
        <v>46</v>
      </c>
      <c r="J61" s="3">
        <v>894.49</v>
      </c>
      <c r="K61" s="1">
        <v>210</v>
      </c>
      <c r="L61" s="4">
        <v>146887</v>
      </c>
      <c r="M61" s="4">
        <v>14688</v>
      </c>
      <c r="N61" s="4">
        <v>161575</v>
      </c>
      <c r="O61" s="31" t="s">
        <v>539</v>
      </c>
      <c r="P61" s="31" t="s">
        <v>540</v>
      </c>
      <c r="Q61" s="35">
        <f t="shared" si="54"/>
        <v>210</v>
      </c>
      <c r="R61" s="14">
        <v>46139</v>
      </c>
      <c r="S61" s="14">
        <f t="shared" si="55"/>
        <v>46348</v>
      </c>
      <c r="T61" s="34">
        <v>146887</v>
      </c>
      <c r="U61" s="34">
        <f t="shared" si="56"/>
        <v>14688.7</v>
      </c>
      <c r="V61" s="34">
        <f t="shared" si="57"/>
        <v>161575.70000000001</v>
      </c>
      <c r="W61" s="35"/>
      <c r="X61" s="14">
        <f t="shared" si="58"/>
        <v>46139</v>
      </c>
      <c r="Y61" s="14" t="str">
        <f t="shared" si="59"/>
        <v/>
      </c>
      <c r="Z61" s="34"/>
      <c r="AA61" s="34">
        <f t="shared" si="60"/>
        <v>0</v>
      </c>
      <c r="AB61" s="34">
        <f t="shared" si="61"/>
        <v>0</v>
      </c>
      <c r="AC61" s="15"/>
      <c r="AD61" s="35">
        <f t="shared" si="62"/>
        <v>0</v>
      </c>
      <c r="AE61" s="34">
        <f t="shared" si="63"/>
        <v>0</v>
      </c>
      <c r="AF61" s="34">
        <f t="shared" si="64"/>
        <v>0</v>
      </c>
      <c r="AG61" s="34">
        <f t="shared" si="65"/>
        <v>0</v>
      </c>
      <c r="AH61" s="15"/>
      <c r="AI61" s="35">
        <f t="shared" si="66"/>
        <v>4</v>
      </c>
      <c r="AJ61" s="34">
        <f t="shared" si="67"/>
        <v>2797.85</v>
      </c>
      <c r="AK61" s="34">
        <f t="shared" si="68"/>
        <v>279.79000000000002</v>
      </c>
      <c r="AL61" s="34">
        <f t="shared" si="69"/>
        <v>3077.64</v>
      </c>
      <c r="AM61" s="15"/>
      <c r="AN61" s="35">
        <f t="shared" si="70"/>
        <v>31</v>
      </c>
      <c r="AO61" s="34">
        <f t="shared" si="71"/>
        <v>21683.32</v>
      </c>
      <c r="AP61" s="34">
        <f t="shared" si="72"/>
        <v>2168.33</v>
      </c>
      <c r="AQ61" s="34">
        <f t="shared" si="73"/>
        <v>23851.65</v>
      </c>
      <c r="AR61" s="15"/>
      <c r="AS61" s="35">
        <f t="shared" si="74"/>
        <v>30</v>
      </c>
      <c r="AT61" s="34">
        <f t="shared" si="75"/>
        <v>20983.86</v>
      </c>
      <c r="AU61" s="34">
        <f t="shared" si="76"/>
        <v>2098.39</v>
      </c>
      <c r="AV61" s="34">
        <f t="shared" si="77"/>
        <v>23082.25</v>
      </c>
      <c r="AW61" s="15"/>
      <c r="AX61" s="35">
        <f t="shared" si="78"/>
        <v>31</v>
      </c>
      <c r="AY61" s="34">
        <f t="shared" si="79"/>
        <v>21683.32</v>
      </c>
      <c r="AZ61" s="34">
        <f t="shared" si="80"/>
        <v>2168.33</v>
      </c>
      <c r="BA61" s="34">
        <f t="shared" si="81"/>
        <v>23851.65</v>
      </c>
      <c r="BB61" s="15"/>
      <c r="BC61" s="35">
        <f t="shared" si="82"/>
        <v>31</v>
      </c>
      <c r="BD61" s="34">
        <f t="shared" si="83"/>
        <v>21683.32</v>
      </c>
      <c r="BE61" s="34">
        <f t="shared" si="84"/>
        <v>2168.33</v>
      </c>
      <c r="BF61" s="34">
        <f t="shared" si="85"/>
        <v>23851.65</v>
      </c>
      <c r="BG61" s="15"/>
      <c r="BH61" s="35">
        <f t="shared" si="86"/>
        <v>30</v>
      </c>
      <c r="BI61" s="34">
        <f t="shared" si="87"/>
        <v>20983.86</v>
      </c>
      <c r="BJ61" s="34">
        <f t="shared" si="88"/>
        <v>2098.39</v>
      </c>
      <c r="BK61" s="34">
        <f t="shared" si="89"/>
        <v>23082.25</v>
      </c>
      <c r="BL61" s="15"/>
      <c r="BM61" s="35">
        <f t="shared" si="90"/>
        <v>31</v>
      </c>
      <c r="BN61" s="34">
        <f t="shared" si="91"/>
        <v>21683.32</v>
      </c>
      <c r="BO61" s="34">
        <f t="shared" si="92"/>
        <v>2168.33</v>
      </c>
      <c r="BP61" s="34">
        <f t="shared" si="93"/>
        <v>23851.65</v>
      </c>
      <c r="BQ61" s="15"/>
      <c r="BR61" s="35">
        <f t="shared" si="94"/>
        <v>22</v>
      </c>
      <c r="BS61" s="34">
        <f t="shared" si="95"/>
        <v>15388.16</v>
      </c>
      <c r="BT61" s="34">
        <f t="shared" si="96"/>
        <v>1538.82</v>
      </c>
      <c r="BU61" s="34">
        <f t="shared" si="97"/>
        <v>16926.98</v>
      </c>
      <c r="BV61" s="15"/>
      <c r="BW61" s="35">
        <f t="shared" si="98"/>
        <v>0</v>
      </c>
      <c r="BX61" s="34">
        <f t="shared" si="99"/>
        <v>0</v>
      </c>
      <c r="BY61" s="34">
        <f t="shared" si="100"/>
        <v>0</v>
      </c>
      <c r="BZ61" s="34">
        <f t="shared" si="101"/>
        <v>0</v>
      </c>
      <c r="CA61" s="35">
        <f t="shared" si="102"/>
        <v>210</v>
      </c>
      <c r="CB61" s="34">
        <f t="shared" si="103"/>
        <v>146887.01</v>
      </c>
      <c r="CC61" s="34">
        <f t="shared" si="104"/>
        <v>14688.71</v>
      </c>
      <c r="CD61" s="34">
        <f t="shared" si="105"/>
        <v>161575.72</v>
      </c>
      <c r="CE61" s="16">
        <f t="shared" si="106"/>
        <v>-0.01</v>
      </c>
      <c r="CF61" s="16">
        <f t="shared" si="107"/>
        <v>-0.01</v>
      </c>
      <c r="CG61" s="31" t="s">
        <v>493</v>
      </c>
      <c r="CH61" s="31" t="s">
        <v>494</v>
      </c>
      <c r="CI61" s="31" t="s">
        <v>49</v>
      </c>
      <c r="CJ61" s="31" t="s">
        <v>495</v>
      </c>
      <c r="CK61" s="31" t="s">
        <v>496</v>
      </c>
      <c r="CL61" s="31" t="s">
        <v>497</v>
      </c>
      <c r="CM61" s="29">
        <v>46126</v>
      </c>
      <c r="CN61" s="28" t="s">
        <v>498</v>
      </c>
      <c r="CO61" s="28"/>
      <c r="CP61" s="28"/>
    </row>
    <row r="62" spans="1:94" ht="40.049999999999997" customHeight="1" thickBot="1" x14ac:dyDescent="0.3">
      <c r="A62" s="65">
        <v>111</v>
      </c>
      <c r="B62" s="66">
        <v>193</v>
      </c>
      <c r="C62" s="46" t="s">
        <v>258</v>
      </c>
      <c r="D62" s="47" t="s">
        <v>487</v>
      </c>
      <c r="E62" s="47" t="s">
        <v>541</v>
      </c>
      <c r="F62" s="47" t="s">
        <v>542</v>
      </c>
      <c r="G62" s="47" t="s">
        <v>543</v>
      </c>
      <c r="H62" s="67">
        <v>34.25</v>
      </c>
      <c r="I62" s="46" t="s">
        <v>46</v>
      </c>
      <c r="J62" s="48">
        <v>917.63</v>
      </c>
      <c r="K62" s="46">
        <v>210</v>
      </c>
      <c r="L62" s="49">
        <v>220002</v>
      </c>
      <c r="M62" s="49">
        <v>22000</v>
      </c>
      <c r="N62" s="49">
        <v>242002</v>
      </c>
      <c r="O62" s="53" t="s">
        <v>544</v>
      </c>
      <c r="P62" s="53" t="s">
        <v>545</v>
      </c>
      <c r="Q62" s="60">
        <f t="shared" si="54"/>
        <v>210</v>
      </c>
      <c r="R62" s="50">
        <v>46141</v>
      </c>
      <c r="S62" s="50">
        <f t="shared" si="55"/>
        <v>46350</v>
      </c>
      <c r="T62" s="58">
        <v>220002</v>
      </c>
      <c r="U62" s="58">
        <f t="shared" si="56"/>
        <v>22000.2</v>
      </c>
      <c r="V62" s="58">
        <f t="shared" si="57"/>
        <v>242002.2</v>
      </c>
      <c r="W62" s="60"/>
      <c r="X62" s="50">
        <f t="shared" si="58"/>
        <v>46141</v>
      </c>
      <c r="Y62" s="50" t="str">
        <f t="shared" si="59"/>
        <v/>
      </c>
      <c r="Z62" s="58"/>
      <c r="AA62" s="58">
        <f t="shared" si="60"/>
        <v>0</v>
      </c>
      <c r="AB62" s="58">
        <f t="shared" si="61"/>
        <v>0</v>
      </c>
      <c r="AC62" s="51"/>
      <c r="AD62" s="60">
        <f t="shared" si="62"/>
        <v>0</v>
      </c>
      <c r="AE62" s="58">
        <f t="shared" si="63"/>
        <v>0</v>
      </c>
      <c r="AF62" s="58">
        <f t="shared" si="64"/>
        <v>0</v>
      </c>
      <c r="AG62" s="58">
        <f t="shared" si="65"/>
        <v>0</v>
      </c>
      <c r="AH62" s="51"/>
      <c r="AI62" s="60">
        <f t="shared" si="66"/>
        <v>2</v>
      </c>
      <c r="AJ62" s="58">
        <f t="shared" si="67"/>
        <v>2095.2600000000002</v>
      </c>
      <c r="AK62" s="58">
        <f t="shared" si="68"/>
        <v>209.53</v>
      </c>
      <c r="AL62" s="58">
        <f t="shared" si="69"/>
        <v>2304.7900000000004</v>
      </c>
      <c r="AM62" s="51"/>
      <c r="AN62" s="60">
        <f t="shared" si="70"/>
        <v>31</v>
      </c>
      <c r="AO62" s="58">
        <f t="shared" si="71"/>
        <v>32476.49</v>
      </c>
      <c r="AP62" s="58">
        <f t="shared" si="72"/>
        <v>3247.65</v>
      </c>
      <c r="AQ62" s="58">
        <f t="shared" si="73"/>
        <v>35724.14</v>
      </c>
      <c r="AR62" s="51"/>
      <c r="AS62" s="60">
        <f t="shared" si="74"/>
        <v>30</v>
      </c>
      <c r="AT62" s="58">
        <f t="shared" si="75"/>
        <v>31428.86</v>
      </c>
      <c r="AU62" s="58">
        <f t="shared" si="76"/>
        <v>3142.89</v>
      </c>
      <c r="AV62" s="58">
        <f t="shared" si="77"/>
        <v>34571.75</v>
      </c>
      <c r="AW62" s="51"/>
      <c r="AX62" s="60">
        <f t="shared" si="78"/>
        <v>31</v>
      </c>
      <c r="AY62" s="58">
        <f t="shared" si="79"/>
        <v>32476.49</v>
      </c>
      <c r="AZ62" s="58">
        <f t="shared" si="80"/>
        <v>3247.65</v>
      </c>
      <c r="BA62" s="58">
        <f t="shared" si="81"/>
        <v>35724.14</v>
      </c>
      <c r="BB62" s="51"/>
      <c r="BC62" s="60">
        <f t="shared" si="82"/>
        <v>31</v>
      </c>
      <c r="BD62" s="58">
        <f t="shared" si="83"/>
        <v>32476.49</v>
      </c>
      <c r="BE62" s="58">
        <f t="shared" si="84"/>
        <v>3247.65</v>
      </c>
      <c r="BF62" s="58">
        <f t="shared" si="85"/>
        <v>35724.14</v>
      </c>
      <c r="BG62" s="51"/>
      <c r="BH62" s="60">
        <f t="shared" si="86"/>
        <v>30</v>
      </c>
      <c r="BI62" s="58">
        <f t="shared" si="87"/>
        <v>31428.86</v>
      </c>
      <c r="BJ62" s="58">
        <f t="shared" si="88"/>
        <v>3142.89</v>
      </c>
      <c r="BK62" s="58">
        <f t="shared" si="89"/>
        <v>34571.75</v>
      </c>
      <c r="BL62" s="51"/>
      <c r="BM62" s="60">
        <f t="shared" si="90"/>
        <v>31</v>
      </c>
      <c r="BN62" s="58">
        <f t="shared" si="91"/>
        <v>32476.49</v>
      </c>
      <c r="BO62" s="58">
        <f t="shared" si="92"/>
        <v>3247.65</v>
      </c>
      <c r="BP62" s="58">
        <f t="shared" si="93"/>
        <v>35724.14</v>
      </c>
      <c r="BQ62" s="51"/>
      <c r="BR62" s="60">
        <f t="shared" si="94"/>
        <v>24</v>
      </c>
      <c r="BS62" s="58">
        <f t="shared" si="95"/>
        <v>25143.09</v>
      </c>
      <c r="BT62" s="58">
        <f t="shared" si="96"/>
        <v>2514.31</v>
      </c>
      <c r="BU62" s="58">
        <f t="shared" si="97"/>
        <v>27657.4</v>
      </c>
      <c r="BV62" s="51"/>
      <c r="BW62" s="60">
        <f t="shared" si="98"/>
        <v>0</v>
      </c>
      <c r="BX62" s="58">
        <f t="shared" si="99"/>
        <v>0</v>
      </c>
      <c r="BY62" s="58">
        <f t="shared" si="100"/>
        <v>0</v>
      </c>
      <c r="BZ62" s="58">
        <f t="shared" si="101"/>
        <v>0</v>
      </c>
      <c r="CA62" s="60">
        <f t="shared" si="102"/>
        <v>210</v>
      </c>
      <c r="CB62" s="58">
        <f t="shared" si="103"/>
        <v>220002.03</v>
      </c>
      <c r="CC62" s="58">
        <f t="shared" si="104"/>
        <v>22000.22</v>
      </c>
      <c r="CD62" s="58">
        <f t="shared" si="105"/>
        <v>242002.25</v>
      </c>
      <c r="CE62" s="52">
        <f t="shared" si="106"/>
        <v>-0.03</v>
      </c>
      <c r="CF62" s="52">
        <f t="shared" si="107"/>
        <v>-0.02</v>
      </c>
      <c r="CG62" s="53" t="s">
        <v>493</v>
      </c>
      <c r="CH62" s="53" t="s">
        <v>494</v>
      </c>
      <c r="CI62" s="53" t="s">
        <v>49</v>
      </c>
      <c r="CJ62" s="53" t="s">
        <v>495</v>
      </c>
      <c r="CK62" s="53" t="s">
        <v>496</v>
      </c>
      <c r="CL62" s="53" t="s">
        <v>497</v>
      </c>
      <c r="CM62" s="54">
        <v>46126</v>
      </c>
      <c r="CN62" s="55" t="s">
        <v>498</v>
      </c>
      <c r="CO62" s="55"/>
      <c r="CP62" s="55"/>
    </row>
    <row r="63" spans="1:94" ht="40.049999999999997" customHeight="1" thickTop="1" x14ac:dyDescent="0.25">
      <c r="A63" s="68">
        <v>112</v>
      </c>
      <c r="B63" s="69">
        <v>102</v>
      </c>
      <c r="C63" s="36" t="s">
        <v>258</v>
      </c>
      <c r="D63" s="37" t="s">
        <v>258</v>
      </c>
      <c r="E63" s="37" t="s">
        <v>546</v>
      </c>
      <c r="F63" s="37" t="s">
        <v>547</v>
      </c>
      <c r="G63" s="37" t="s">
        <v>548</v>
      </c>
      <c r="H63" s="70">
        <v>24.45</v>
      </c>
      <c r="I63" s="36" t="s">
        <v>46</v>
      </c>
      <c r="J63" s="38">
        <v>948.06</v>
      </c>
      <c r="K63" s="36">
        <v>225</v>
      </c>
      <c r="L63" s="39">
        <v>173851</v>
      </c>
      <c r="M63" s="39">
        <v>17385</v>
      </c>
      <c r="N63" s="39">
        <v>191236</v>
      </c>
      <c r="O63" s="43" t="s">
        <v>549</v>
      </c>
      <c r="P63" s="43" t="s">
        <v>550</v>
      </c>
      <c r="Q63" s="61">
        <f t="shared" si="54"/>
        <v>225</v>
      </c>
      <c r="R63" s="40">
        <v>46146</v>
      </c>
      <c r="S63" s="40">
        <f t="shared" si="55"/>
        <v>46370</v>
      </c>
      <c r="T63" s="56">
        <v>165158.45000000001</v>
      </c>
      <c r="U63" s="56">
        <f t="shared" si="56"/>
        <v>16515.849999999999</v>
      </c>
      <c r="V63" s="56">
        <f t="shared" si="57"/>
        <v>181674.30000000002</v>
      </c>
      <c r="W63" s="61"/>
      <c r="X63" s="40">
        <f t="shared" si="58"/>
        <v>46146</v>
      </c>
      <c r="Y63" s="40" t="str">
        <f t="shared" si="59"/>
        <v/>
      </c>
      <c r="Z63" s="56"/>
      <c r="AA63" s="56">
        <f t="shared" si="60"/>
        <v>0</v>
      </c>
      <c r="AB63" s="56">
        <f t="shared" si="61"/>
        <v>0</v>
      </c>
      <c r="AC63" s="41"/>
      <c r="AD63" s="61">
        <f t="shared" si="62"/>
        <v>0</v>
      </c>
      <c r="AE63" s="56">
        <f t="shared" si="63"/>
        <v>0</v>
      </c>
      <c r="AF63" s="56">
        <f t="shared" si="64"/>
        <v>0</v>
      </c>
      <c r="AG63" s="56">
        <f t="shared" si="65"/>
        <v>0</v>
      </c>
      <c r="AH63" s="41"/>
      <c r="AI63" s="61">
        <f t="shared" si="66"/>
        <v>0</v>
      </c>
      <c r="AJ63" s="56">
        <f t="shared" si="67"/>
        <v>0</v>
      </c>
      <c r="AK63" s="56">
        <f t="shared" si="68"/>
        <v>0</v>
      </c>
      <c r="AL63" s="56">
        <f t="shared" si="69"/>
        <v>0</v>
      </c>
      <c r="AM63" s="41"/>
      <c r="AN63" s="61">
        <f t="shared" si="70"/>
        <v>28</v>
      </c>
      <c r="AO63" s="56">
        <f t="shared" si="71"/>
        <v>20553.05</v>
      </c>
      <c r="AP63" s="56">
        <f t="shared" si="72"/>
        <v>2055.31</v>
      </c>
      <c r="AQ63" s="56">
        <f t="shared" si="73"/>
        <v>22608.36</v>
      </c>
      <c r="AR63" s="41"/>
      <c r="AS63" s="61">
        <f t="shared" si="74"/>
        <v>30</v>
      </c>
      <c r="AT63" s="56">
        <f t="shared" si="75"/>
        <v>22021.13</v>
      </c>
      <c r="AU63" s="56">
        <f t="shared" si="76"/>
        <v>2202.11</v>
      </c>
      <c r="AV63" s="56">
        <f t="shared" si="77"/>
        <v>24223.24</v>
      </c>
      <c r="AW63" s="41"/>
      <c r="AX63" s="61">
        <f t="shared" si="78"/>
        <v>31</v>
      </c>
      <c r="AY63" s="56">
        <f t="shared" si="79"/>
        <v>22755.16</v>
      </c>
      <c r="AZ63" s="56">
        <f t="shared" si="80"/>
        <v>2275.52</v>
      </c>
      <c r="BA63" s="56">
        <f t="shared" si="81"/>
        <v>25030.68</v>
      </c>
      <c r="BB63" s="41"/>
      <c r="BC63" s="61">
        <f t="shared" si="82"/>
        <v>31</v>
      </c>
      <c r="BD63" s="56">
        <f t="shared" si="83"/>
        <v>22755.16</v>
      </c>
      <c r="BE63" s="56">
        <f t="shared" si="84"/>
        <v>2275.52</v>
      </c>
      <c r="BF63" s="56">
        <f t="shared" si="85"/>
        <v>25030.68</v>
      </c>
      <c r="BG63" s="41"/>
      <c r="BH63" s="61">
        <f t="shared" si="86"/>
        <v>30</v>
      </c>
      <c r="BI63" s="56">
        <f t="shared" si="87"/>
        <v>22021.13</v>
      </c>
      <c r="BJ63" s="56">
        <f t="shared" si="88"/>
        <v>2202.11</v>
      </c>
      <c r="BK63" s="56">
        <f t="shared" si="89"/>
        <v>24223.24</v>
      </c>
      <c r="BL63" s="41"/>
      <c r="BM63" s="61">
        <f t="shared" si="90"/>
        <v>31</v>
      </c>
      <c r="BN63" s="56">
        <f t="shared" si="91"/>
        <v>22755.16</v>
      </c>
      <c r="BO63" s="56">
        <f t="shared" si="92"/>
        <v>2275.52</v>
      </c>
      <c r="BP63" s="56">
        <f t="shared" si="93"/>
        <v>25030.68</v>
      </c>
      <c r="BQ63" s="41"/>
      <c r="BR63" s="61">
        <f t="shared" si="94"/>
        <v>30</v>
      </c>
      <c r="BS63" s="56">
        <f t="shared" si="95"/>
        <v>22021.13</v>
      </c>
      <c r="BT63" s="56">
        <f t="shared" si="96"/>
        <v>2202.11</v>
      </c>
      <c r="BU63" s="56">
        <f t="shared" si="97"/>
        <v>24223.24</v>
      </c>
      <c r="BV63" s="41"/>
      <c r="BW63" s="61">
        <f t="shared" si="98"/>
        <v>14</v>
      </c>
      <c r="BX63" s="56">
        <f t="shared" si="99"/>
        <v>10276.530000000001</v>
      </c>
      <c r="BY63" s="56">
        <f t="shared" si="100"/>
        <v>1027.6500000000001</v>
      </c>
      <c r="BZ63" s="56">
        <f t="shared" si="101"/>
        <v>11304.18</v>
      </c>
      <c r="CA63" s="61">
        <f t="shared" si="102"/>
        <v>225</v>
      </c>
      <c r="CB63" s="56">
        <f t="shared" si="103"/>
        <v>165158.45000000001</v>
      </c>
      <c r="CC63" s="56">
        <f t="shared" si="104"/>
        <v>16515.850000000002</v>
      </c>
      <c r="CD63" s="56">
        <f t="shared" si="105"/>
        <v>181674.30000000002</v>
      </c>
      <c r="CE63" s="42">
        <f t="shared" si="106"/>
        <v>0</v>
      </c>
      <c r="CF63" s="42">
        <f t="shared" si="107"/>
        <v>0</v>
      </c>
      <c r="CG63" s="43" t="s">
        <v>551</v>
      </c>
      <c r="CH63" s="43" t="s">
        <v>552</v>
      </c>
      <c r="CI63" s="43" t="s">
        <v>49</v>
      </c>
      <c r="CJ63" s="43" t="s">
        <v>553</v>
      </c>
      <c r="CK63" s="43" t="s">
        <v>552</v>
      </c>
      <c r="CL63" s="43" t="s">
        <v>554</v>
      </c>
      <c r="CM63" s="44">
        <v>46133</v>
      </c>
      <c r="CN63" s="45" t="s">
        <v>553</v>
      </c>
      <c r="CO63" s="45"/>
      <c r="CP63" s="45"/>
    </row>
    <row r="64" spans="1:94" ht="40.049999999999997" customHeight="1" x14ac:dyDescent="0.25">
      <c r="A64" s="62">
        <v>113</v>
      </c>
      <c r="B64" s="63">
        <v>102</v>
      </c>
      <c r="C64" s="1" t="s">
        <v>258</v>
      </c>
      <c r="D64" s="2" t="s">
        <v>258</v>
      </c>
      <c r="E64" s="2" t="s">
        <v>546</v>
      </c>
      <c r="F64" s="2" t="s">
        <v>555</v>
      </c>
      <c r="G64" s="2" t="s">
        <v>556</v>
      </c>
      <c r="H64" s="64">
        <v>11.87</v>
      </c>
      <c r="I64" s="1" t="s">
        <v>46</v>
      </c>
      <c r="J64" s="3">
        <v>943.59</v>
      </c>
      <c r="K64" s="1">
        <v>225</v>
      </c>
      <c r="L64" s="4">
        <v>84003</v>
      </c>
      <c r="M64" s="4">
        <v>8400</v>
      </c>
      <c r="N64" s="4">
        <v>92403</v>
      </c>
      <c r="O64" s="31" t="s">
        <v>557</v>
      </c>
      <c r="P64" s="31" t="s">
        <v>558</v>
      </c>
      <c r="Q64" s="35">
        <f t="shared" si="54"/>
        <v>225</v>
      </c>
      <c r="R64" s="14">
        <v>46142</v>
      </c>
      <c r="S64" s="14">
        <f t="shared" si="55"/>
        <v>46366</v>
      </c>
      <c r="T64" s="34">
        <v>79802.850000000006</v>
      </c>
      <c r="U64" s="34">
        <f t="shared" si="56"/>
        <v>7980.29</v>
      </c>
      <c r="V64" s="34">
        <f t="shared" si="57"/>
        <v>87783.14</v>
      </c>
      <c r="W64" s="35"/>
      <c r="X64" s="14">
        <f t="shared" si="58"/>
        <v>46142</v>
      </c>
      <c r="Y64" s="14" t="str">
        <f t="shared" si="59"/>
        <v/>
      </c>
      <c r="Z64" s="34"/>
      <c r="AA64" s="34">
        <f t="shared" si="60"/>
        <v>0</v>
      </c>
      <c r="AB64" s="34">
        <f t="shared" si="61"/>
        <v>0</v>
      </c>
      <c r="AC64" s="15"/>
      <c r="AD64" s="35">
        <f t="shared" si="62"/>
        <v>0</v>
      </c>
      <c r="AE64" s="34">
        <f t="shared" si="63"/>
        <v>0</v>
      </c>
      <c r="AF64" s="34">
        <f t="shared" si="64"/>
        <v>0</v>
      </c>
      <c r="AG64" s="34">
        <f t="shared" si="65"/>
        <v>0</v>
      </c>
      <c r="AH64" s="15"/>
      <c r="AI64" s="35">
        <f t="shared" si="66"/>
        <v>1</v>
      </c>
      <c r="AJ64" s="34">
        <f t="shared" si="67"/>
        <v>354.68</v>
      </c>
      <c r="AK64" s="34">
        <f t="shared" si="68"/>
        <v>35.47</v>
      </c>
      <c r="AL64" s="34">
        <f t="shared" si="69"/>
        <v>390.15</v>
      </c>
      <c r="AM64" s="15"/>
      <c r="AN64" s="35">
        <f t="shared" si="70"/>
        <v>31</v>
      </c>
      <c r="AO64" s="34">
        <f t="shared" si="71"/>
        <v>10995.06</v>
      </c>
      <c r="AP64" s="34">
        <f t="shared" si="72"/>
        <v>1099.51</v>
      </c>
      <c r="AQ64" s="34">
        <f t="shared" si="73"/>
        <v>12094.57</v>
      </c>
      <c r="AR64" s="15"/>
      <c r="AS64" s="35">
        <f t="shared" si="74"/>
        <v>30</v>
      </c>
      <c r="AT64" s="34">
        <f t="shared" si="75"/>
        <v>10640.38</v>
      </c>
      <c r="AU64" s="34">
        <f t="shared" si="76"/>
        <v>1064.04</v>
      </c>
      <c r="AV64" s="34">
        <f t="shared" si="77"/>
        <v>11704.419999999998</v>
      </c>
      <c r="AW64" s="15"/>
      <c r="AX64" s="35">
        <f t="shared" si="78"/>
        <v>31</v>
      </c>
      <c r="AY64" s="34">
        <f t="shared" si="79"/>
        <v>10995.06</v>
      </c>
      <c r="AZ64" s="34">
        <f t="shared" si="80"/>
        <v>1099.51</v>
      </c>
      <c r="BA64" s="34">
        <f t="shared" si="81"/>
        <v>12094.57</v>
      </c>
      <c r="BB64" s="15"/>
      <c r="BC64" s="35">
        <f t="shared" si="82"/>
        <v>31</v>
      </c>
      <c r="BD64" s="34">
        <f t="shared" si="83"/>
        <v>10995.06</v>
      </c>
      <c r="BE64" s="34">
        <f t="shared" si="84"/>
        <v>1099.51</v>
      </c>
      <c r="BF64" s="34">
        <f t="shared" si="85"/>
        <v>12094.57</v>
      </c>
      <c r="BG64" s="15"/>
      <c r="BH64" s="35">
        <f t="shared" si="86"/>
        <v>30</v>
      </c>
      <c r="BI64" s="34">
        <f t="shared" si="87"/>
        <v>10640.38</v>
      </c>
      <c r="BJ64" s="34">
        <f t="shared" si="88"/>
        <v>1064.04</v>
      </c>
      <c r="BK64" s="34">
        <f t="shared" si="89"/>
        <v>11704.419999999998</v>
      </c>
      <c r="BL64" s="15"/>
      <c r="BM64" s="35">
        <f t="shared" si="90"/>
        <v>31</v>
      </c>
      <c r="BN64" s="34">
        <f t="shared" si="91"/>
        <v>10995.06</v>
      </c>
      <c r="BO64" s="34">
        <f t="shared" si="92"/>
        <v>1099.51</v>
      </c>
      <c r="BP64" s="34">
        <f t="shared" si="93"/>
        <v>12094.57</v>
      </c>
      <c r="BQ64" s="15"/>
      <c r="BR64" s="35">
        <f t="shared" si="94"/>
        <v>30</v>
      </c>
      <c r="BS64" s="34">
        <f t="shared" si="95"/>
        <v>10640.38</v>
      </c>
      <c r="BT64" s="34">
        <f t="shared" si="96"/>
        <v>1064.04</v>
      </c>
      <c r="BU64" s="34">
        <f t="shared" si="97"/>
        <v>11704.419999999998</v>
      </c>
      <c r="BV64" s="15"/>
      <c r="BW64" s="35">
        <f t="shared" si="98"/>
        <v>10</v>
      </c>
      <c r="BX64" s="34">
        <f t="shared" si="99"/>
        <v>3546.79</v>
      </c>
      <c r="BY64" s="34">
        <f t="shared" si="100"/>
        <v>354.68</v>
      </c>
      <c r="BZ64" s="34">
        <f t="shared" si="101"/>
        <v>3901.47</v>
      </c>
      <c r="CA64" s="35">
        <f t="shared" si="102"/>
        <v>225</v>
      </c>
      <c r="CB64" s="34">
        <f t="shared" si="103"/>
        <v>79802.849999999991</v>
      </c>
      <c r="CC64" s="34">
        <f t="shared" si="104"/>
        <v>7980.31</v>
      </c>
      <c r="CD64" s="34">
        <f t="shared" si="105"/>
        <v>87783.159999999989</v>
      </c>
      <c r="CE64" s="16">
        <f t="shared" si="106"/>
        <v>0</v>
      </c>
      <c r="CF64" s="16">
        <f t="shared" si="107"/>
        <v>-0.02</v>
      </c>
      <c r="CG64" s="31" t="s">
        <v>551</v>
      </c>
      <c r="CH64" s="31" t="s">
        <v>552</v>
      </c>
      <c r="CI64" s="31" t="s">
        <v>49</v>
      </c>
      <c r="CJ64" s="31" t="s">
        <v>553</v>
      </c>
      <c r="CK64" s="31" t="s">
        <v>552</v>
      </c>
      <c r="CL64" s="31" t="s">
        <v>554</v>
      </c>
      <c r="CM64" s="29">
        <v>46133</v>
      </c>
      <c r="CN64" s="28" t="s">
        <v>553</v>
      </c>
      <c r="CO64" s="28"/>
      <c r="CP64" s="28"/>
    </row>
    <row r="65" spans="1:94" ht="40.049999999999997" customHeight="1" x14ac:dyDescent="0.25">
      <c r="A65" s="62">
        <v>114</v>
      </c>
      <c r="B65" s="63">
        <v>102</v>
      </c>
      <c r="C65" s="1" t="s">
        <v>258</v>
      </c>
      <c r="D65" s="2" t="s">
        <v>258</v>
      </c>
      <c r="E65" s="2" t="s">
        <v>546</v>
      </c>
      <c r="F65" s="2" t="s">
        <v>559</v>
      </c>
      <c r="G65" s="2" t="s">
        <v>560</v>
      </c>
      <c r="H65" s="64">
        <v>16.2</v>
      </c>
      <c r="I65" s="1" t="s">
        <v>46</v>
      </c>
      <c r="J65" s="3">
        <v>976.19</v>
      </c>
      <c r="K65" s="1">
        <v>222</v>
      </c>
      <c r="L65" s="4">
        <v>117026</v>
      </c>
      <c r="M65" s="4">
        <v>11702</v>
      </c>
      <c r="N65" s="4">
        <v>128728</v>
      </c>
      <c r="O65" s="31" t="s">
        <v>561</v>
      </c>
      <c r="P65" s="31" t="s">
        <v>562</v>
      </c>
      <c r="Q65" s="35">
        <f t="shared" si="54"/>
        <v>222</v>
      </c>
      <c r="R65" s="14">
        <v>46188</v>
      </c>
      <c r="S65" s="14">
        <f t="shared" si="55"/>
        <v>46409</v>
      </c>
      <c r="T65" s="34">
        <v>111174.7</v>
      </c>
      <c r="U65" s="34">
        <f t="shared" si="56"/>
        <v>11117.47</v>
      </c>
      <c r="V65" s="34">
        <f t="shared" si="57"/>
        <v>122292.17</v>
      </c>
      <c r="W65" s="35">
        <v>193</v>
      </c>
      <c r="X65" s="14">
        <f t="shared" si="58"/>
        <v>46188</v>
      </c>
      <c r="Y65" s="14">
        <f t="shared" si="59"/>
        <v>46380</v>
      </c>
      <c r="Z65" s="34">
        <v>96651.5</v>
      </c>
      <c r="AA65" s="34">
        <f t="shared" si="60"/>
        <v>9665.15</v>
      </c>
      <c r="AB65" s="34">
        <f t="shared" si="61"/>
        <v>106316.65</v>
      </c>
      <c r="AC65" s="15"/>
      <c r="AD65" s="35">
        <f t="shared" si="62"/>
        <v>0</v>
      </c>
      <c r="AE65" s="34">
        <f t="shared" si="63"/>
        <v>0</v>
      </c>
      <c r="AF65" s="34">
        <f t="shared" si="64"/>
        <v>0</v>
      </c>
      <c r="AG65" s="34">
        <f t="shared" si="65"/>
        <v>0</v>
      </c>
      <c r="AH65" s="15"/>
      <c r="AI65" s="35">
        <f t="shared" si="66"/>
        <v>0</v>
      </c>
      <c r="AJ65" s="34">
        <f t="shared" si="67"/>
        <v>0</v>
      </c>
      <c r="AK65" s="34">
        <f t="shared" si="68"/>
        <v>0</v>
      </c>
      <c r="AL65" s="34">
        <f t="shared" si="69"/>
        <v>0</v>
      </c>
      <c r="AM65" s="15"/>
      <c r="AN65" s="35">
        <f t="shared" si="70"/>
        <v>0</v>
      </c>
      <c r="AO65" s="34">
        <f t="shared" si="71"/>
        <v>0</v>
      </c>
      <c r="AP65" s="34">
        <f t="shared" si="72"/>
        <v>0</v>
      </c>
      <c r="AQ65" s="34">
        <f t="shared" si="73"/>
        <v>0</v>
      </c>
      <c r="AR65" s="15"/>
      <c r="AS65" s="35">
        <f t="shared" si="74"/>
        <v>16</v>
      </c>
      <c r="AT65" s="34">
        <f t="shared" si="75"/>
        <v>8012.56</v>
      </c>
      <c r="AU65" s="34">
        <f t="shared" si="76"/>
        <v>801.26</v>
      </c>
      <c r="AV65" s="34">
        <f t="shared" si="77"/>
        <v>8813.82</v>
      </c>
      <c r="AW65" s="15"/>
      <c r="AX65" s="35">
        <f t="shared" si="78"/>
        <v>31</v>
      </c>
      <c r="AY65" s="34">
        <f t="shared" si="79"/>
        <v>15524.33</v>
      </c>
      <c r="AZ65" s="34">
        <f t="shared" si="80"/>
        <v>1552.43</v>
      </c>
      <c r="BA65" s="34">
        <f t="shared" si="81"/>
        <v>17076.759999999998</v>
      </c>
      <c r="BB65" s="15"/>
      <c r="BC65" s="35">
        <f t="shared" si="82"/>
        <v>31</v>
      </c>
      <c r="BD65" s="34">
        <f t="shared" si="83"/>
        <v>15524.33</v>
      </c>
      <c r="BE65" s="34">
        <f t="shared" si="84"/>
        <v>1552.43</v>
      </c>
      <c r="BF65" s="34">
        <f t="shared" si="85"/>
        <v>17076.759999999998</v>
      </c>
      <c r="BG65" s="15"/>
      <c r="BH65" s="35">
        <f t="shared" si="86"/>
        <v>30</v>
      </c>
      <c r="BI65" s="34">
        <f t="shared" si="87"/>
        <v>15023.55</v>
      </c>
      <c r="BJ65" s="34">
        <f t="shared" si="88"/>
        <v>1502.36</v>
      </c>
      <c r="BK65" s="34">
        <f t="shared" si="89"/>
        <v>16525.91</v>
      </c>
      <c r="BL65" s="15"/>
      <c r="BM65" s="35">
        <f t="shared" si="90"/>
        <v>31</v>
      </c>
      <c r="BN65" s="34">
        <f t="shared" si="91"/>
        <v>15524.33</v>
      </c>
      <c r="BO65" s="34">
        <f t="shared" si="92"/>
        <v>1552.43</v>
      </c>
      <c r="BP65" s="34">
        <f t="shared" si="93"/>
        <v>17076.759999999998</v>
      </c>
      <c r="BQ65" s="15"/>
      <c r="BR65" s="35">
        <f t="shared" si="94"/>
        <v>30</v>
      </c>
      <c r="BS65" s="34">
        <f t="shared" si="95"/>
        <v>15023.55</v>
      </c>
      <c r="BT65" s="34">
        <f t="shared" si="96"/>
        <v>1502.36</v>
      </c>
      <c r="BU65" s="34">
        <f t="shared" si="97"/>
        <v>16525.91</v>
      </c>
      <c r="BV65" s="15"/>
      <c r="BW65" s="35">
        <f t="shared" si="98"/>
        <v>24</v>
      </c>
      <c r="BX65" s="34">
        <f t="shared" si="99"/>
        <v>12018.84</v>
      </c>
      <c r="BY65" s="34">
        <f t="shared" si="100"/>
        <v>1201.8800000000001</v>
      </c>
      <c r="BZ65" s="34">
        <f t="shared" si="101"/>
        <v>13220.720000000001</v>
      </c>
      <c r="CA65" s="35">
        <f t="shared" si="102"/>
        <v>193</v>
      </c>
      <c r="CB65" s="34">
        <f t="shared" si="103"/>
        <v>96651.49</v>
      </c>
      <c r="CC65" s="34">
        <f t="shared" si="104"/>
        <v>9665.1500000000015</v>
      </c>
      <c r="CD65" s="34">
        <f t="shared" si="105"/>
        <v>106316.64000000001</v>
      </c>
      <c r="CE65" s="16">
        <f t="shared" si="106"/>
        <v>0.01</v>
      </c>
      <c r="CF65" s="16">
        <f t="shared" si="107"/>
        <v>0</v>
      </c>
      <c r="CG65" s="31" t="s">
        <v>551</v>
      </c>
      <c r="CH65" s="31" t="s">
        <v>552</v>
      </c>
      <c r="CI65" s="31" t="s">
        <v>49</v>
      </c>
      <c r="CJ65" s="31" t="s">
        <v>553</v>
      </c>
      <c r="CK65" s="31" t="s">
        <v>552</v>
      </c>
      <c r="CL65" s="31" t="s">
        <v>554</v>
      </c>
      <c r="CM65" s="29">
        <v>46133</v>
      </c>
      <c r="CN65" s="28" t="s">
        <v>553</v>
      </c>
      <c r="CO65" s="28"/>
      <c r="CP65" s="28"/>
    </row>
    <row r="66" spans="1:94" ht="40.049999999999997" customHeight="1" x14ac:dyDescent="0.25">
      <c r="A66" s="62">
        <v>115</v>
      </c>
      <c r="B66" s="63">
        <v>102</v>
      </c>
      <c r="C66" s="1" t="s">
        <v>258</v>
      </c>
      <c r="D66" s="2" t="s">
        <v>258</v>
      </c>
      <c r="E66" s="2" t="s">
        <v>546</v>
      </c>
      <c r="F66" s="2" t="s">
        <v>563</v>
      </c>
      <c r="G66" s="2" t="s">
        <v>564</v>
      </c>
      <c r="H66" s="64">
        <v>19.84</v>
      </c>
      <c r="I66" s="1" t="s">
        <v>46</v>
      </c>
      <c r="J66" s="3">
        <v>958.24</v>
      </c>
      <c r="K66" s="1">
        <v>222</v>
      </c>
      <c r="L66" s="4">
        <v>140685</v>
      </c>
      <c r="M66" s="4">
        <v>14068</v>
      </c>
      <c r="N66" s="4">
        <v>154753</v>
      </c>
      <c r="O66" s="31" t="s">
        <v>565</v>
      </c>
      <c r="P66" s="31" t="s">
        <v>566</v>
      </c>
      <c r="Q66" s="35">
        <f t="shared" ref="Q66:Q97" si="108">+$K66</f>
        <v>222</v>
      </c>
      <c r="R66" s="14">
        <v>46160</v>
      </c>
      <c r="S66" s="14">
        <f t="shared" ref="S66:S97" si="109">IF(Q66+R66=0,"",Q66+R66-1)</f>
        <v>46381</v>
      </c>
      <c r="T66" s="34">
        <v>133650.75</v>
      </c>
      <c r="U66" s="34">
        <f t="shared" ref="U66:U97" si="110">+ROUND(T66*0.1,2)</f>
        <v>13365.08</v>
      </c>
      <c r="V66" s="34">
        <f t="shared" ref="V66:V97" si="111">+SUM(T66:U66)</f>
        <v>147015.82999999999</v>
      </c>
      <c r="W66" s="35"/>
      <c r="X66" s="14">
        <f t="shared" ref="X66:X97" si="112">+$R66</f>
        <v>46160</v>
      </c>
      <c r="Y66" s="14" t="str">
        <f t="shared" ref="Y66:Y97" si="113">IF(W66&gt;0,X66+W66-1,"")</f>
        <v/>
      </c>
      <c r="Z66" s="34"/>
      <c r="AA66" s="34">
        <f t="shared" ref="AA66:AA97" si="114">+ROUND(Z66*0.1,2)</f>
        <v>0</v>
      </c>
      <c r="AB66" s="34">
        <f t="shared" ref="AB66:AB97" si="115">+SUM(Z66:AA66)</f>
        <v>0</v>
      </c>
      <c r="AC66" s="15"/>
      <c r="AD66" s="35">
        <f t="shared" ref="AD66:AD97" si="116">MAX(0,MIN(IF($Y66&lt;&gt;"",$Y66,$S66),AD$1)-MAX($R66,EOMONTH(AD$1,-1)+1)+1)</f>
        <v>0</v>
      </c>
      <c r="AE66" s="34">
        <f t="shared" ref="AE66:AE97" si="117">ROUND(IF($Z66="",$T66,$Z66)*(AD66/IF($W66="",$Q66,$W66)),2)</f>
        <v>0</v>
      </c>
      <c r="AF66" s="34">
        <f t="shared" ref="AF66:AF97" si="118">+ROUND(AE66*0.1,2)</f>
        <v>0</v>
      </c>
      <c r="AG66" s="34">
        <f t="shared" ref="AG66:AG97" si="119">+SUM(AE66:AF66)</f>
        <v>0</v>
      </c>
      <c r="AH66" s="15"/>
      <c r="AI66" s="35">
        <f t="shared" ref="AI66:AI97" si="120">MAX(0,MIN(IF($Y66&lt;&gt;"",$Y66,$S66),AI$1)-MAX($R66,EOMONTH(AI$1,-1)+1)+1)</f>
        <v>0</v>
      </c>
      <c r="AJ66" s="34">
        <f t="shared" ref="AJ66:AJ97" si="121">ROUND(IF($Z66="",$T66,$Z66)*(AI66/IF($W66="",$Q66,$W66)),2)</f>
        <v>0</v>
      </c>
      <c r="AK66" s="34">
        <f t="shared" ref="AK66:AK97" si="122">+ROUND(AJ66*0.1,2)</f>
        <v>0</v>
      </c>
      <c r="AL66" s="34">
        <f t="shared" ref="AL66:AL97" si="123">+SUM(AJ66:AK66)</f>
        <v>0</v>
      </c>
      <c r="AM66" s="15"/>
      <c r="AN66" s="35">
        <f t="shared" ref="AN66:AN97" si="124">MAX(0,MIN(IF($Y66&lt;&gt;"",$Y66,$S66),AN$1)-MAX($R66,EOMONTH(AN$1,-1)+1)+1)</f>
        <v>14</v>
      </c>
      <c r="AO66" s="34">
        <f t="shared" ref="AO66:AO97" si="125">ROUND(IF($Z66="",$T66,$Z66)*(AN66/IF($W66="",$Q66,$W66)),2)</f>
        <v>8428.43</v>
      </c>
      <c r="AP66" s="34">
        <f t="shared" ref="AP66:AP97" si="126">+ROUND(AO66*0.1,2)</f>
        <v>842.84</v>
      </c>
      <c r="AQ66" s="34">
        <f t="shared" ref="AQ66:AQ97" si="127">+SUM(AO66:AP66)</f>
        <v>9271.27</v>
      </c>
      <c r="AR66" s="15"/>
      <c r="AS66" s="35">
        <f t="shared" ref="AS66:AS97" si="128">MAX(0,MIN(IF($Y66&lt;&gt;"",$Y66,$S66),AS$1)-MAX($R66,EOMONTH(AS$1,-1)+1)+1)</f>
        <v>30</v>
      </c>
      <c r="AT66" s="34">
        <f t="shared" ref="AT66:AT97" si="129">ROUND(IF($Z66="",$T66,$Z66)*(AS66/IF($W66="",$Q66,$W66)),2)</f>
        <v>18060.91</v>
      </c>
      <c r="AU66" s="34">
        <f t="shared" ref="AU66:AU97" si="130">+ROUND(AT66*0.1,2)</f>
        <v>1806.09</v>
      </c>
      <c r="AV66" s="34">
        <f t="shared" ref="AV66:AV97" si="131">+SUM(AT66:AU66)</f>
        <v>19867</v>
      </c>
      <c r="AW66" s="15"/>
      <c r="AX66" s="35">
        <f t="shared" ref="AX66:AX97" si="132">MAX(0,MIN(IF($Y66&lt;&gt;"",$Y66,$S66),AX$1)-MAX($R66,EOMONTH(AX$1,-1)+1)+1)</f>
        <v>31</v>
      </c>
      <c r="AY66" s="34">
        <f t="shared" ref="AY66:AY97" si="133">ROUND(IF($Z66="",$T66,$Z66)*(AX66/IF($W66="",$Q66,$W66)),2)</f>
        <v>18662.939999999999</v>
      </c>
      <c r="AZ66" s="34">
        <f t="shared" ref="AZ66:AZ97" si="134">+ROUND(AY66*0.1,2)</f>
        <v>1866.29</v>
      </c>
      <c r="BA66" s="34">
        <f t="shared" ref="BA66:BA97" si="135">+SUM(AY66:AZ66)</f>
        <v>20529.23</v>
      </c>
      <c r="BB66" s="15"/>
      <c r="BC66" s="35">
        <f t="shared" ref="BC66:BC97" si="136">MAX(0,MIN(IF($Y66&lt;&gt;"",$Y66,$S66),BC$1)-MAX($R66,EOMONTH(BC$1,-1)+1)+1)</f>
        <v>31</v>
      </c>
      <c r="BD66" s="34">
        <f t="shared" ref="BD66:BD97" si="137">ROUND(IF($Z66="",$T66,$Z66)*(BC66/IF($W66="",$Q66,$W66)),2)</f>
        <v>18662.939999999999</v>
      </c>
      <c r="BE66" s="34">
        <f t="shared" ref="BE66:BE97" si="138">+ROUND(BD66*0.1,2)</f>
        <v>1866.29</v>
      </c>
      <c r="BF66" s="34">
        <f t="shared" ref="BF66:BF97" si="139">+SUM(BD66:BE66)</f>
        <v>20529.23</v>
      </c>
      <c r="BG66" s="15"/>
      <c r="BH66" s="35">
        <f t="shared" ref="BH66:BH97" si="140">MAX(0,MIN(IF($Y66&lt;&gt;"",$Y66,$S66),BH$1)-MAX($R66,EOMONTH(BH$1,-1)+1)+1)</f>
        <v>30</v>
      </c>
      <c r="BI66" s="34">
        <f t="shared" ref="BI66:BI97" si="141">ROUND(IF($Z66="",$T66,$Z66)*(BH66/IF($W66="",$Q66,$W66)),2)</f>
        <v>18060.91</v>
      </c>
      <c r="BJ66" s="34">
        <f t="shared" ref="BJ66:BJ97" si="142">+ROUND(BI66*0.1,2)</f>
        <v>1806.09</v>
      </c>
      <c r="BK66" s="34">
        <f t="shared" ref="BK66:BK97" si="143">+SUM(BI66:BJ66)</f>
        <v>19867</v>
      </c>
      <c r="BL66" s="15"/>
      <c r="BM66" s="35">
        <f t="shared" ref="BM66:BM97" si="144">MAX(0,MIN(IF($Y66&lt;&gt;"",$Y66,$S66),BM$1)-MAX($R66,EOMONTH(BM$1,-1)+1)+1)</f>
        <v>31</v>
      </c>
      <c r="BN66" s="34">
        <f t="shared" ref="BN66:BN97" si="145">ROUND(IF($Z66="",$T66,$Z66)*(BM66/IF($W66="",$Q66,$W66)),2)</f>
        <v>18662.939999999999</v>
      </c>
      <c r="BO66" s="34">
        <f t="shared" ref="BO66:BO97" si="146">+ROUND(BN66*0.1,2)</f>
        <v>1866.29</v>
      </c>
      <c r="BP66" s="34">
        <f t="shared" ref="BP66:BP97" si="147">+SUM(BN66:BO66)</f>
        <v>20529.23</v>
      </c>
      <c r="BQ66" s="15"/>
      <c r="BR66" s="35">
        <f t="shared" ref="BR66:BR97" si="148">MAX(0,MIN(IF($Y66&lt;&gt;"",$Y66,$S66),BR$1)-MAX($R66,EOMONTH(BR$1,-1)+1)+1)</f>
        <v>30</v>
      </c>
      <c r="BS66" s="34">
        <f t="shared" ref="BS66:BS97" si="149">ROUND(IF($Z66="",$T66,$Z66)*(BR66/IF($W66="",$Q66,$W66)),2)</f>
        <v>18060.91</v>
      </c>
      <c r="BT66" s="34">
        <f t="shared" ref="BT66:BT97" si="150">+ROUND(BS66*0.1,2)</f>
        <v>1806.09</v>
      </c>
      <c r="BU66" s="34">
        <f t="shared" ref="BU66:BU97" si="151">+SUM(BS66:BT66)</f>
        <v>19867</v>
      </c>
      <c r="BV66" s="15"/>
      <c r="BW66" s="35">
        <f t="shared" ref="BW66:BW97" si="152">MAX(0,MIN(IF($Y66&lt;&gt;"",$Y66,$S66),BW$1)-MAX($R66,EOMONTH(BW$1,-1)+1)+1)</f>
        <v>25</v>
      </c>
      <c r="BX66" s="34">
        <f t="shared" ref="BX66:BX97" si="153">ROUND(IF($Z66="",$T66,$Z66)*(BW66/IF($W66="",$Q66,$W66)),2)</f>
        <v>15050.76</v>
      </c>
      <c r="BY66" s="34">
        <f t="shared" ref="BY66:BY97" si="154">+ROUND(BX66*0.1,2)</f>
        <v>1505.08</v>
      </c>
      <c r="BZ66" s="34">
        <f t="shared" ref="BZ66:BZ97" si="155">+SUM(BX66:BY66)</f>
        <v>16555.84</v>
      </c>
      <c r="CA66" s="35">
        <f t="shared" ref="CA66:CA97" si="156">+AD66+AI66+AN66+AS66+AX66+BC66+BH66+BM66+BR66+BW66</f>
        <v>222</v>
      </c>
      <c r="CB66" s="34">
        <f t="shared" ref="CB66:CB97" si="157">+AE66+AJ66+AO66+AT66+AY66+BD66+BI66+BN66+BS66+BX66</f>
        <v>133650.74000000002</v>
      </c>
      <c r="CC66" s="34">
        <f t="shared" ref="CC66:CC97" si="158">+AF66+AK66+AP66+AU66+AZ66+BE66+BJ66+BO66+BT66+BY66</f>
        <v>13365.06</v>
      </c>
      <c r="CD66" s="34">
        <f t="shared" ref="CD66:CD97" si="159">+SUM(CB66:CC66)</f>
        <v>147015.80000000002</v>
      </c>
      <c r="CE66" s="16">
        <f t="shared" ref="CE66:CE97" si="160">ROUND(IF($Y66&lt;&gt;"",$Z66,$T66)-CB66,2)</f>
        <v>0.01</v>
      </c>
      <c r="CF66" s="16">
        <f t="shared" ref="CF66:CF97" si="161">ROUND(IF($Y66&lt;&gt;"",$AA66,$U66)-CC66,2)</f>
        <v>0.02</v>
      </c>
      <c r="CG66" s="31" t="s">
        <v>551</v>
      </c>
      <c r="CH66" s="31" t="s">
        <v>552</v>
      </c>
      <c r="CI66" s="31" t="s">
        <v>49</v>
      </c>
      <c r="CJ66" s="31" t="s">
        <v>553</v>
      </c>
      <c r="CK66" s="31" t="s">
        <v>552</v>
      </c>
      <c r="CL66" s="31" t="s">
        <v>554</v>
      </c>
      <c r="CM66" s="29">
        <v>46133</v>
      </c>
      <c r="CN66" s="28" t="s">
        <v>553</v>
      </c>
      <c r="CO66" s="28"/>
      <c r="CP66" s="28"/>
    </row>
    <row r="67" spans="1:94" ht="40.049999999999997" customHeight="1" x14ac:dyDescent="0.25">
      <c r="A67" s="62">
        <v>116</v>
      </c>
      <c r="B67" s="63">
        <v>102</v>
      </c>
      <c r="C67" s="1" t="s">
        <v>258</v>
      </c>
      <c r="D67" s="2" t="s">
        <v>258</v>
      </c>
      <c r="E67" s="2" t="s">
        <v>546</v>
      </c>
      <c r="F67" s="2" t="s">
        <v>567</v>
      </c>
      <c r="G67" s="2" t="s">
        <v>568</v>
      </c>
      <c r="H67" s="64">
        <v>20.6</v>
      </c>
      <c r="I67" s="1" t="s">
        <v>46</v>
      </c>
      <c r="J67" s="3">
        <v>1030.19</v>
      </c>
      <c r="K67" s="1">
        <v>225</v>
      </c>
      <c r="L67" s="4">
        <v>159164</v>
      </c>
      <c r="M67" s="4">
        <v>15916</v>
      </c>
      <c r="N67" s="4">
        <v>175080</v>
      </c>
      <c r="O67" s="31" t="s">
        <v>569</v>
      </c>
      <c r="P67" s="31" t="s">
        <v>432</v>
      </c>
      <c r="Q67" s="35">
        <f t="shared" si="108"/>
        <v>225</v>
      </c>
      <c r="R67" s="14">
        <v>46140</v>
      </c>
      <c r="S67" s="14">
        <f t="shared" si="109"/>
        <v>46364</v>
      </c>
      <c r="T67" s="34">
        <v>151205.79999999999</v>
      </c>
      <c r="U67" s="34">
        <f t="shared" si="110"/>
        <v>15120.58</v>
      </c>
      <c r="V67" s="34">
        <f t="shared" si="111"/>
        <v>166326.37999999998</v>
      </c>
      <c r="W67" s="35"/>
      <c r="X67" s="14">
        <f t="shared" si="112"/>
        <v>46140</v>
      </c>
      <c r="Y67" s="14" t="str">
        <f t="shared" si="113"/>
        <v/>
      </c>
      <c r="Z67" s="34"/>
      <c r="AA67" s="34">
        <f t="shared" si="114"/>
        <v>0</v>
      </c>
      <c r="AB67" s="34">
        <f t="shared" si="115"/>
        <v>0</v>
      </c>
      <c r="AC67" s="15"/>
      <c r="AD67" s="35">
        <f t="shared" si="116"/>
        <v>0</v>
      </c>
      <c r="AE67" s="34">
        <f t="shared" si="117"/>
        <v>0</v>
      </c>
      <c r="AF67" s="34">
        <f t="shared" si="118"/>
        <v>0</v>
      </c>
      <c r="AG67" s="34">
        <f t="shared" si="119"/>
        <v>0</v>
      </c>
      <c r="AH67" s="15"/>
      <c r="AI67" s="35">
        <f t="shared" si="120"/>
        <v>3</v>
      </c>
      <c r="AJ67" s="34">
        <f t="shared" si="121"/>
        <v>2016.08</v>
      </c>
      <c r="AK67" s="34">
        <f t="shared" si="122"/>
        <v>201.61</v>
      </c>
      <c r="AL67" s="34">
        <f t="shared" si="123"/>
        <v>2217.69</v>
      </c>
      <c r="AM67" s="15"/>
      <c r="AN67" s="35">
        <f t="shared" si="124"/>
        <v>31</v>
      </c>
      <c r="AO67" s="34">
        <f t="shared" si="125"/>
        <v>20832.8</v>
      </c>
      <c r="AP67" s="34">
        <f t="shared" si="126"/>
        <v>2083.2800000000002</v>
      </c>
      <c r="AQ67" s="34">
        <f t="shared" si="127"/>
        <v>22916.079999999998</v>
      </c>
      <c r="AR67" s="15"/>
      <c r="AS67" s="35">
        <f t="shared" si="128"/>
        <v>30</v>
      </c>
      <c r="AT67" s="34">
        <f t="shared" si="129"/>
        <v>20160.77</v>
      </c>
      <c r="AU67" s="34">
        <f t="shared" si="130"/>
        <v>2016.08</v>
      </c>
      <c r="AV67" s="34">
        <f t="shared" si="131"/>
        <v>22176.85</v>
      </c>
      <c r="AW67" s="15"/>
      <c r="AX67" s="35">
        <f t="shared" si="132"/>
        <v>31</v>
      </c>
      <c r="AY67" s="34">
        <f t="shared" si="133"/>
        <v>20832.8</v>
      </c>
      <c r="AZ67" s="34">
        <f t="shared" si="134"/>
        <v>2083.2800000000002</v>
      </c>
      <c r="BA67" s="34">
        <f t="shared" si="135"/>
        <v>22916.079999999998</v>
      </c>
      <c r="BB67" s="15"/>
      <c r="BC67" s="35">
        <f t="shared" si="136"/>
        <v>31</v>
      </c>
      <c r="BD67" s="34">
        <f t="shared" si="137"/>
        <v>20832.8</v>
      </c>
      <c r="BE67" s="34">
        <f t="shared" si="138"/>
        <v>2083.2800000000002</v>
      </c>
      <c r="BF67" s="34">
        <f t="shared" si="139"/>
        <v>22916.079999999998</v>
      </c>
      <c r="BG67" s="15"/>
      <c r="BH67" s="35">
        <f t="shared" si="140"/>
        <v>30</v>
      </c>
      <c r="BI67" s="34">
        <f t="shared" si="141"/>
        <v>20160.77</v>
      </c>
      <c r="BJ67" s="34">
        <f t="shared" si="142"/>
        <v>2016.08</v>
      </c>
      <c r="BK67" s="34">
        <f t="shared" si="143"/>
        <v>22176.85</v>
      </c>
      <c r="BL67" s="15"/>
      <c r="BM67" s="35">
        <f t="shared" si="144"/>
        <v>31</v>
      </c>
      <c r="BN67" s="34">
        <f t="shared" si="145"/>
        <v>20832.8</v>
      </c>
      <c r="BO67" s="34">
        <f t="shared" si="146"/>
        <v>2083.2800000000002</v>
      </c>
      <c r="BP67" s="34">
        <f t="shared" si="147"/>
        <v>22916.079999999998</v>
      </c>
      <c r="BQ67" s="15"/>
      <c r="BR67" s="35">
        <f t="shared" si="148"/>
        <v>30</v>
      </c>
      <c r="BS67" s="34">
        <f t="shared" si="149"/>
        <v>20160.77</v>
      </c>
      <c r="BT67" s="34">
        <f t="shared" si="150"/>
        <v>2016.08</v>
      </c>
      <c r="BU67" s="34">
        <f t="shared" si="151"/>
        <v>22176.85</v>
      </c>
      <c r="BV67" s="15"/>
      <c r="BW67" s="35">
        <f t="shared" si="152"/>
        <v>8</v>
      </c>
      <c r="BX67" s="34">
        <f t="shared" si="153"/>
        <v>5376.21</v>
      </c>
      <c r="BY67" s="34">
        <f t="shared" si="154"/>
        <v>537.62</v>
      </c>
      <c r="BZ67" s="34">
        <f t="shared" si="155"/>
        <v>5913.83</v>
      </c>
      <c r="CA67" s="35">
        <f t="shared" si="156"/>
        <v>225</v>
      </c>
      <c r="CB67" s="34">
        <f t="shared" si="157"/>
        <v>151205.79999999999</v>
      </c>
      <c r="CC67" s="34">
        <f t="shared" si="158"/>
        <v>15120.590000000002</v>
      </c>
      <c r="CD67" s="34">
        <f t="shared" si="159"/>
        <v>166326.38999999998</v>
      </c>
      <c r="CE67" s="16">
        <f t="shared" si="160"/>
        <v>0</v>
      </c>
      <c r="CF67" s="16">
        <f t="shared" si="161"/>
        <v>-0.01</v>
      </c>
      <c r="CG67" s="31" t="s">
        <v>551</v>
      </c>
      <c r="CH67" s="31" t="s">
        <v>552</v>
      </c>
      <c r="CI67" s="31" t="s">
        <v>49</v>
      </c>
      <c r="CJ67" s="31" t="s">
        <v>553</v>
      </c>
      <c r="CK67" s="31" t="s">
        <v>552</v>
      </c>
      <c r="CL67" s="31" t="s">
        <v>554</v>
      </c>
      <c r="CM67" s="29">
        <v>46133</v>
      </c>
      <c r="CN67" s="28" t="s">
        <v>553</v>
      </c>
      <c r="CO67" s="28"/>
      <c r="CP67" s="28"/>
    </row>
    <row r="68" spans="1:94" ht="40.049999999999997" customHeight="1" x14ac:dyDescent="0.25">
      <c r="A68" s="62">
        <v>117</v>
      </c>
      <c r="B68" s="63">
        <v>102</v>
      </c>
      <c r="C68" s="1" t="s">
        <v>258</v>
      </c>
      <c r="D68" s="2" t="s">
        <v>258</v>
      </c>
      <c r="E68" s="2" t="s">
        <v>546</v>
      </c>
      <c r="F68" s="2" t="s">
        <v>570</v>
      </c>
      <c r="G68" s="2" t="s">
        <v>571</v>
      </c>
      <c r="H68" s="64">
        <v>17.8</v>
      </c>
      <c r="I68" s="1" t="s">
        <v>46</v>
      </c>
      <c r="J68" s="3">
        <v>964.49</v>
      </c>
      <c r="K68" s="1">
        <v>225</v>
      </c>
      <c r="L68" s="4">
        <v>128759</v>
      </c>
      <c r="M68" s="4">
        <v>12875</v>
      </c>
      <c r="N68" s="4">
        <v>141634</v>
      </c>
      <c r="O68" s="31" t="s">
        <v>572</v>
      </c>
      <c r="P68" s="31" t="s">
        <v>573</v>
      </c>
      <c r="Q68" s="35">
        <f t="shared" si="108"/>
        <v>225</v>
      </c>
      <c r="R68" s="14">
        <v>46135</v>
      </c>
      <c r="S68" s="14">
        <f t="shared" si="109"/>
        <v>46359</v>
      </c>
      <c r="T68" s="34">
        <v>122321.05</v>
      </c>
      <c r="U68" s="34">
        <f t="shared" si="110"/>
        <v>12232.11</v>
      </c>
      <c r="V68" s="34">
        <f t="shared" si="111"/>
        <v>134553.16</v>
      </c>
      <c r="W68" s="35"/>
      <c r="X68" s="14">
        <f t="shared" si="112"/>
        <v>46135</v>
      </c>
      <c r="Y68" s="14" t="str">
        <f t="shared" si="113"/>
        <v/>
      </c>
      <c r="Z68" s="34"/>
      <c r="AA68" s="34">
        <f t="shared" si="114"/>
        <v>0</v>
      </c>
      <c r="AB68" s="34">
        <f t="shared" si="115"/>
        <v>0</v>
      </c>
      <c r="AC68" s="15"/>
      <c r="AD68" s="35">
        <f t="shared" si="116"/>
        <v>0</v>
      </c>
      <c r="AE68" s="34">
        <f t="shared" si="117"/>
        <v>0</v>
      </c>
      <c r="AF68" s="34">
        <f t="shared" si="118"/>
        <v>0</v>
      </c>
      <c r="AG68" s="34">
        <f t="shared" si="119"/>
        <v>0</v>
      </c>
      <c r="AH68" s="15"/>
      <c r="AI68" s="35">
        <f t="shared" si="120"/>
        <v>8</v>
      </c>
      <c r="AJ68" s="34">
        <f t="shared" si="121"/>
        <v>4349.1899999999996</v>
      </c>
      <c r="AK68" s="34">
        <f t="shared" si="122"/>
        <v>434.92</v>
      </c>
      <c r="AL68" s="34">
        <f t="shared" si="123"/>
        <v>4784.1099999999997</v>
      </c>
      <c r="AM68" s="15"/>
      <c r="AN68" s="35">
        <f t="shared" si="124"/>
        <v>31</v>
      </c>
      <c r="AO68" s="34">
        <f t="shared" si="125"/>
        <v>16853.12</v>
      </c>
      <c r="AP68" s="34">
        <f t="shared" si="126"/>
        <v>1685.31</v>
      </c>
      <c r="AQ68" s="34">
        <f t="shared" si="127"/>
        <v>18538.43</v>
      </c>
      <c r="AR68" s="15"/>
      <c r="AS68" s="35">
        <f t="shared" si="128"/>
        <v>30</v>
      </c>
      <c r="AT68" s="34">
        <f t="shared" si="129"/>
        <v>16309.47</v>
      </c>
      <c r="AU68" s="34">
        <f t="shared" si="130"/>
        <v>1630.95</v>
      </c>
      <c r="AV68" s="34">
        <f t="shared" si="131"/>
        <v>17940.419999999998</v>
      </c>
      <c r="AW68" s="15"/>
      <c r="AX68" s="35">
        <f t="shared" si="132"/>
        <v>31</v>
      </c>
      <c r="AY68" s="34">
        <f t="shared" si="133"/>
        <v>16853.12</v>
      </c>
      <c r="AZ68" s="34">
        <f t="shared" si="134"/>
        <v>1685.31</v>
      </c>
      <c r="BA68" s="34">
        <f t="shared" si="135"/>
        <v>18538.43</v>
      </c>
      <c r="BB68" s="15"/>
      <c r="BC68" s="35">
        <f t="shared" si="136"/>
        <v>31</v>
      </c>
      <c r="BD68" s="34">
        <f t="shared" si="137"/>
        <v>16853.12</v>
      </c>
      <c r="BE68" s="34">
        <f t="shared" si="138"/>
        <v>1685.31</v>
      </c>
      <c r="BF68" s="34">
        <f t="shared" si="139"/>
        <v>18538.43</v>
      </c>
      <c r="BG68" s="15"/>
      <c r="BH68" s="35">
        <f t="shared" si="140"/>
        <v>30</v>
      </c>
      <c r="BI68" s="34">
        <f t="shared" si="141"/>
        <v>16309.47</v>
      </c>
      <c r="BJ68" s="34">
        <f t="shared" si="142"/>
        <v>1630.95</v>
      </c>
      <c r="BK68" s="34">
        <f t="shared" si="143"/>
        <v>17940.419999999998</v>
      </c>
      <c r="BL68" s="15"/>
      <c r="BM68" s="35">
        <f t="shared" si="144"/>
        <v>31</v>
      </c>
      <c r="BN68" s="34">
        <f t="shared" si="145"/>
        <v>16853.12</v>
      </c>
      <c r="BO68" s="34">
        <f t="shared" si="146"/>
        <v>1685.31</v>
      </c>
      <c r="BP68" s="34">
        <f t="shared" si="147"/>
        <v>18538.43</v>
      </c>
      <c r="BQ68" s="15"/>
      <c r="BR68" s="35">
        <f t="shared" si="148"/>
        <v>30</v>
      </c>
      <c r="BS68" s="34">
        <f t="shared" si="149"/>
        <v>16309.47</v>
      </c>
      <c r="BT68" s="34">
        <f t="shared" si="150"/>
        <v>1630.95</v>
      </c>
      <c r="BU68" s="34">
        <f t="shared" si="151"/>
        <v>17940.419999999998</v>
      </c>
      <c r="BV68" s="15"/>
      <c r="BW68" s="35">
        <f t="shared" si="152"/>
        <v>3</v>
      </c>
      <c r="BX68" s="34">
        <f t="shared" si="153"/>
        <v>1630.95</v>
      </c>
      <c r="BY68" s="34">
        <f t="shared" si="154"/>
        <v>163.1</v>
      </c>
      <c r="BZ68" s="34">
        <f t="shared" si="155"/>
        <v>1794.05</v>
      </c>
      <c r="CA68" s="35">
        <f t="shared" si="156"/>
        <v>225</v>
      </c>
      <c r="CB68" s="34">
        <f t="shared" si="157"/>
        <v>122321.02999999998</v>
      </c>
      <c r="CC68" s="34">
        <f t="shared" si="158"/>
        <v>12232.11</v>
      </c>
      <c r="CD68" s="34">
        <f t="shared" si="159"/>
        <v>134553.13999999998</v>
      </c>
      <c r="CE68" s="16">
        <f t="shared" si="160"/>
        <v>0.02</v>
      </c>
      <c r="CF68" s="16">
        <f t="shared" si="161"/>
        <v>0</v>
      </c>
      <c r="CG68" s="31" t="s">
        <v>551</v>
      </c>
      <c r="CH68" s="31" t="s">
        <v>552</v>
      </c>
      <c r="CI68" s="31" t="s">
        <v>49</v>
      </c>
      <c r="CJ68" s="31" t="s">
        <v>553</v>
      </c>
      <c r="CK68" s="31" t="s">
        <v>552</v>
      </c>
      <c r="CL68" s="31" t="s">
        <v>554</v>
      </c>
      <c r="CM68" s="29">
        <v>46133</v>
      </c>
      <c r="CN68" s="28" t="s">
        <v>553</v>
      </c>
      <c r="CO68" s="28"/>
      <c r="CP68" s="28"/>
    </row>
    <row r="69" spans="1:94" ht="40.049999999999997" customHeight="1" x14ac:dyDescent="0.25">
      <c r="A69" s="62">
        <v>118</v>
      </c>
      <c r="B69" s="63">
        <v>102</v>
      </c>
      <c r="C69" s="1" t="s">
        <v>258</v>
      </c>
      <c r="D69" s="2" t="s">
        <v>258</v>
      </c>
      <c r="E69" s="2" t="s">
        <v>546</v>
      </c>
      <c r="F69" s="2" t="s">
        <v>574</v>
      </c>
      <c r="G69" s="2" t="s">
        <v>575</v>
      </c>
      <c r="H69" s="64">
        <v>15.32</v>
      </c>
      <c r="I69" s="1" t="s">
        <v>46</v>
      </c>
      <c r="J69" s="3">
        <v>912.11</v>
      </c>
      <c r="K69" s="1">
        <v>222</v>
      </c>
      <c r="L69" s="4">
        <v>103404</v>
      </c>
      <c r="M69" s="4">
        <v>10340</v>
      </c>
      <c r="N69" s="4">
        <v>113744</v>
      </c>
      <c r="O69" s="31" t="s">
        <v>576</v>
      </c>
      <c r="P69" s="31" t="s">
        <v>577</v>
      </c>
      <c r="Q69" s="35">
        <f t="shared" si="108"/>
        <v>222</v>
      </c>
      <c r="R69" s="14">
        <v>46146</v>
      </c>
      <c r="S69" s="14">
        <f t="shared" si="109"/>
        <v>46367</v>
      </c>
      <c r="T69" s="34">
        <v>98233.8</v>
      </c>
      <c r="U69" s="34">
        <f t="shared" si="110"/>
        <v>9823.3799999999992</v>
      </c>
      <c r="V69" s="34">
        <f t="shared" si="111"/>
        <v>108057.18000000001</v>
      </c>
      <c r="W69" s="35"/>
      <c r="X69" s="14">
        <f t="shared" si="112"/>
        <v>46146</v>
      </c>
      <c r="Y69" s="14" t="str">
        <f t="shared" si="113"/>
        <v/>
      </c>
      <c r="Z69" s="34"/>
      <c r="AA69" s="34">
        <f t="shared" si="114"/>
        <v>0</v>
      </c>
      <c r="AB69" s="34">
        <f t="shared" si="115"/>
        <v>0</v>
      </c>
      <c r="AC69" s="15"/>
      <c r="AD69" s="35">
        <f t="shared" si="116"/>
        <v>0</v>
      </c>
      <c r="AE69" s="34">
        <f t="shared" si="117"/>
        <v>0</v>
      </c>
      <c r="AF69" s="34">
        <f t="shared" si="118"/>
        <v>0</v>
      </c>
      <c r="AG69" s="34">
        <f t="shared" si="119"/>
        <v>0</v>
      </c>
      <c r="AH69" s="15"/>
      <c r="AI69" s="35">
        <f t="shared" si="120"/>
        <v>0</v>
      </c>
      <c r="AJ69" s="34">
        <f t="shared" si="121"/>
        <v>0</v>
      </c>
      <c r="AK69" s="34">
        <f t="shared" si="122"/>
        <v>0</v>
      </c>
      <c r="AL69" s="34">
        <f t="shared" si="123"/>
        <v>0</v>
      </c>
      <c r="AM69" s="15"/>
      <c r="AN69" s="35">
        <f t="shared" si="124"/>
        <v>28</v>
      </c>
      <c r="AO69" s="34">
        <f t="shared" si="125"/>
        <v>12389.85</v>
      </c>
      <c r="AP69" s="34">
        <f t="shared" si="126"/>
        <v>1238.99</v>
      </c>
      <c r="AQ69" s="34">
        <f t="shared" si="127"/>
        <v>13628.84</v>
      </c>
      <c r="AR69" s="15"/>
      <c r="AS69" s="35">
        <f t="shared" si="128"/>
        <v>30</v>
      </c>
      <c r="AT69" s="34">
        <f t="shared" si="129"/>
        <v>13274.84</v>
      </c>
      <c r="AU69" s="34">
        <f t="shared" si="130"/>
        <v>1327.48</v>
      </c>
      <c r="AV69" s="34">
        <f t="shared" si="131"/>
        <v>14602.32</v>
      </c>
      <c r="AW69" s="15"/>
      <c r="AX69" s="35">
        <f t="shared" si="132"/>
        <v>31</v>
      </c>
      <c r="AY69" s="34">
        <f t="shared" si="133"/>
        <v>13717.33</v>
      </c>
      <c r="AZ69" s="34">
        <f t="shared" si="134"/>
        <v>1371.73</v>
      </c>
      <c r="BA69" s="34">
        <f t="shared" si="135"/>
        <v>15089.06</v>
      </c>
      <c r="BB69" s="15"/>
      <c r="BC69" s="35">
        <f t="shared" si="136"/>
        <v>31</v>
      </c>
      <c r="BD69" s="34">
        <f t="shared" si="137"/>
        <v>13717.33</v>
      </c>
      <c r="BE69" s="34">
        <f t="shared" si="138"/>
        <v>1371.73</v>
      </c>
      <c r="BF69" s="34">
        <f t="shared" si="139"/>
        <v>15089.06</v>
      </c>
      <c r="BG69" s="15"/>
      <c r="BH69" s="35">
        <f t="shared" si="140"/>
        <v>30</v>
      </c>
      <c r="BI69" s="34">
        <f t="shared" si="141"/>
        <v>13274.84</v>
      </c>
      <c r="BJ69" s="34">
        <f t="shared" si="142"/>
        <v>1327.48</v>
      </c>
      <c r="BK69" s="34">
        <f t="shared" si="143"/>
        <v>14602.32</v>
      </c>
      <c r="BL69" s="15"/>
      <c r="BM69" s="35">
        <f t="shared" si="144"/>
        <v>31</v>
      </c>
      <c r="BN69" s="34">
        <f t="shared" si="145"/>
        <v>13717.33</v>
      </c>
      <c r="BO69" s="34">
        <f t="shared" si="146"/>
        <v>1371.73</v>
      </c>
      <c r="BP69" s="34">
        <f t="shared" si="147"/>
        <v>15089.06</v>
      </c>
      <c r="BQ69" s="15"/>
      <c r="BR69" s="35">
        <f t="shared" si="148"/>
        <v>30</v>
      </c>
      <c r="BS69" s="34">
        <f t="shared" si="149"/>
        <v>13274.84</v>
      </c>
      <c r="BT69" s="34">
        <f t="shared" si="150"/>
        <v>1327.48</v>
      </c>
      <c r="BU69" s="34">
        <f t="shared" si="151"/>
        <v>14602.32</v>
      </c>
      <c r="BV69" s="15"/>
      <c r="BW69" s="35">
        <f t="shared" si="152"/>
        <v>11</v>
      </c>
      <c r="BX69" s="34">
        <f t="shared" si="153"/>
        <v>4867.4399999999996</v>
      </c>
      <c r="BY69" s="34">
        <f t="shared" si="154"/>
        <v>486.74</v>
      </c>
      <c r="BZ69" s="34">
        <f t="shared" si="155"/>
        <v>5354.1799999999994</v>
      </c>
      <c r="CA69" s="35">
        <f t="shared" si="156"/>
        <v>222</v>
      </c>
      <c r="CB69" s="34">
        <f t="shared" si="157"/>
        <v>98233.8</v>
      </c>
      <c r="CC69" s="34">
        <f t="shared" si="158"/>
        <v>9823.3599999999988</v>
      </c>
      <c r="CD69" s="34">
        <f t="shared" si="159"/>
        <v>108057.16</v>
      </c>
      <c r="CE69" s="16">
        <f t="shared" si="160"/>
        <v>0</v>
      </c>
      <c r="CF69" s="16">
        <f t="shared" si="161"/>
        <v>0.02</v>
      </c>
      <c r="CG69" s="31" t="s">
        <v>551</v>
      </c>
      <c r="CH69" s="31" t="s">
        <v>552</v>
      </c>
      <c r="CI69" s="31" t="s">
        <v>49</v>
      </c>
      <c r="CJ69" s="31" t="s">
        <v>553</v>
      </c>
      <c r="CK69" s="31" t="s">
        <v>552</v>
      </c>
      <c r="CL69" s="31" t="s">
        <v>554</v>
      </c>
      <c r="CM69" s="29">
        <v>46133</v>
      </c>
      <c r="CN69" s="28" t="s">
        <v>553</v>
      </c>
      <c r="CO69" s="28"/>
      <c r="CP69" s="28"/>
    </row>
    <row r="70" spans="1:94" ht="40.049999999999997" customHeight="1" x14ac:dyDescent="0.25">
      <c r="A70" s="62">
        <v>119</v>
      </c>
      <c r="B70" s="63">
        <v>102</v>
      </c>
      <c r="C70" s="1" t="s">
        <v>258</v>
      </c>
      <c r="D70" s="2" t="s">
        <v>258</v>
      </c>
      <c r="E70" s="2" t="s">
        <v>546</v>
      </c>
      <c r="F70" s="2" t="s">
        <v>578</v>
      </c>
      <c r="G70" s="2" t="s">
        <v>579</v>
      </c>
      <c r="H70" s="64">
        <v>16.82</v>
      </c>
      <c r="I70" s="1" t="s">
        <v>46</v>
      </c>
      <c r="J70" s="3">
        <v>1050.8499999999999</v>
      </c>
      <c r="K70" s="1">
        <v>225</v>
      </c>
      <c r="L70" s="4">
        <v>132565</v>
      </c>
      <c r="M70" s="4">
        <v>13256</v>
      </c>
      <c r="N70" s="4">
        <v>145821</v>
      </c>
      <c r="O70" s="31" t="s">
        <v>580</v>
      </c>
      <c r="P70" s="31" t="s">
        <v>581</v>
      </c>
      <c r="Q70" s="35">
        <f t="shared" si="108"/>
        <v>225</v>
      </c>
      <c r="R70" s="14">
        <v>46135</v>
      </c>
      <c r="S70" s="14">
        <f t="shared" si="109"/>
        <v>46359</v>
      </c>
      <c r="T70" s="34">
        <v>125936.75</v>
      </c>
      <c r="U70" s="34">
        <f t="shared" si="110"/>
        <v>12593.68</v>
      </c>
      <c r="V70" s="34">
        <f t="shared" si="111"/>
        <v>138530.43</v>
      </c>
      <c r="W70" s="35"/>
      <c r="X70" s="14">
        <f t="shared" si="112"/>
        <v>46135</v>
      </c>
      <c r="Y70" s="14" t="str">
        <f t="shared" si="113"/>
        <v/>
      </c>
      <c r="Z70" s="34"/>
      <c r="AA70" s="34">
        <f t="shared" si="114"/>
        <v>0</v>
      </c>
      <c r="AB70" s="34">
        <f t="shared" si="115"/>
        <v>0</v>
      </c>
      <c r="AC70" s="15"/>
      <c r="AD70" s="35">
        <f t="shared" si="116"/>
        <v>0</v>
      </c>
      <c r="AE70" s="34">
        <f t="shared" si="117"/>
        <v>0</v>
      </c>
      <c r="AF70" s="34">
        <f t="shared" si="118"/>
        <v>0</v>
      </c>
      <c r="AG70" s="34">
        <f t="shared" si="119"/>
        <v>0</v>
      </c>
      <c r="AH70" s="15"/>
      <c r="AI70" s="35">
        <f t="shared" si="120"/>
        <v>8</v>
      </c>
      <c r="AJ70" s="34">
        <f t="shared" si="121"/>
        <v>4477.75</v>
      </c>
      <c r="AK70" s="34">
        <f t="shared" si="122"/>
        <v>447.78</v>
      </c>
      <c r="AL70" s="34">
        <f t="shared" si="123"/>
        <v>4925.53</v>
      </c>
      <c r="AM70" s="15"/>
      <c r="AN70" s="35">
        <f t="shared" si="124"/>
        <v>31</v>
      </c>
      <c r="AO70" s="34">
        <f t="shared" si="125"/>
        <v>17351.29</v>
      </c>
      <c r="AP70" s="34">
        <f t="shared" si="126"/>
        <v>1735.13</v>
      </c>
      <c r="AQ70" s="34">
        <f t="shared" si="127"/>
        <v>19086.420000000002</v>
      </c>
      <c r="AR70" s="15"/>
      <c r="AS70" s="35">
        <f t="shared" si="128"/>
        <v>30</v>
      </c>
      <c r="AT70" s="34">
        <f t="shared" si="129"/>
        <v>16791.57</v>
      </c>
      <c r="AU70" s="34">
        <f t="shared" si="130"/>
        <v>1679.16</v>
      </c>
      <c r="AV70" s="34">
        <f t="shared" si="131"/>
        <v>18470.73</v>
      </c>
      <c r="AW70" s="15"/>
      <c r="AX70" s="35">
        <f t="shared" si="132"/>
        <v>31</v>
      </c>
      <c r="AY70" s="34">
        <f t="shared" si="133"/>
        <v>17351.29</v>
      </c>
      <c r="AZ70" s="34">
        <f t="shared" si="134"/>
        <v>1735.13</v>
      </c>
      <c r="BA70" s="34">
        <f t="shared" si="135"/>
        <v>19086.420000000002</v>
      </c>
      <c r="BB70" s="15"/>
      <c r="BC70" s="35">
        <f t="shared" si="136"/>
        <v>31</v>
      </c>
      <c r="BD70" s="34">
        <f t="shared" si="137"/>
        <v>17351.29</v>
      </c>
      <c r="BE70" s="34">
        <f t="shared" si="138"/>
        <v>1735.13</v>
      </c>
      <c r="BF70" s="34">
        <f t="shared" si="139"/>
        <v>19086.420000000002</v>
      </c>
      <c r="BG70" s="15"/>
      <c r="BH70" s="35">
        <f t="shared" si="140"/>
        <v>30</v>
      </c>
      <c r="BI70" s="34">
        <f t="shared" si="141"/>
        <v>16791.57</v>
      </c>
      <c r="BJ70" s="34">
        <f t="shared" si="142"/>
        <v>1679.16</v>
      </c>
      <c r="BK70" s="34">
        <f t="shared" si="143"/>
        <v>18470.73</v>
      </c>
      <c r="BL70" s="15"/>
      <c r="BM70" s="35">
        <f t="shared" si="144"/>
        <v>31</v>
      </c>
      <c r="BN70" s="34">
        <f t="shared" si="145"/>
        <v>17351.29</v>
      </c>
      <c r="BO70" s="34">
        <f t="shared" si="146"/>
        <v>1735.13</v>
      </c>
      <c r="BP70" s="34">
        <f t="shared" si="147"/>
        <v>19086.420000000002</v>
      </c>
      <c r="BQ70" s="15"/>
      <c r="BR70" s="35">
        <f t="shared" si="148"/>
        <v>30</v>
      </c>
      <c r="BS70" s="34">
        <f t="shared" si="149"/>
        <v>16791.57</v>
      </c>
      <c r="BT70" s="34">
        <f t="shared" si="150"/>
        <v>1679.16</v>
      </c>
      <c r="BU70" s="34">
        <f t="shared" si="151"/>
        <v>18470.73</v>
      </c>
      <c r="BV70" s="15"/>
      <c r="BW70" s="35">
        <f t="shared" si="152"/>
        <v>3</v>
      </c>
      <c r="BX70" s="34">
        <f t="shared" si="153"/>
        <v>1679.16</v>
      </c>
      <c r="BY70" s="34">
        <f t="shared" si="154"/>
        <v>167.92</v>
      </c>
      <c r="BZ70" s="34">
        <f t="shared" si="155"/>
        <v>1847.0800000000002</v>
      </c>
      <c r="CA70" s="35">
        <f t="shared" si="156"/>
        <v>225</v>
      </c>
      <c r="CB70" s="34">
        <f t="shared" si="157"/>
        <v>125936.78000000003</v>
      </c>
      <c r="CC70" s="34">
        <f t="shared" si="158"/>
        <v>12593.699999999999</v>
      </c>
      <c r="CD70" s="34">
        <f t="shared" si="159"/>
        <v>138530.48000000004</v>
      </c>
      <c r="CE70" s="16">
        <f t="shared" si="160"/>
        <v>-0.03</v>
      </c>
      <c r="CF70" s="16">
        <f t="shared" si="161"/>
        <v>-0.02</v>
      </c>
      <c r="CG70" s="31" t="s">
        <v>551</v>
      </c>
      <c r="CH70" s="31" t="s">
        <v>552</v>
      </c>
      <c r="CI70" s="31" t="s">
        <v>49</v>
      </c>
      <c r="CJ70" s="31" t="s">
        <v>553</v>
      </c>
      <c r="CK70" s="31" t="s">
        <v>552</v>
      </c>
      <c r="CL70" s="31" t="s">
        <v>554</v>
      </c>
      <c r="CM70" s="29">
        <v>46133</v>
      </c>
      <c r="CN70" s="28" t="s">
        <v>553</v>
      </c>
      <c r="CO70" s="28"/>
      <c r="CP70" s="28"/>
    </row>
    <row r="71" spans="1:94" ht="40.049999999999997" customHeight="1" x14ac:dyDescent="0.25">
      <c r="A71" s="62">
        <v>120</v>
      </c>
      <c r="B71" s="63">
        <v>102</v>
      </c>
      <c r="C71" s="1" t="s">
        <v>258</v>
      </c>
      <c r="D71" s="2" t="s">
        <v>258</v>
      </c>
      <c r="E71" s="2" t="s">
        <v>582</v>
      </c>
      <c r="F71" s="2" t="s">
        <v>583</v>
      </c>
      <c r="G71" s="2" t="s">
        <v>584</v>
      </c>
      <c r="H71" s="64">
        <v>23.39</v>
      </c>
      <c r="I71" s="1" t="s">
        <v>46</v>
      </c>
      <c r="J71" s="3">
        <v>1050.55</v>
      </c>
      <c r="K71" s="1">
        <v>222</v>
      </c>
      <c r="L71" s="4">
        <v>181835</v>
      </c>
      <c r="M71" s="4">
        <v>18183</v>
      </c>
      <c r="N71" s="4">
        <v>200018</v>
      </c>
      <c r="O71" s="31" t="s">
        <v>585</v>
      </c>
      <c r="P71" s="31" t="s">
        <v>586</v>
      </c>
      <c r="Q71" s="35">
        <f t="shared" si="108"/>
        <v>222</v>
      </c>
      <c r="R71" s="14">
        <v>46162</v>
      </c>
      <c r="S71" s="14">
        <f t="shared" si="109"/>
        <v>46383</v>
      </c>
      <c r="T71" s="34">
        <v>181835</v>
      </c>
      <c r="U71" s="34">
        <f t="shared" si="110"/>
        <v>18183.5</v>
      </c>
      <c r="V71" s="34">
        <f t="shared" si="111"/>
        <v>200018.5</v>
      </c>
      <c r="W71" s="35"/>
      <c r="X71" s="14">
        <f t="shared" si="112"/>
        <v>46162</v>
      </c>
      <c r="Y71" s="14" t="str">
        <f t="shared" si="113"/>
        <v/>
      </c>
      <c r="Z71" s="34"/>
      <c r="AA71" s="34">
        <f t="shared" si="114"/>
        <v>0</v>
      </c>
      <c r="AB71" s="34">
        <f t="shared" si="115"/>
        <v>0</v>
      </c>
      <c r="AC71" s="15"/>
      <c r="AD71" s="35">
        <f t="shared" si="116"/>
        <v>0</v>
      </c>
      <c r="AE71" s="34">
        <f t="shared" si="117"/>
        <v>0</v>
      </c>
      <c r="AF71" s="34">
        <f t="shared" si="118"/>
        <v>0</v>
      </c>
      <c r="AG71" s="34">
        <f t="shared" si="119"/>
        <v>0</v>
      </c>
      <c r="AH71" s="15"/>
      <c r="AI71" s="35">
        <f t="shared" si="120"/>
        <v>0</v>
      </c>
      <c r="AJ71" s="34">
        <f t="shared" si="121"/>
        <v>0</v>
      </c>
      <c r="AK71" s="34">
        <f t="shared" si="122"/>
        <v>0</v>
      </c>
      <c r="AL71" s="34">
        <f t="shared" si="123"/>
        <v>0</v>
      </c>
      <c r="AM71" s="15"/>
      <c r="AN71" s="35">
        <f t="shared" si="124"/>
        <v>12</v>
      </c>
      <c r="AO71" s="34">
        <f t="shared" si="125"/>
        <v>9828.92</v>
      </c>
      <c r="AP71" s="34">
        <f t="shared" si="126"/>
        <v>982.89</v>
      </c>
      <c r="AQ71" s="34">
        <f t="shared" si="127"/>
        <v>10811.81</v>
      </c>
      <c r="AR71" s="15"/>
      <c r="AS71" s="35">
        <f t="shared" si="128"/>
        <v>30</v>
      </c>
      <c r="AT71" s="34">
        <f t="shared" si="129"/>
        <v>24572.3</v>
      </c>
      <c r="AU71" s="34">
        <f t="shared" si="130"/>
        <v>2457.23</v>
      </c>
      <c r="AV71" s="34">
        <f t="shared" si="131"/>
        <v>27029.53</v>
      </c>
      <c r="AW71" s="15"/>
      <c r="AX71" s="35">
        <f t="shared" si="132"/>
        <v>31</v>
      </c>
      <c r="AY71" s="34">
        <f t="shared" si="133"/>
        <v>25391.37</v>
      </c>
      <c r="AZ71" s="34">
        <f t="shared" si="134"/>
        <v>2539.14</v>
      </c>
      <c r="BA71" s="34">
        <f t="shared" si="135"/>
        <v>27930.51</v>
      </c>
      <c r="BB71" s="15"/>
      <c r="BC71" s="35">
        <f t="shared" si="136"/>
        <v>31</v>
      </c>
      <c r="BD71" s="34">
        <f t="shared" si="137"/>
        <v>25391.37</v>
      </c>
      <c r="BE71" s="34">
        <f t="shared" si="138"/>
        <v>2539.14</v>
      </c>
      <c r="BF71" s="34">
        <f t="shared" si="139"/>
        <v>27930.51</v>
      </c>
      <c r="BG71" s="15"/>
      <c r="BH71" s="35">
        <f t="shared" si="140"/>
        <v>30</v>
      </c>
      <c r="BI71" s="34">
        <f t="shared" si="141"/>
        <v>24572.3</v>
      </c>
      <c r="BJ71" s="34">
        <f t="shared" si="142"/>
        <v>2457.23</v>
      </c>
      <c r="BK71" s="34">
        <f t="shared" si="143"/>
        <v>27029.53</v>
      </c>
      <c r="BL71" s="15"/>
      <c r="BM71" s="35">
        <f t="shared" si="144"/>
        <v>31</v>
      </c>
      <c r="BN71" s="34">
        <f t="shared" si="145"/>
        <v>25391.37</v>
      </c>
      <c r="BO71" s="34">
        <f t="shared" si="146"/>
        <v>2539.14</v>
      </c>
      <c r="BP71" s="34">
        <f t="shared" si="147"/>
        <v>27930.51</v>
      </c>
      <c r="BQ71" s="15"/>
      <c r="BR71" s="35">
        <f t="shared" si="148"/>
        <v>30</v>
      </c>
      <c r="BS71" s="34">
        <f t="shared" si="149"/>
        <v>24572.3</v>
      </c>
      <c r="BT71" s="34">
        <f t="shared" si="150"/>
        <v>2457.23</v>
      </c>
      <c r="BU71" s="34">
        <f t="shared" si="151"/>
        <v>27029.53</v>
      </c>
      <c r="BV71" s="15"/>
      <c r="BW71" s="35">
        <f t="shared" si="152"/>
        <v>27</v>
      </c>
      <c r="BX71" s="34">
        <f t="shared" si="153"/>
        <v>22115.07</v>
      </c>
      <c r="BY71" s="34">
        <f t="shared" si="154"/>
        <v>2211.5100000000002</v>
      </c>
      <c r="BZ71" s="34">
        <f t="shared" si="155"/>
        <v>24326.58</v>
      </c>
      <c r="CA71" s="35">
        <f t="shared" si="156"/>
        <v>222</v>
      </c>
      <c r="CB71" s="34">
        <f t="shared" si="157"/>
        <v>181835</v>
      </c>
      <c r="CC71" s="34">
        <f t="shared" si="158"/>
        <v>18183.509999999998</v>
      </c>
      <c r="CD71" s="34">
        <f t="shared" si="159"/>
        <v>200018.51</v>
      </c>
      <c r="CE71" s="16">
        <f t="shared" si="160"/>
        <v>0</v>
      </c>
      <c r="CF71" s="16">
        <f t="shared" si="161"/>
        <v>-0.01</v>
      </c>
      <c r="CG71" s="31" t="s">
        <v>551</v>
      </c>
      <c r="CH71" s="31" t="s">
        <v>552</v>
      </c>
      <c r="CI71" s="31" t="s">
        <v>49</v>
      </c>
      <c r="CJ71" s="31" t="s">
        <v>553</v>
      </c>
      <c r="CK71" s="31" t="s">
        <v>552</v>
      </c>
      <c r="CL71" s="31" t="s">
        <v>554</v>
      </c>
      <c r="CM71" s="29">
        <v>46133</v>
      </c>
      <c r="CN71" s="28" t="s">
        <v>553</v>
      </c>
      <c r="CO71" s="28"/>
      <c r="CP71" s="28"/>
    </row>
    <row r="72" spans="1:94" ht="40.049999999999997" customHeight="1" x14ac:dyDescent="0.25">
      <c r="A72" s="62">
        <v>121</v>
      </c>
      <c r="B72" s="63">
        <v>102</v>
      </c>
      <c r="C72" s="1" t="s">
        <v>258</v>
      </c>
      <c r="D72" s="2" t="s">
        <v>258</v>
      </c>
      <c r="E72" s="2" t="s">
        <v>582</v>
      </c>
      <c r="F72" s="2" t="s">
        <v>587</v>
      </c>
      <c r="G72" s="2" t="s">
        <v>588</v>
      </c>
      <c r="H72" s="64">
        <v>13.7</v>
      </c>
      <c r="I72" s="1" t="s">
        <v>46</v>
      </c>
      <c r="J72" s="3">
        <v>897.89</v>
      </c>
      <c r="K72" s="1">
        <v>222</v>
      </c>
      <c r="L72" s="4">
        <v>91028</v>
      </c>
      <c r="M72" s="4">
        <v>9102</v>
      </c>
      <c r="N72" s="4">
        <v>100130</v>
      </c>
      <c r="O72" s="31" t="s">
        <v>589</v>
      </c>
      <c r="P72" s="31" t="s">
        <v>590</v>
      </c>
      <c r="Q72" s="35">
        <f t="shared" si="108"/>
        <v>222</v>
      </c>
      <c r="R72" s="14">
        <v>46176</v>
      </c>
      <c r="S72" s="14">
        <f t="shared" si="109"/>
        <v>46397</v>
      </c>
      <c r="T72" s="34">
        <v>86476.6</v>
      </c>
      <c r="U72" s="34">
        <f t="shared" si="110"/>
        <v>8647.66</v>
      </c>
      <c r="V72" s="34">
        <f t="shared" si="111"/>
        <v>95124.260000000009</v>
      </c>
      <c r="W72" s="35">
        <v>205</v>
      </c>
      <c r="X72" s="14">
        <f t="shared" si="112"/>
        <v>46176</v>
      </c>
      <c r="Y72" s="14">
        <f t="shared" si="113"/>
        <v>46380</v>
      </c>
      <c r="Z72" s="34">
        <v>79854</v>
      </c>
      <c r="AA72" s="34">
        <f t="shared" si="114"/>
        <v>7985.4</v>
      </c>
      <c r="AB72" s="34">
        <f t="shared" si="115"/>
        <v>87839.4</v>
      </c>
      <c r="AC72" s="15"/>
      <c r="AD72" s="35">
        <f t="shared" si="116"/>
        <v>0</v>
      </c>
      <c r="AE72" s="34">
        <f t="shared" si="117"/>
        <v>0</v>
      </c>
      <c r="AF72" s="34">
        <f t="shared" si="118"/>
        <v>0</v>
      </c>
      <c r="AG72" s="34">
        <f t="shared" si="119"/>
        <v>0</v>
      </c>
      <c r="AH72" s="15"/>
      <c r="AI72" s="35">
        <f t="shared" si="120"/>
        <v>0</v>
      </c>
      <c r="AJ72" s="34">
        <f t="shared" si="121"/>
        <v>0</v>
      </c>
      <c r="AK72" s="34">
        <f t="shared" si="122"/>
        <v>0</v>
      </c>
      <c r="AL72" s="34">
        <f t="shared" si="123"/>
        <v>0</v>
      </c>
      <c r="AM72" s="15"/>
      <c r="AN72" s="35">
        <f t="shared" si="124"/>
        <v>0</v>
      </c>
      <c r="AO72" s="34">
        <f t="shared" si="125"/>
        <v>0</v>
      </c>
      <c r="AP72" s="34">
        <f t="shared" si="126"/>
        <v>0</v>
      </c>
      <c r="AQ72" s="34">
        <f t="shared" si="127"/>
        <v>0</v>
      </c>
      <c r="AR72" s="15"/>
      <c r="AS72" s="35">
        <f t="shared" si="128"/>
        <v>28</v>
      </c>
      <c r="AT72" s="34">
        <f t="shared" si="129"/>
        <v>10906.89</v>
      </c>
      <c r="AU72" s="34">
        <f t="shared" si="130"/>
        <v>1090.69</v>
      </c>
      <c r="AV72" s="34">
        <f t="shared" si="131"/>
        <v>11997.58</v>
      </c>
      <c r="AW72" s="15"/>
      <c r="AX72" s="35">
        <f t="shared" si="132"/>
        <v>31</v>
      </c>
      <c r="AY72" s="34">
        <f t="shared" si="133"/>
        <v>12075.48</v>
      </c>
      <c r="AZ72" s="34">
        <f t="shared" si="134"/>
        <v>1207.55</v>
      </c>
      <c r="BA72" s="34">
        <f t="shared" si="135"/>
        <v>13283.029999999999</v>
      </c>
      <c r="BB72" s="15"/>
      <c r="BC72" s="35">
        <f t="shared" si="136"/>
        <v>31</v>
      </c>
      <c r="BD72" s="34">
        <f t="shared" si="137"/>
        <v>12075.48</v>
      </c>
      <c r="BE72" s="34">
        <f t="shared" si="138"/>
        <v>1207.55</v>
      </c>
      <c r="BF72" s="34">
        <f t="shared" si="139"/>
        <v>13283.029999999999</v>
      </c>
      <c r="BG72" s="15"/>
      <c r="BH72" s="35">
        <f t="shared" si="140"/>
        <v>30</v>
      </c>
      <c r="BI72" s="34">
        <f t="shared" si="141"/>
        <v>11685.95</v>
      </c>
      <c r="BJ72" s="34">
        <f t="shared" si="142"/>
        <v>1168.5999999999999</v>
      </c>
      <c r="BK72" s="34">
        <f t="shared" si="143"/>
        <v>12854.550000000001</v>
      </c>
      <c r="BL72" s="15"/>
      <c r="BM72" s="35">
        <f t="shared" si="144"/>
        <v>31</v>
      </c>
      <c r="BN72" s="34">
        <f t="shared" si="145"/>
        <v>12075.48</v>
      </c>
      <c r="BO72" s="34">
        <f t="shared" si="146"/>
        <v>1207.55</v>
      </c>
      <c r="BP72" s="34">
        <f t="shared" si="147"/>
        <v>13283.029999999999</v>
      </c>
      <c r="BQ72" s="15"/>
      <c r="BR72" s="35">
        <f t="shared" si="148"/>
        <v>30</v>
      </c>
      <c r="BS72" s="34">
        <f t="shared" si="149"/>
        <v>11685.95</v>
      </c>
      <c r="BT72" s="34">
        <f t="shared" si="150"/>
        <v>1168.5999999999999</v>
      </c>
      <c r="BU72" s="34">
        <f t="shared" si="151"/>
        <v>12854.550000000001</v>
      </c>
      <c r="BV72" s="15"/>
      <c r="BW72" s="35">
        <f t="shared" si="152"/>
        <v>24</v>
      </c>
      <c r="BX72" s="34">
        <f t="shared" si="153"/>
        <v>9348.76</v>
      </c>
      <c r="BY72" s="34">
        <f t="shared" si="154"/>
        <v>934.88</v>
      </c>
      <c r="BZ72" s="34">
        <f t="shared" si="155"/>
        <v>10283.64</v>
      </c>
      <c r="CA72" s="35">
        <f t="shared" si="156"/>
        <v>205</v>
      </c>
      <c r="CB72" s="34">
        <f t="shared" si="157"/>
        <v>79853.989999999991</v>
      </c>
      <c r="CC72" s="34">
        <f t="shared" si="158"/>
        <v>7985.4199999999992</v>
      </c>
      <c r="CD72" s="34">
        <f t="shared" si="159"/>
        <v>87839.409999999989</v>
      </c>
      <c r="CE72" s="16">
        <f t="shared" si="160"/>
        <v>0.01</v>
      </c>
      <c r="CF72" s="16">
        <f t="shared" si="161"/>
        <v>-0.02</v>
      </c>
      <c r="CG72" s="31" t="s">
        <v>551</v>
      </c>
      <c r="CH72" s="31" t="s">
        <v>552</v>
      </c>
      <c r="CI72" s="31" t="s">
        <v>49</v>
      </c>
      <c r="CJ72" s="31" t="s">
        <v>553</v>
      </c>
      <c r="CK72" s="31" t="s">
        <v>552</v>
      </c>
      <c r="CL72" s="31" t="s">
        <v>554</v>
      </c>
      <c r="CM72" s="29">
        <v>46133</v>
      </c>
      <c r="CN72" s="28" t="s">
        <v>553</v>
      </c>
      <c r="CO72" s="28"/>
      <c r="CP72" s="28"/>
    </row>
    <row r="73" spans="1:94" ht="40.049999999999997" customHeight="1" x14ac:dyDescent="0.25">
      <c r="A73" s="62">
        <v>122</v>
      </c>
      <c r="B73" s="63">
        <v>102</v>
      </c>
      <c r="C73" s="1" t="s">
        <v>258</v>
      </c>
      <c r="D73" s="2" t="s">
        <v>258</v>
      </c>
      <c r="E73" s="2" t="s">
        <v>582</v>
      </c>
      <c r="F73" s="2" t="s">
        <v>591</v>
      </c>
      <c r="G73" s="2" t="s">
        <v>592</v>
      </c>
      <c r="H73" s="64">
        <v>11</v>
      </c>
      <c r="I73" s="1" t="s">
        <v>46</v>
      </c>
      <c r="J73" s="3">
        <v>931.79</v>
      </c>
      <c r="K73" s="1">
        <v>225</v>
      </c>
      <c r="L73" s="4">
        <v>76873</v>
      </c>
      <c r="M73" s="4">
        <v>7687</v>
      </c>
      <c r="N73" s="4">
        <v>84560</v>
      </c>
      <c r="O73" s="31" t="s">
        <v>593</v>
      </c>
      <c r="P73" s="31" t="s">
        <v>594</v>
      </c>
      <c r="Q73" s="35">
        <f t="shared" si="108"/>
        <v>225</v>
      </c>
      <c r="R73" s="14">
        <v>46181</v>
      </c>
      <c r="S73" s="14">
        <f t="shared" si="109"/>
        <v>46405</v>
      </c>
      <c r="T73" s="34">
        <v>73029.350000000006</v>
      </c>
      <c r="U73" s="34">
        <f t="shared" si="110"/>
        <v>7302.94</v>
      </c>
      <c r="V73" s="34">
        <f t="shared" si="111"/>
        <v>80332.290000000008</v>
      </c>
      <c r="W73" s="35">
        <v>200</v>
      </c>
      <c r="X73" s="14">
        <f t="shared" si="112"/>
        <v>46181</v>
      </c>
      <c r="Y73" s="14">
        <f t="shared" si="113"/>
        <v>46380</v>
      </c>
      <c r="Z73" s="34">
        <v>64914.6</v>
      </c>
      <c r="AA73" s="34">
        <f t="shared" si="114"/>
        <v>6491.46</v>
      </c>
      <c r="AB73" s="34">
        <f t="shared" si="115"/>
        <v>71406.06</v>
      </c>
      <c r="AC73" s="15"/>
      <c r="AD73" s="35">
        <f t="shared" si="116"/>
        <v>0</v>
      </c>
      <c r="AE73" s="34">
        <f t="shared" si="117"/>
        <v>0</v>
      </c>
      <c r="AF73" s="34">
        <f t="shared" si="118"/>
        <v>0</v>
      </c>
      <c r="AG73" s="34">
        <f t="shared" si="119"/>
        <v>0</v>
      </c>
      <c r="AH73" s="15"/>
      <c r="AI73" s="35">
        <f t="shared" si="120"/>
        <v>0</v>
      </c>
      <c r="AJ73" s="34">
        <f t="shared" si="121"/>
        <v>0</v>
      </c>
      <c r="AK73" s="34">
        <f t="shared" si="122"/>
        <v>0</v>
      </c>
      <c r="AL73" s="34">
        <f t="shared" si="123"/>
        <v>0</v>
      </c>
      <c r="AM73" s="15"/>
      <c r="AN73" s="35">
        <f t="shared" si="124"/>
        <v>0</v>
      </c>
      <c r="AO73" s="34">
        <f t="shared" si="125"/>
        <v>0</v>
      </c>
      <c r="AP73" s="34">
        <f t="shared" si="126"/>
        <v>0</v>
      </c>
      <c r="AQ73" s="34">
        <f t="shared" si="127"/>
        <v>0</v>
      </c>
      <c r="AR73" s="15"/>
      <c r="AS73" s="35">
        <f t="shared" si="128"/>
        <v>23</v>
      </c>
      <c r="AT73" s="34">
        <f t="shared" si="129"/>
        <v>7465.18</v>
      </c>
      <c r="AU73" s="34">
        <f t="shared" si="130"/>
        <v>746.52</v>
      </c>
      <c r="AV73" s="34">
        <f t="shared" si="131"/>
        <v>8211.7000000000007</v>
      </c>
      <c r="AW73" s="15"/>
      <c r="AX73" s="35">
        <f t="shared" si="132"/>
        <v>31</v>
      </c>
      <c r="AY73" s="34">
        <f t="shared" si="133"/>
        <v>10061.76</v>
      </c>
      <c r="AZ73" s="34">
        <f t="shared" si="134"/>
        <v>1006.18</v>
      </c>
      <c r="BA73" s="34">
        <f t="shared" si="135"/>
        <v>11067.94</v>
      </c>
      <c r="BB73" s="15"/>
      <c r="BC73" s="35">
        <f t="shared" si="136"/>
        <v>31</v>
      </c>
      <c r="BD73" s="34">
        <f t="shared" si="137"/>
        <v>10061.76</v>
      </c>
      <c r="BE73" s="34">
        <f t="shared" si="138"/>
        <v>1006.18</v>
      </c>
      <c r="BF73" s="34">
        <f t="shared" si="139"/>
        <v>11067.94</v>
      </c>
      <c r="BG73" s="15"/>
      <c r="BH73" s="35">
        <f t="shared" si="140"/>
        <v>30</v>
      </c>
      <c r="BI73" s="34">
        <f t="shared" si="141"/>
        <v>9737.19</v>
      </c>
      <c r="BJ73" s="34">
        <f t="shared" si="142"/>
        <v>973.72</v>
      </c>
      <c r="BK73" s="34">
        <f t="shared" si="143"/>
        <v>10710.91</v>
      </c>
      <c r="BL73" s="15"/>
      <c r="BM73" s="35">
        <f t="shared" si="144"/>
        <v>31</v>
      </c>
      <c r="BN73" s="34">
        <f t="shared" si="145"/>
        <v>10061.76</v>
      </c>
      <c r="BO73" s="34">
        <f t="shared" si="146"/>
        <v>1006.18</v>
      </c>
      <c r="BP73" s="34">
        <f t="shared" si="147"/>
        <v>11067.94</v>
      </c>
      <c r="BQ73" s="15"/>
      <c r="BR73" s="35">
        <f t="shared" si="148"/>
        <v>30</v>
      </c>
      <c r="BS73" s="34">
        <f t="shared" si="149"/>
        <v>9737.19</v>
      </c>
      <c r="BT73" s="34">
        <f t="shared" si="150"/>
        <v>973.72</v>
      </c>
      <c r="BU73" s="34">
        <f t="shared" si="151"/>
        <v>10710.91</v>
      </c>
      <c r="BV73" s="15"/>
      <c r="BW73" s="35">
        <f t="shared" si="152"/>
        <v>24</v>
      </c>
      <c r="BX73" s="34">
        <f t="shared" si="153"/>
        <v>7789.75</v>
      </c>
      <c r="BY73" s="34">
        <f t="shared" si="154"/>
        <v>778.98</v>
      </c>
      <c r="BZ73" s="34">
        <f t="shared" si="155"/>
        <v>8568.73</v>
      </c>
      <c r="CA73" s="35">
        <f t="shared" si="156"/>
        <v>200</v>
      </c>
      <c r="CB73" s="34">
        <f t="shared" si="157"/>
        <v>64914.590000000011</v>
      </c>
      <c r="CC73" s="34">
        <f t="shared" si="158"/>
        <v>6491.48</v>
      </c>
      <c r="CD73" s="34">
        <f t="shared" si="159"/>
        <v>71406.070000000007</v>
      </c>
      <c r="CE73" s="16">
        <f t="shared" si="160"/>
        <v>0.01</v>
      </c>
      <c r="CF73" s="16">
        <f t="shared" si="161"/>
        <v>-0.02</v>
      </c>
      <c r="CG73" s="31" t="s">
        <v>551</v>
      </c>
      <c r="CH73" s="31" t="s">
        <v>552</v>
      </c>
      <c r="CI73" s="31" t="s">
        <v>49</v>
      </c>
      <c r="CJ73" s="31" t="s">
        <v>553</v>
      </c>
      <c r="CK73" s="31" t="s">
        <v>552</v>
      </c>
      <c r="CL73" s="31" t="s">
        <v>554</v>
      </c>
      <c r="CM73" s="29">
        <v>46133</v>
      </c>
      <c r="CN73" s="28" t="s">
        <v>553</v>
      </c>
      <c r="CO73" s="28"/>
      <c r="CP73" s="28"/>
    </row>
    <row r="74" spans="1:94" ht="40.049999999999997" customHeight="1" x14ac:dyDescent="0.25">
      <c r="A74" s="62">
        <v>123</v>
      </c>
      <c r="B74" s="63">
        <v>102</v>
      </c>
      <c r="C74" s="1" t="s">
        <v>258</v>
      </c>
      <c r="D74" s="2" t="s">
        <v>258</v>
      </c>
      <c r="E74" s="2" t="s">
        <v>582</v>
      </c>
      <c r="F74" s="2" t="s">
        <v>595</v>
      </c>
      <c r="G74" s="2" t="s">
        <v>596</v>
      </c>
      <c r="H74" s="64">
        <v>11.3</v>
      </c>
      <c r="I74" s="1" t="s">
        <v>46</v>
      </c>
      <c r="J74" s="3">
        <v>998.42</v>
      </c>
      <c r="K74" s="1">
        <v>222</v>
      </c>
      <c r="L74" s="4">
        <v>83488</v>
      </c>
      <c r="M74" s="4">
        <v>8348</v>
      </c>
      <c r="N74" s="4">
        <v>91836</v>
      </c>
      <c r="O74" s="31" t="s">
        <v>597</v>
      </c>
      <c r="P74" s="31" t="s">
        <v>598</v>
      </c>
      <c r="Q74" s="35">
        <f t="shared" si="108"/>
        <v>222</v>
      </c>
      <c r="R74" s="14">
        <v>46175</v>
      </c>
      <c r="S74" s="14">
        <f t="shared" si="109"/>
        <v>46396</v>
      </c>
      <c r="T74" s="34">
        <v>79313.61</v>
      </c>
      <c r="U74" s="34">
        <f t="shared" si="110"/>
        <v>7931.36</v>
      </c>
      <c r="V74" s="34">
        <f t="shared" si="111"/>
        <v>87244.97</v>
      </c>
      <c r="W74" s="35">
        <v>206</v>
      </c>
      <c r="X74" s="14">
        <f t="shared" si="112"/>
        <v>46175</v>
      </c>
      <c r="Y74" s="14">
        <f t="shared" si="113"/>
        <v>46380</v>
      </c>
      <c r="Z74" s="34">
        <v>73597.2</v>
      </c>
      <c r="AA74" s="34">
        <f t="shared" si="114"/>
        <v>7359.72</v>
      </c>
      <c r="AB74" s="34">
        <f t="shared" si="115"/>
        <v>80956.92</v>
      </c>
      <c r="AC74" s="15"/>
      <c r="AD74" s="35">
        <f t="shared" si="116"/>
        <v>0</v>
      </c>
      <c r="AE74" s="34">
        <f t="shared" si="117"/>
        <v>0</v>
      </c>
      <c r="AF74" s="34">
        <f t="shared" si="118"/>
        <v>0</v>
      </c>
      <c r="AG74" s="34">
        <f t="shared" si="119"/>
        <v>0</v>
      </c>
      <c r="AH74" s="15"/>
      <c r="AI74" s="35">
        <f t="shared" si="120"/>
        <v>0</v>
      </c>
      <c r="AJ74" s="34">
        <f t="shared" si="121"/>
        <v>0</v>
      </c>
      <c r="AK74" s="34">
        <f t="shared" si="122"/>
        <v>0</v>
      </c>
      <c r="AL74" s="34">
        <f t="shared" si="123"/>
        <v>0</v>
      </c>
      <c r="AM74" s="15"/>
      <c r="AN74" s="35">
        <f t="shared" si="124"/>
        <v>0</v>
      </c>
      <c r="AO74" s="34">
        <f t="shared" si="125"/>
        <v>0</v>
      </c>
      <c r="AP74" s="34">
        <f t="shared" si="126"/>
        <v>0</v>
      </c>
      <c r="AQ74" s="34">
        <f t="shared" si="127"/>
        <v>0</v>
      </c>
      <c r="AR74" s="15"/>
      <c r="AS74" s="35">
        <f t="shared" si="128"/>
        <v>29</v>
      </c>
      <c r="AT74" s="34">
        <f t="shared" si="129"/>
        <v>10360.77</v>
      </c>
      <c r="AU74" s="34">
        <f t="shared" si="130"/>
        <v>1036.08</v>
      </c>
      <c r="AV74" s="34">
        <f t="shared" si="131"/>
        <v>11396.85</v>
      </c>
      <c r="AW74" s="15"/>
      <c r="AX74" s="35">
        <f t="shared" si="132"/>
        <v>31</v>
      </c>
      <c r="AY74" s="34">
        <f t="shared" si="133"/>
        <v>11075.31</v>
      </c>
      <c r="AZ74" s="34">
        <f t="shared" si="134"/>
        <v>1107.53</v>
      </c>
      <c r="BA74" s="34">
        <f t="shared" si="135"/>
        <v>12182.84</v>
      </c>
      <c r="BB74" s="15"/>
      <c r="BC74" s="35">
        <f t="shared" si="136"/>
        <v>31</v>
      </c>
      <c r="BD74" s="34">
        <f t="shared" si="137"/>
        <v>11075.31</v>
      </c>
      <c r="BE74" s="34">
        <f t="shared" si="138"/>
        <v>1107.53</v>
      </c>
      <c r="BF74" s="34">
        <f t="shared" si="139"/>
        <v>12182.84</v>
      </c>
      <c r="BG74" s="15"/>
      <c r="BH74" s="35">
        <f t="shared" si="140"/>
        <v>30</v>
      </c>
      <c r="BI74" s="34">
        <f t="shared" si="141"/>
        <v>10718.04</v>
      </c>
      <c r="BJ74" s="34">
        <f t="shared" si="142"/>
        <v>1071.8</v>
      </c>
      <c r="BK74" s="34">
        <f t="shared" si="143"/>
        <v>11789.84</v>
      </c>
      <c r="BL74" s="15"/>
      <c r="BM74" s="35">
        <f t="shared" si="144"/>
        <v>31</v>
      </c>
      <c r="BN74" s="34">
        <f t="shared" si="145"/>
        <v>11075.31</v>
      </c>
      <c r="BO74" s="34">
        <f t="shared" si="146"/>
        <v>1107.53</v>
      </c>
      <c r="BP74" s="34">
        <f t="shared" si="147"/>
        <v>12182.84</v>
      </c>
      <c r="BQ74" s="15"/>
      <c r="BR74" s="35">
        <f t="shared" si="148"/>
        <v>30</v>
      </c>
      <c r="BS74" s="34">
        <f t="shared" si="149"/>
        <v>10718.04</v>
      </c>
      <c r="BT74" s="34">
        <f t="shared" si="150"/>
        <v>1071.8</v>
      </c>
      <c r="BU74" s="34">
        <f t="shared" si="151"/>
        <v>11789.84</v>
      </c>
      <c r="BV74" s="15"/>
      <c r="BW74" s="35">
        <f t="shared" si="152"/>
        <v>24</v>
      </c>
      <c r="BX74" s="34">
        <f t="shared" si="153"/>
        <v>8574.43</v>
      </c>
      <c r="BY74" s="34">
        <f t="shared" si="154"/>
        <v>857.44</v>
      </c>
      <c r="BZ74" s="34">
        <f t="shared" si="155"/>
        <v>9431.8700000000008</v>
      </c>
      <c r="CA74" s="35">
        <f t="shared" si="156"/>
        <v>206</v>
      </c>
      <c r="CB74" s="34">
        <f t="shared" si="157"/>
        <v>73597.209999999992</v>
      </c>
      <c r="CC74" s="34">
        <f t="shared" si="158"/>
        <v>7359.7099999999991</v>
      </c>
      <c r="CD74" s="34">
        <f t="shared" si="159"/>
        <v>80956.919999999984</v>
      </c>
      <c r="CE74" s="16">
        <f t="shared" si="160"/>
        <v>-0.01</v>
      </c>
      <c r="CF74" s="16">
        <f t="shared" si="161"/>
        <v>0.01</v>
      </c>
      <c r="CG74" s="31" t="s">
        <v>551</v>
      </c>
      <c r="CH74" s="31" t="s">
        <v>552</v>
      </c>
      <c r="CI74" s="31" t="s">
        <v>49</v>
      </c>
      <c r="CJ74" s="31" t="s">
        <v>553</v>
      </c>
      <c r="CK74" s="31" t="s">
        <v>552</v>
      </c>
      <c r="CL74" s="31" t="s">
        <v>554</v>
      </c>
      <c r="CM74" s="29">
        <v>46133</v>
      </c>
      <c r="CN74" s="28" t="s">
        <v>553</v>
      </c>
      <c r="CO74" s="28"/>
      <c r="CP74" s="28"/>
    </row>
    <row r="75" spans="1:94" ht="40.049999999999997" customHeight="1" x14ac:dyDescent="0.25">
      <c r="A75" s="62">
        <v>124</v>
      </c>
      <c r="B75" s="63">
        <v>102</v>
      </c>
      <c r="C75" s="1" t="s">
        <v>258</v>
      </c>
      <c r="D75" s="2" t="s">
        <v>258</v>
      </c>
      <c r="E75" s="2" t="s">
        <v>582</v>
      </c>
      <c r="F75" s="2" t="s">
        <v>599</v>
      </c>
      <c r="G75" s="2" t="s">
        <v>600</v>
      </c>
      <c r="H75" s="64">
        <v>12.4</v>
      </c>
      <c r="I75" s="1" t="s">
        <v>46</v>
      </c>
      <c r="J75" s="3">
        <v>1048.8599999999999</v>
      </c>
      <c r="K75" s="1">
        <v>222</v>
      </c>
      <c r="L75" s="4">
        <v>96243</v>
      </c>
      <c r="M75" s="4">
        <v>9624</v>
      </c>
      <c r="N75" s="4">
        <v>105867</v>
      </c>
      <c r="O75" s="31" t="s">
        <v>601</v>
      </c>
      <c r="P75" s="31" t="s">
        <v>432</v>
      </c>
      <c r="Q75" s="35">
        <f t="shared" si="108"/>
        <v>222</v>
      </c>
      <c r="R75" s="14">
        <v>46140</v>
      </c>
      <c r="S75" s="14">
        <f t="shared" si="109"/>
        <v>46361</v>
      </c>
      <c r="T75" s="34">
        <v>91430.85</v>
      </c>
      <c r="U75" s="34">
        <f t="shared" si="110"/>
        <v>9143.09</v>
      </c>
      <c r="V75" s="34">
        <f t="shared" si="111"/>
        <v>100573.94</v>
      </c>
      <c r="W75" s="35"/>
      <c r="X75" s="14">
        <f t="shared" si="112"/>
        <v>46140</v>
      </c>
      <c r="Y75" s="14" t="str">
        <f t="shared" si="113"/>
        <v/>
      </c>
      <c r="Z75" s="34"/>
      <c r="AA75" s="34">
        <f t="shared" si="114"/>
        <v>0</v>
      </c>
      <c r="AB75" s="34">
        <f t="shared" si="115"/>
        <v>0</v>
      </c>
      <c r="AC75" s="15"/>
      <c r="AD75" s="35">
        <f t="shared" si="116"/>
        <v>0</v>
      </c>
      <c r="AE75" s="34">
        <f t="shared" si="117"/>
        <v>0</v>
      </c>
      <c r="AF75" s="34">
        <f t="shared" si="118"/>
        <v>0</v>
      </c>
      <c r="AG75" s="34">
        <f t="shared" si="119"/>
        <v>0</v>
      </c>
      <c r="AH75" s="15"/>
      <c r="AI75" s="35">
        <f t="shared" si="120"/>
        <v>3</v>
      </c>
      <c r="AJ75" s="34">
        <f t="shared" si="121"/>
        <v>1235.55</v>
      </c>
      <c r="AK75" s="34">
        <f t="shared" si="122"/>
        <v>123.56</v>
      </c>
      <c r="AL75" s="34">
        <f t="shared" si="123"/>
        <v>1359.11</v>
      </c>
      <c r="AM75" s="15"/>
      <c r="AN75" s="35">
        <f t="shared" si="124"/>
        <v>31</v>
      </c>
      <c r="AO75" s="34">
        <f t="shared" si="125"/>
        <v>12767.37</v>
      </c>
      <c r="AP75" s="34">
        <f t="shared" si="126"/>
        <v>1276.74</v>
      </c>
      <c r="AQ75" s="34">
        <f t="shared" si="127"/>
        <v>14044.11</v>
      </c>
      <c r="AR75" s="15"/>
      <c r="AS75" s="35">
        <f t="shared" si="128"/>
        <v>30</v>
      </c>
      <c r="AT75" s="34">
        <f t="shared" si="129"/>
        <v>12355.52</v>
      </c>
      <c r="AU75" s="34">
        <f t="shared" si="130"/>
        <v>1235.55</v>
      </c>
      <c r="AV75" s="34">
        <f t="shared" si="131"/>
        <v>13591.07</v>
      </c>
      <c r="AW75" s="15"/>
      <c r="AX75" s="35">
        <f t="shared" si="132"/>
        <v>31</v>
      </c>
      <c r="AY75" s="34">
        <f t="shared" si="133"/>
        <v>12767.37</v>
      </c>
      <c r="AZ75" s="34">
        <f t="shared" si="134"/>
        <v>1276.74</v>
      </c>
      <c r="BA75" s="34">
        <f t="shared" si="135"/>
        <v>14044.11</v>
      </c>
      <c r="BB75" s="15"/>
      <c r="BC75" s="35">
        <f t="shared" si="136"/>
        <v>31</v>
      </c>
      <c r="BD75" s="34">
        <f t="shared" si="137"/>
        <v>12767.37</v>
      </c>
      <c r="BE75" s="34">
        <f t="shared" si="138"/>
        <v>1276.74</v>
      </c>
      <c r="BF75" s="34">
        <f t="shared" si="139"/>
        <v>14044.11</v>
      </c>
      <c r="BG75" s="15"/>
      <c r="BH75" s="35">
        <f t="shared" si="140"/>
        <v>30</v>
      </c>
      <c r="BI75" s="34">
        <f t="shared" si="141"/>
        <v>12355.52</v>
      </c>
      <c r="BJ75" s="34">
        <f t="shared" si="142"/>
        <v>1235.55</v>
      </c>
      <c r="BK75" s="34">
        <f t="shared" si="143"/>
        <v>13591.07</v>
      </c>
      <c r="BL75" s="15"/>
      <c r="BM75" s="35">
        <f t="shared" si="144"/>
        <v>31</v>
      </c>
      <c r="BN75" s="34">
        <f t="shared" si="145"/>
        <v>12767.37</v>
      </c>
      <c r="BO75" s="34">
        <f t="shared" si="146"/>
        <v>1276.74</v>
      </c>
      <c r="BP75" s="34">
        <f t="shared" si="147"/>
        <v>14044.11</v>
      </c>
      <c r="BQ75" s="15"/>
      <c r="BR75" s="35">
        <f t="shared" si="148"/>
        <v>30</v>
      </c>
      <c r="BS75" s="34">
        <f t="shared" si="149"/>
        <v>12355.52</v>
      </c>
      <c r="BT75" s="34">
        <f t="shared" si="150"/>
        <v>1235.55</v>
      </c>
      <c r="BU75" s="34">
        <f t="shared" si="151"/>
        <v>13591.07</v>
      </c>
      <c r="BV75" s="15"/>
      <c r="BW75" s="35">
        <f t="shared" si="152"/>
        <v>5</v>
      </c>
      <c r="BX75" s="34">
        <f t="shared" si="153"/>
        <v>2059.25</v>
      </c>
      <c r="BY75" s="34">
        <f t="shared" si="154"/>
        <v>205.93</v>
      </c>
      <c r="BZ75" s="34">
        <f t="shared" si="155"/>
        <v>2265.1799999999998</v>
      </c>
      <c r="CA75" s="35">
        <f t="shared" si="156"/>
        <v>222</v>
      </c>
      <c r="CB75" s="34">
        <f t="shared" si="157"/>
        <v>91430.840000000011</v>
      </c>
      <c r="CC75" s="34">
        <f t="shared" si="158"/>
        <v>9143.1</v>
      </c>
      <c r="CD75" s="34">
        <f t="shared" si="159"/>
        <v>100573.94000000002</v>
      </c>
      <c r="CE75" s="16">
        <f t="shared" si="160"/>
        <v>0.01</v>
      </c>
      <c r="CF75" s="16">
        <f t="shared" si="161"/>
        <v>-0.01</v>
      </c>
      <c r="CG75" s="31" t="s">
        <v>551</v>
      </c>
      <c r="CH75" s="31" t="s">
        <v>552</v>
      </c>
      <c r="CI75" s="31" t="s">
        <v>49</v>
      </c>
      <c r="CJ75" s="31" t="s">
        <v>553</v>
      </c>
      <c r="CK75" s="31" t="s">
        <v>552</v>
      </c>
      <c r="CL75" s="31" t="s">
        <v>554</v>
      </c>
      <c r="CM75" s="29">
        <v>46133</v>
      </c>
      <c r="CN75" s="28" t="s">
        <v>553</v>
      </c>
      <c r="CO75" s="28"/>
      <c r="CP75" s="28"/>
    </row>
    <row r="76" spans="1:94" ht="40.049999999999997" customHeight="1" x14ac:dyDescent="0.25">
      <c r="A76" s="62">
        <v>125</v>
      </c>
      <c r="B76" s="63">
        <v>102</v>
      </c>
      <c r="C76" s="1" t="s">
        <v>258</v>
      </c>
      <c r="D76" s="2" t="s">
        <v>258</v>
      </c>
      <c r="E76" s="2" t="s">
        <v>582</v>
      </c>
      <c r="F76" s="2" t="s">
        <v>602</v>
      </c>
      <c r="G76" s="2" t="s">
        <v>603</v>
      </c>
      <c r="H76" s="64">
        <v>17.97</v>
      </c>
      <c r="I76" s="1" t="s">
        <v>46</v>
      </c>
      <c r="J76" s="3">
        <v>922.35</v>
      </c>
      <c r="K76" s="1">
        <v>222</v>
      </c>
      <c r="L76" s="4">
        <v>122652</v>
      </c>
      <c r="M76" s="4">
        <v>12265</v>
      </c>
      <c r="N76" s="4">
        <v>134917</v>
      </c>
      <c r="O76" s="31" t="s">
        <v>604</v>
      </c>
      <c r="P76" s="31" t="s">
        <v>590</v>
      </c>
      <c r="Q76" s="35">
        <f t="shared" si="108"/>
        <v>222</v>
      </c>
      <c r="R76" s="14">
        <v>46176</v>
      </c>
      <c r="S76" s="14">
        <f t="shared" si="109"/>
        <v>46397</v>
      </c>
      <c r="T76" s="34">
        <v>116519.4</v>
      </c>
      <c r="U76" s="34">
        <f t="shared" si="110"/>
        <v>11651.94</v>
      </c>
      <c r="V76" s="34">
        <f t="shared" si="111"/>
        <v>128171.34</v>
      </c>
      <c r="W76" s="35">
        <v>205</v>
      </c>
      <c r="X76" s="14">
        <f t="shared" si="112"/>
        <v>46176</v>
      </c>
      <c r="Y76" s="14">
        <f t="shared" si="113"/>
        <v>46380</v>
      </c>
      <c r="Z76" s="34">
        <v>107596.6</v>
      </c>
      <c r="AA76" s="34">
        <f t="shared" si="114"/>
        <v>10759.66</v>
      </c>
      <c r="AB76" s="34">
        <f t="shared" si="115"/>
        <v>118356.26000000001</v>
      </c>
      <c r="AC76" s="15"/>
      <c r="AD76" s="35">
        <f t="shared" si="116"/>
        <v>0</v>
      </c>
      <c r="AE76" s="34">
        <f t="shared" si="117"/>
        <v>0</v>
      </c>
      <c r="AF76" s="34">
        <f t="shared" si="118"/>
        <v>0</v>
      </c>
      <c r="AG76" s="34">
        <f t="shared" si="119"/>
        <v>0</v>
      </c>
      <c r="AH76" s="15"/>
      <c r="AI76" s="35">
        <f t="shared" si="120"/>
        <v>0</v>
      </c>
      <c r="AJ76" s="34">
        <f t="shared" si="121"/>
        <v>0</v>
      </c>
      <c r="AK76" s="34">
        <f t="shared" si="122"/>
        <v>0</v>
      </c>
      <c r="AL76" s="34">
        <f t="shared" si="123"/>
        <v>0</v>
      </c>
      <c r="AM76" s="15"/>
      <c r="AN76" s="35">
        <f t="shared" si="124"/>
        <v>0</v>
      </c>
      <c r="AO76" s="34">
        <f t="shared" si="125"/>
        <v>0</v>
      </c>
      <c r="AP76" s="34">
        <f t="shared" si="126"/>
        <v>0</v>
      </c>
      <c r="AQ76" s="34">
        <f t="shared" si="127"/>
        <v>0</v>
      </c>
      <c r="AR76" s="15"/>
      <c r="AS76" s="35">
        <f t="shared" si="128"/>
        <v>28</v>
      </c>
      <c r="AT76" s="34">
        <f t="shared" si="129"/>
        <v>14696.12</v>
      </c>
      <c r="AU76" s="34">
        <f t="shared" si="130"/>
        <v>1469.61</v>
      </c>
      <c r="AV76" s="34">
        <f t="shared" si="131"/>
        <v>16165.730000000001</v>
      </c>
      <c r="AW76" s="15"/>
      <c r="AX76" s="35">
        <f t="shared" si="132"/>
        <v>31</v>
      </c>
      <c r="AY76" s="34">
        <f t="shared" si="133"/>
        <v>16270.71</v>
      </c>
      <c r="AZ76" s="34">
        <f t="shared" si="134"/>
        <v>1627.07</v>
      </c>
      <c r="BA76" s="34">
        <f t="shared" si="135"/>
        <v>17897.78</v>
      </c>
      <c r="BB76" s="15"/>
      <c r="BC76" s="35">
        <f t="shared" si="136"/>
        <v>31</v>
      </c>
      <c r="BD76" s="34">
        <f t="shared" si="137"/>
        <v>16270.71</v>
      </c>
      <c r="BE76" s="34">
        <f t="shared" si="138"/>
        <v>1627.07</v>
      </c>
      <c r="BF76" s="34">
        <f t="shared" si="139"/>
        <v>17897.78</v>
      </c>
      <c r="BG76" s="15"/>
      <c r="BH76" s="35">
        <f t="shared" si="140"/>
        <v>30</v>
      </c>
      <c r="BI76" s="34">
        <f t="shared" si="141"/>
        <v>15745.84</v>
      </c>
      <c r="BJ76" s="34">
        <f t="shared" si="142"/>
        <v>1574.58</v>
      </c>
      <c r="BK76" s="34">
        <f t="shared" si="143"/>
        <v>17320.419999999998</v>
      </c>
      <c r="BL76" s="15"/>
      <c r="BM76" s="35">
        <f t="shared" si="144"/>
        <v>31</v>
      </c>
      <c r="BN76" s="34">
        <f t="shared" si="145"/>
        <v>16270.71</v>
      </c>
      <c r="BO76" s="34">
        <f t="shared" si="146"/>
        <v>1627.07</v>
      </c>
      <c r="BP76" s="34">
        <f t="shared" si="147"/>
        <v>17897.78</v>
      </c>
      <c r="BQ76" s="15"/>
      <c r="BR76" s="35">
        <f t="shared" si="148"/>
        <v>30</v>
      </c>
      <c r="BS76" s="34">
        <f t="shared" si="149"/>
        <v>15745.84</v>
      </c>
      <c r="BT76" s="34">
        <f t="shared" si="150"/>
        <v>1574.58</v>
      </c>
      <c r="BU76" s="34">
        <f t="shared" si="151"/>
        <v>17320.419999999998</v>
      </c>
      <c r="BV76" s="15"/>
      <c r="BW76" s="35">
        <f t="shared" si="152"/>
        <v>24</v>
      </c>
      <c r="BX76" s="34">
        <f t="shared" si="153"/>
        <v>12596.68</v>
      </c>
      <c r="BY76" s="34">
        <f t="shared" si="154"/>
        <v>1259.67</v>
      </c>
      <c r="BZ76" s="34">
        <f t="shared" si="155"/>
        <v>13856.35</v>
      </c>
      <c r="CA76" s="35">
        <f t="shared" si="156"/>
        <v>205</v>
      </c>
      <c r="CB76" s="34">
        <f t="shared" si="157"/>
        <v>107596.60999999999</v>
      </c>
      <c r="CC76" s="34">
        <f t="shared" si="158"/>
        <v>10759.65</v>
      </c>
      <c r="CD76" s="34">
        <f t="shared" si="159"/>
        <v>118356.25999999998</v>
      </c>
      <c r="CE76" s="16">
        <f t="shared" si="160"/>
        <v>-0.01</v>
      </c>
      <c r="CF76" s="16">
        <f t="shared" si="161"/>
        <v>0.01</v>
      </c>
      <c r="CG76" s="31" t="s">
        <v>551</v>
      </c>
      <c r="CH76" s="31" t="s">
        <v>552</v>
      </c>
      <c r="CI76" s="31" t="s">
        <v>49</v>
      </c>
      <c r="CJ76" s="31" t="s">
        <v>553</v>
      </c>
      <c r="CK76" s="31" t="s">
        <v>552</v>
      </c>
      <c r="CL76" s="31" t="s">
        <v>554</v>
      </c>
      <c r="CM76" s="29">
        <v>46133</v>
      </c>
      <c r="CN76" s="28" t="s">
        <v>553</v>
      </c>
      <c r="CO76" s="28"/>
      <c r="CP76" s="28"/>
    </row>
    <row r="77" spans="1:94" ht="40.049999999999997" customHeight="1" x14ac:dyDescent="0.25">
      <c r="A77" s="62">
        <v>126</v>
      </c>
      <c r="B77" s="63">
        <v>102</v>
      </c>
      <c r="C77" s="1" t="s">
        <v>258</v>
      </c>
      <c r="D77" s="2" t="s">
        <v>258</v>
      </c>
      <c r="E77" s="2" t="s">
        <v>605</v>
      </c>
      <c r="F77" s="2" t="s">
        <v>606</v>
      </c>
      <c r="G77" s="2" t="s">
        <v>607</v>
      </c>
      <c r="H77" s="64">
        <v>20</v>
      </c>
      <c r="I77" s="1" t="s">
        <v>46</v>
      </c>
      <c r="J77" s="3">
        <v>911.22</v>
      </c>
      <c r="K77" s="1">
        <v>225</v>
      </c>
      <c r="L77" s="4">
        <v>136683</v>
      </c>
      <c r="M77" s="4">
        <v>13668</v>
      </c>
      <c r="N77" s="4">
        <v>150351</v>
      </c>
      <c r="O77" s="31" t="s">
        <v>608</v>
      </c>
      <c r="P77" s="31" t="s">
        <v>609</v>
      </c>
      <c r="Q77" s="35">
        <f t="shared" si="108"/>
        <v>225</v>
      </c>
      <c r="R77" s="14">
        <v>46156</v>
      </c>
      <c r="S77" s="14">
        <f t="shared" si="109"/>
        <v>46380</v>
      </c>
      <c r="T77" s="34">
        <v>129848.85</v>
      </c>
      <c r="U77" s="34">
        <f t="shared" si="110"/>
        <v>12984.89</v>
      </c>
      <c r="V77" s="34">
        <f t="shared" si="111"/>
        <v>142833.74</v>
      </c>
      <c r="W77" s="35"/>
      <c r="X77" s="14">
        <f t="shared" si="112"/>
        <v>46156</v>
      </c>
      <c r="Y77" s="14" t="str">
        <f t="shared" si="113"/>
        <v/>
      </c>
      <c r="Z77" s="34"/>
      <c r="AA77" s="34">
        <f t="shared" si="114"/>
        <v>0</v>
      </c>
      <c r="AB77" s="34">
        <f t="shared" si="115"/>
        <v>0</v>
      </c>
      <c r="AC77" s="15"/>
      <c r="AD77" s="35">
        <f t="shared" si="116"/>
        <v>0</v>
      </c>
      <c r="AE77" s="34">
        <f t="shared" si="117"/>
        <v>0</v>
      </c>
      <c r="AF77" s="34">
        <f t="shared" si="118"/>
        <v>0</v>
      </c>
      <c r="AG77" s="34">
        <f t="shared" si="119"/>
        <v>0</v>
      </c>
      <c r="AH77" s="15"/>
      <c r="AI77" s="35">
        <f t="shared" si="120"/>
        <v>0</v>
      </c>
      <c r="AJ77" s="34">
        <f t="shared" si="121"/>
        <v>0</v>
      </c>
      <c r="AK77" s="34">
        <f t="shared" si="122"/>
        <v>0</v>
      </c>
      <c r="AL77" s="34">
        <f t="shared" si="123"/>
        <v>0</v>
      </c>
      <c r="AM77" s="15"/>
      <c r="AN77" s="35">
        <f t="shared" si="124"/>
        <v>18</v>
      </c>
      <c r="AO77" s="34">
        <f t="shared" si="125"/>
        <v>10387.91</v>
      </c>
      <c r="AP77" s="34">
        <f t="shared" si="126"/>
        <v>1038.79</v>
      </c>
      <c r="AQ77" s="34">
        <f t="shared" si="127"/>
        <v>11426.7</v>
      </c>
      <c r="AR77" s="15"/>
      <c r="AS77" s="35">
        <f t="shared" si="128"/>
        <v>30</v>
      </c>
      <c r="AT77" s="34">
        <f t="shared" si="129"/>
        <v>17313.18</v>
      </c>
      <c r="AU77" s="34">
        <f t="shared" si="130"/>
        <v>1731.32</v>
      </c>
      <c r="AV77" s="34">
        <f t="shared" si="131"/>
        <v>19044.5</v>
      </c>
      <c r="AW77" s="15"/>
      <c r="AX77" s="35">
        <f t="shared" si="132"/>
        <v>31</v>
      </c>
      <c r="AY77" s="34">
        <f t="shared" si="133"/>
        <v>17890.29</v>
      </c>
      <c r="AZ77" s="34">
        <f t="shared" si="134"/>
        <v>1789.03</v>
      </c>
      <c r="BA77" s="34">
        <f t="shared" si="135"/>
        <v>19679.32</v>
      </c>
      <c r="BB77" s="15"/>
      <c r="BC77" s="35">
        <f t="shared" si="136"/>
        <v>31</v>
      </c>
      <c r="BD77" s="34">
        <f t="shared" si="137"/>
        <v>17890.29</v>
      </c>
      <c r="BE77" s="34">
        <f t="shared" si="138"/>
        <v>1789.03</v>
      </c>
      <c r="BF77" s="34">
        <f t="shared" si="139"/>
        <v>19679.32</v>
      </c>
      <c r="BG77" s="15"/>
      <c r="BH77" s="35">
        <f t="shared" si="140"/>
        <v>30</v>
      </c>
      <c r="BI77" s="34">
        <f t="shared" si="141"/>
        <v>17313.18</v>
      </c>
      <c r="BJ77" s="34">
        <f t="shared" si="142"/>
        <v>1731.32</v>
      </c>
      <c r="BK77" s="34">
        <f t="shared" si="143"/>
        <v>19044.5</v>
      </c>
      <c r="BL77" s="15"/>
      <c r="BM77" s="35">
        <f t="shared" si="144"/>
        <v>31</v>
      </c>
      <c r="BN77" s="34">
        <f t="shared" si="145"/>
        <v>17890.29</v>
      </c>
      <c r="BO77" s="34">
        <f t="shared" si="146"/>
        <v>1789.03</v>
      </c>
      <c r="BP77" s="34">
        <f t="shared" si="147"/>
        <v>19679.32</v>
      </c>
      <c r="BQ77" s="15"/>
      <c r="BR77" s="35">
        <f t="shared" si="148"/>
        <v>30</v>
      </c>
      <c r="BS77" s="34">
        <f t="shared" si="149"/>
        <v>17313.18</v>
      </c>
      <c r="BT77" s="34">
        <f t="shared" si="150"/>
        <v>1731.32</v>
      </c>
      <c r="BU77" s="34">
        <f t="shared" si="151"/>
        <v>19044.5</v>
      </c>
      <c r="BV77" s="15"/>
      <c r="BW77" s="35">
        <f t="shared" si="152"/>
        <v>24</v>
      </c>
      <c r="BX77" s="34">
        <f t="shared" si="153"/>
        <v>13850.54</v>
      </c>
      <c r="BY77" s="34">
        <f t="shared" si="154"/>
        <v>1385.05</v>
      </c>
      <c r="BZ77" s="34">
        <f t="shared" si="155"/>
        <v>15235.59</v>
      </c>
      <c r="CA77" s="35">
        <f t="shared" si="156"/>
        <v>225</v>
      </c>
      <c r="CB77" s="34">
        <f t="shared" si="157"/>
        <v>129848.86000000002</v>
      </c>
      <c r="CC77" s="34">
        <f t="shared" si="158"/>
        <v>12984.889999999998</v>
      </c>
      <c r="CD77" s="34">
        <f t="shared" si="159"/>
        <v>142833.75</v>
      </c>
      <c r="CE77" s="16">
        <f t="shared" si="160"/>
        <v>-0.01</v>
      </c>
      <c r="CF77" s="16">
        <f t="shared" si="161"/>
        <v>0</v>
      </c>
      <c r="CG77" s="31" t="s">
        <v>551</v>
      </c>
      <c r="CH77" s="31" t="s">
        <v>552</v>
      </c>
      <c r="CI77" s="31" t="s">
        <v>49</v>
      </c>
      <c r="CJ77" s="31" t="s">
        <v>553</v>
      </c>
      <c r="CK77" s="31" t="s">
        <v>552</v>
      </c>
      <c r="CL77" s="31" t="s">
        <v>554</v>
      </c>
      <c r="CM77" s="29">
        <v>46133</v>
      </c>
      <c r="CN77" s="28" t="s">
        <v>553</v>
      </c>
      <c r="CO77" s="28"/>
      <c r="CP77" s="28"/>
    </row>
    <row r="78" spans="1:94" ht="40.049999999999997" customHeight="1" x14ac:dyDescent="0.25">
      <c r="A78" s="62">
        <v>127</v>
      </c>
      <c r="B78" s="63">
        <v>102</v>
      </c>
      <c r="C78" s="1" t="s">
        <v>258</v>
      </c>
      <c r="D78" s="2" t="s">
        <v>258</v>
      </c>
      <c r="E78" s="2" t="s">
        <v>258</v>
      </c>
      <c r="F78" s="2" t="s">
        <v>610</v>
      </c>
      <c r="G78" s="2" t="s">
        <v>611</v>
      </c>
      <c r="H78" s="64">
        <v>22.04</v>
      </c>
      <c r="I78" s="1" t="s">
        <v>46</v>
      </c>
      <c r="J78" s="3">
        <v>932.64</v>
      </c>
      <c r="K78" s="1">
        <v>222</v>
      </c>
      <c r="L78" s="4">
        <v>152110</v>
      </c>
      <c r="M78" s="4">
        <v>15211</v>
      </c>
      <c r="N78" s="4">
        <v>167321</v>
      </c>
      <c r="O78" s="31" t="s">
        <v>612</v>
      </c>
      <c r="P78" s="31" t="s">
        <v>581</v>
      </c>
      <c r="Q78" s="35">
        <f t="shared" si="108"/>
        <v>222</v>
      </c>
      <c r="R78" s="14">
        <v>46184</v>
      </c>
      <c r="S78" s="14">
        <f t="shared" si="109"/>
        <v>46405</v>
      </c>
      <c r="T78" s="34">
        <v>144504.5</v>
      </c>
      <c r="U78" s="34">
        <f t="shared" si="110"/>
        <v>14450.45</v>
      </c>
      <c r="V78" s="34">
        <f t="shared" si="111"/>
        <v>158954.95000000001</v>
      </c>
      <c r="W78" s="35">
        <v>197</v>
      </c>
      <c r="X78" s="14">
        <f t="shared" si="112"/>
        <v>46184</v>
      </c>
      <c r="Y78" s="14">
        <f t="shared" si="113"/>
        <v>46380</v>
      </c>
      <c r="Z78" s="34">
        <v>128231.6</v>
      </c>
      <c r="AA78" s="34">
        <f t="shared" si="114"/>
        <v>12823.16</v>
      </c>
      <c r="AB78" s="34">
        <f t="shared" si="115"/>
        <v>141054.76</v>
      </c>
      <c r="AC78" s="15"/>
      <c r="AD78" s="35">
        <f t="shared" si="116"/>
        <v>0</v>
      </c>
      <c r="AE78" s="34">
        <f t="shared" si="117"/>
        <v>0</v>
      </c>
      <c r="AF78" s="34">
        <f t="shared" si="118"/>
        <v>0</v>
      </c>
      <c r="AG78" s="34">
        <f t="shared" si="119"/>
        <v>0</v>
      </c>
      <c r="AH78" s="15"/>
      <c r="AI78" s="35">
        <f t="shared" si="120"/>
        <v>0</v>
      </c>
      <c r="AJ78" s="34">
        <f t="shared" si="121"/>
        <v>0</v>
      </c>
      <c r="AK78" s="34">
        <f t="shared" si="122"/>
        <v>0</v>
      </c>
      <c r="AL78" s="34">
        <f t="shared" si="123"/>
        <v>0</v>
      </c>
      <c r="AM78" s="15"/>
      <c r="AN78" s="35">
        <f t="shared" si="124"/>
        <v>0</v>
      </c>
      <c r="AO78" s="34">
        <f t="shared" si="125"/>
        <v>0</v>
      </c>
      <c r="AP78" s="34">
        <f t="shared" si="126"/>
        <v>0</v>
      </c>
      <c r="AQ78" s="34">
        <f t="shared" si="127"/>
        <v>0</v>
      </c>
      <c r="AR78" s="15"/>
      <c r="AS78" s="35">
        <f t="shared" si="128"/>
        <v>20</v>
      </c>
      <c r="AT78" s="34">
        <f t="shared" si="129"/>
        <v>13018.44</v>
      </c>
      <c r="AU78" s="34">
        <f t="shared" si="130"/>
        <v>1301.8399999999999</v>
      </c>
      <c r="AV78" s="34">
        <f t="shared" si="131"/>
        <v>14320.28</v>
      </c>
      <c r="AW78" s="15"/>
      <c r="AX78" s="35">
        <f t="shared" si="132"/>
        <v>31</v>
      </c>
      <c r="AY78" s="34">
        <f t="shared" si="133"/>
        <v>20178.580000000002</v>
      </c>
      <c r="AZ78" s="34">
        <f t="shared" si="134"/>
        <v>2017.86</v>
      </c>
      <c r="BA78" s="34">
        <f t="shared" si="135"/>
        <v>22196.440000000002</v>
      </c>
      <c r="BB78" s="15"/>
      <c r="BC78" s="35">
        <f t="shared" si="136"/>
        <v>31</v>
      </c>
      <c r="BD78" s="34">
        <f t="shared" si="137"/>
        <v>20178.580000000002</v>
      </c>
      <c r="BE78" s="34">
        <f t="shared" si="138"/>
        <v>2017.86</v>
      </c>
      <c r="BF78" s="34">
        <f t="shared" si="139"/>
        <v>22196.440000000002</v>
      </c>
      <c r="BG78" s="15"/>
      <c r="BH78" s="35">
        <f t="shared" si="140"/>
        <v>30</v>
      </c>
      <c r="BI78" s="34">
        <f t="shared" si="141"/>
        <v>19527.650000000001</v>
      </c>
      <c r="BJ78" s="34">
        <f t="shared" si="142"/>
        <v>1952.77</v>
      </c>
      <c r="BK78" s="34">
        <f t="shared" si="143"/>
        <v>21480.420000000002</v>
      </c>
      <c r="BL78" s="15"/>
      <c r="BM78" s="35">
        <f t="shared" si="144"/>
        <v>31</v>
      </c>
      <c r="BN78" s="34">
        <f t="shared" si="145"/>
        <v>20178.580000000002</v>
      </c>
      <c r="BO78" s="34">
        <f t="shared" si="146"/>
        <v>2017.86</v>
      </c>
      <c r="BP78" s="34">
        <f t="shared" si="147"/>
        <v>22196.440000000002</v>
      </c>
      <c r="BQ78" s="15"/>
      <c r="BR78" s="35">
        <f t="shared" si="148"/>
        <v>30</v>
      </c>
      <c r="BS78" s="34">
        <f t="shared" si="149"/>
        <v>19527.650000000001</v>
      </c>
      <c r="BT78" s="34">
        <f t="shared" si="150"/>
        <v>1952.77</v>
      </c>
      <c r="BU78" s="34">
        <f t="shared" si="151"/>
        <v>21480.420000000002</v>
      </c>
      <c r="BV78" s="15"/>
      <c r="BW78" s="35">
        <f t="shared" si="152"/>
        <v>24</v>
      </c>
      <c r="BX78" s="34">
        <f t="shared" si="153"/>
        <v>15622.12</v>
      </c>
      <c r="BY78" s="34">
        <f t="shared" si="154"/>
        <v>1562.21</v>
      </c>
      <c r="BZ78" s="34">
        <f t="shared" si="155"/>
        <v>17184.330000000002</v>
      </c>
      <c r="CA78" s="35">
        <f t="shared" si="156"/>
        <v>197</v>
      </c>
      <c r="CB78" s="34">
        <f t="shared" si="157"/>
        <v>128231.6</v>
      </c>
      <c r="CC78" s="34">
        <f t="shared" si="158"/>
        <v>12823.170000000002</v>
      </c>
      <c r="CD78" s="34">
        <f t="shared" si="159"/>
        <v>141054.77000000002</v>
      </c>
      <c r="CE78" s="16">
        <f t="shared" si="160"/>
        <v>0</v>
      </c>
      <c r="CF78" s="16">
        <f t="shared" si="161"/>
        <v>-0.01</v>
      </c>
      <c r="CG78" s="31" t="s">
        <v>551</v>
      </c>
      <c r="CH78" s="31" t="s">
        <v>552</v>
      </c>
      <c r="CI78" s="31" t="s">
        <v>49</v>
      </c>
      <c r="CJ78" s="31" t="s">
        <v>553</v>
      </c>
      <c r="CK78" s="31" t="s">
        <v>552</v>
      </c>
      <c r="CL78" s="31" t="s">
        <v>554</v>
      </c>
      <c r="CM78" s="29">
        <v>46133</v>
      </c>
      <c r="CN78" s="28" t="s">
        <v>553</v>
      </c>
      <c r="CO78" s="28"/>
      <c r="CP78" s="28"/>
    </row>
    <row r="79" spans="1:94" ht="40.049999999999997" customHeight="1" x14ac:dyDescent="0.25">
      <c r="A79" s="62">
        <v>128</v>
      </c>
      <c r="B79" s="63">
        <v>102</v>
      </c>
      <c r="C79" s="1" t="s">
        <v>258</v>
      </c>
      <c r="D79" s="2" t="s">
        <v>258</v>
      </c>
      <c r="E79" s="2" t="s">
        <v>613</v>
      </c>
      <c r="F79" s="2" t="s">
        <v>614</v>
      </c>
      <c r="G79" s="2" t="s">
        <v>615</v>
      </c>
      <c r="H79" s="64">
        <v>35.92</v>
      </c>
      <c r="I79" s="1" t="s">
        <v>46</v>
      </c>
      <c r="J79" s="3">
        <v>991.13</v>
      </c>
      <c r="K79" s="1">
        <v>222</v>
      </c>
      <c r="L79" s="4">
        <v>263450</v>
      </c>
      <c r="M79" s="4">
        <v>26345</v>
      </c>
      <c r="N79" s="4">
        <v>289795</v>
      </c>
      <c r="O79" s="31" t="s">
        <v>616</v>
      </c>
      <c r="P79" s="31" t="s">
        <v>417</v>
      </c>
      <c r="Q79" s="35">
        <f t="shared" si="108"/>
        <v>222</v>
      </c>
      <c r="R79" s="14">
        <v>46146</v>
      </c>
      <c r="S79" s="14">
        <f t="shared" si="109"/>
        <v>46367</v>
      </c>
      <c r="T79" s="34">
        <v>250277.5</v>
      </c>
      <c r="U79" s="34">
        <f t="shared" si="110"/>
        <v>25027.75</v>
      </c>
      <c r="V79" s="34">
        <f t="shared" si="111"/>
        <v>275305.25</v>
      </c>
      <c r="W79" s="35"/>
      <c r="X79" s="14">
        <f t="shared" si="112"/>
        <v>46146</v>
      </c>
      <c r="Y79" s="14" t="str">
        <f t="shared" si="113"/>
        <v/>
      </c>
      <c r="Z79" s="34"/>
      <c r="AA79" s="34">
        <f t="shared" si="114"/>
        <v>0</v>
      </c>
      <c r="AB79" s="34">
        <f t="shared" si="115"/>
        <v>0</v>
      </c>
      <c r="AC79" s="15"/>
      <c r="AD79" s="35">
        <f t="shared" si="116"/>
        <v>0</v>
      </c>
      <c r="AE79" s="34">
        <f t="shared" si="117"/>
        <v>0</v>
      </c>
      <c r="AF79" s="34">
        <f t="shared" si="118"/>
        <v>0</v>
      </c>
      <c r="AG79" s="34">
        <f t="shared" si="119"/>
        <v>0</v>
      </c>
      <c r="AH79" s="15"/>
      <c r="AI79" s="35">
        <f t="shared" si="120"/>
        <v>0</v>
      </c>
      <c r="AJ79" s="34">
        <f t="shared" si="121"/>
        <v>0</v>
      </c>
      <c r="AK79" s="34">
        <f t="shared" si="122"/>
        <v>0</v>
      </c>
      <c r="AL79" s="34">
        <f t="shared" si="123"/>
        <v>0</v>
      </c>
      <c r="AM79" s="15"/>
      <c r="AN79" s="35">
        <f t="shared" si="124"/>
        <v>28</v>
      </c>
      <c r="AO79" s="34">
        <f t="shared" si="125"/>
        <v>31566.53</v>
      </c>
      <c r="AP79" s="34">
        <f t="shared" si="126"/>
        <v>3156.65</v>
      </c>
      <c r="AQ79" s="34">
        <f t="shared" si="127"/>
        <v>34723.18</v>
      </c>
      <c r="AR79" s="15"/>
      <c r="AS79" s="35">
        <f t="shared" si="128"/>
        <v>30</v>
      </c>
      <c r="AT79" s="34">
        <f t="shared" si="129"/>
        <v>33821.279999999999</v>
      </c>
      <c r="AU79" s="34">
        <f t="shared" si="130"/>
        <v>3382.13</v>
      </c>
      <c r="AV79" s="34">
        <f t="shared" si="131"/>
        <v>37203.409999999996</v>
      </c>
      <c r="AW79" s="15"/>
      <c r="AX79" s="35">
        <f t="shared" si="132"/>
        <v>31</v>
      </c>
      <c r="AY79" s="34">
        <f t="shared" si="133"/>
        <v>34948.660000000003</v>
      </c>
      <c r="AZ79" s="34">
        <f t="shared" si="134"/>
        <v>3494.87</v>
      </c>
      <c r="BA79" s="34">
        <f t="shared" si="135"/>
        <v>38443.530000000006</v>
      </c>
      <c r="BB79" s="15"/>
      <c r="BC79" s="35">
        <f t="shared" si="136"/>
        <v>31</v>
      </c>
      <c r="BD79" s="34">
        <f t="shared" si="137"/>
        <v>34948.660000000003</v>
      </c>
      <c r="BE79" s="34">
        <f t="shared" si="138"/>
        <v>3494.87</v>
      </c>
      <c r="BF79" s="34">
        <f t="shared" si="139"/>
        <v>38443.530000000006</v>
      </c>
      <c r="BG79" s="15"/>
      <c r="BH79" s="35">
        <f t="shared" si="140"/>
        <v>30</v>
      </c>
      <c r="BI79" s="34">
        <f t="shared" si="141"/>
        <v>33821.279999999999</v>
      </c>
      <c r="BJ79" s="34">
        <f t="shared" si="142"/>
        <v>3382.13</v>
      </c>
      <c r="BK79" s="34">
        <f t="shared" si="143"/>
        <v>37203.409999999996</v>
      </c>
      <c r="BL79" s="15"/>
      <c r="BM79" s="35">
        <f t="shared" si="144"/>
        <v>31</v>
      </c>
      <c r="BN79" s="34">
        <f t="shared" si="145"/>
        <v>34948.660000000003</v>
      </c>
      <c r="BO79" s="34">
        <f t="shared" si="146"/>
        <v>3494.87</v>
      </c>
      <c r="BP79" s="34">
        <f t="shared" si="147"/>
        <v>38443.530000000006</v>
      </c>
      <c r="BQ79" s="15"/>
      <c r="BR79" s="35">
        <f t="shared" si="148"/>
        <v>30</v>
      </c>
      <c r="BS79" s="34">
        <f t="shared" si="149"/>
        <v>33821.279999999999</v>
      </c>
      <c r="BT79" s="34">
        <f t="shared" si="150"/>
        <v>3382.13</v>
      </c>
      <c r="BU79" s="34">
        <f t="shared" si="151"/>
        <v>37203.409999999996</v>
      </c>
      <c r="BV79" s="15"/>
      <c r="BW79" s="35">
        <f t="shared" si="152"/>
        <v>11</v>
      </c>
      <c r="BX79" s="34">
        <f t="shared" si="153"/>
        <v>12401.14</v>
      </c>
      <c r="BY79" s="34">
        <f t="shared" si="154"/>
        <v>1240.1099999999999</v>
      </c>
      <c r="BZ79" s="34">
        <f t="shared" si="155"/>
        <v>13641.25</v>
      </c>
      <c r="CA79" s="35">
        <f t="shared" si="156"/>
        <v>222</v>
      </c>
      <c r="CB79" s="34">
        <f t="shared" si="157"/>
        <v>250277.49</v>
      </c>
      <c r="CC79" s="34">
        <f t="shared" si="158"/>
        <v>25027.760000000002</v>
      </c>
      <c r="CD79" s="34">
        <f t="shared" si="159"/>
        <v>275305.25</v>
      </c>
      <c r="CE79" s="16">
        <f t="shared" si="160"/>
        <v>0.01</v>
      </c>
      <c r="CF79" s="16">
        <f t="shared" si="161"/>
        <v>-0.01</v>
      </c>
      <c r="CG79" s="31" t="s">
        <v>551</v>
      </c>
      <c r="CH79" s="31" t="s">
        <v>552</v>
      </c>
      <c r="CI79" s="31" t="s">
        <v>49</v>
      </c>
      <c r="CJ79" s="31" t="s">
        <v>553</v>
      </c>
      <c r="CK79" s="31" t="s">
        <v>552</v>
      </c>
      <c r="CL79" s="31" t="s">
        <v>554</v>
      </c>
      <c r="CM79" s="29">
        <v>46133</v>
      </c>
      <c r="CN79" s="28" t="s">
        <v>553</v>
      </c>
      <c r="CO79" s="28"/>
      <c r="CP79" s="28"/>
    </row>
    <row r="80" spans="1:94" ht="40.049999999999997" customHeight="1" x14ac:dyDescent="0.25">
      <c r="A80" s="62">
        <v>129</v>
      </c>
      <c r="B80" s="63">
        <v>102</v>
      </c>
      <c r="C80" s="1" t="s">
        <v>258</v>
      </c>
      <c r="D80" s="2" t="s">
        <v>258</v>
      </c>
      <c r="E80" s="2" t="s">
        <v>258</v>
      </c>
      <c r="F80" s="2" t="s">
        <v>617</v>
      </c>
      <c r="G80" s="2" t="s">
        <v>618</v>
      </c>
      <c r="H80" s="64">
        <v>22.49</v>
      </c>
      <c r="I80" s="1" t="s">
        <v>46</v>
      </c>
      <c r="J80" s="3">
        <v>1037.47</v>
      </c>
      <c r="K80" s="1">
        <v>222</v>
      </c>
      <c r="L80" s="4">
        <v>172662</v>
      </c>
      <c r="M80" s="4">
        <v>17266</v>
      </c>
      <c r="N80" s="4">
        <v>189928</v>
      </c>
      <c r="O80" s="31" t="s">
        <v>619</v>
      </c>
      <c r="P80" s="31" t="s">
        <v>620</v>
      </c>
      <c r="Q80" s="35">
        <f t="shared" si="108"/>
        <v>222</v>
      </c>
      <c r="R80" s="14">
        <v>46140</v>
      </c>
      <c r="S80" s="14">
        <f t="shared" si="109"/>
        <v>46361</v>
      </c>
      <c r="T80" s="34">
        <v>164028.9</v>
      </c>
      <c r="U80" s="34">
        <f t="shared" si="110"/>
        <v>16402.89</v>
      </c>
      <c r="V80" s="34">
        <f t="shared" si="111"/>
        <v>180431.78999999998</v>
      </c>
      <c r="W80" s="35"/>
      <c r="X80" s="14">
        <f t="shared" si="112"/>
        <v>46140</v>
      </c>
      <c r="Y80" s="14" t="str">
        <f t="shared" si="113"/>
        <v/>
      </c>
      <c r="Z80" s="34"/>
      <c r="AA80" s="34">
        <f t="shared" si="114"/>
        <v>0</v>
      </c>
      <c r="AB80" s="34">
        <f t="shared" si="115"/>
        <v>0</v>
      </c>
      <c r="AC80" s="15"/>
      <c r="AD80" s="35">
        <f t="shared" si="116"/>
        <v>0</v>
      </c>
      <c r="AE80" s="34">
        <f t="shared" si="117"/>
        <v>0</v>
      </c>
      <c r="AF80" s="34">
        <f t="shared" si="118"/>
        <v>0</v>
      </c>
      <c r="AG80" s="34">
        <f t="shared" si="119"/>
        <v>0</v>
      </c>
      <c r="AH80" s="15"/>
      <c r="AI80" s="35">
        <f t="shared" si="120"/>
        <v>3</v>
      </c>
      <c r="AJ80" s="34">
        <f t="shared" si="121"/>
        <v>2216.61</v>
      </c>
      <c r="AK80" s="34">
        <f t="shared" si="122"/>
        <v>221.66</v>
      </c>
      <c r="AL80" s="34">
        <f t="shared" si="123"/>
        <v>2438.27</v>
      </c>
      <c r="AM80" s="15"/>
      <c r="AN80" s="35">
        <f t="shared" si="124"/>
        <v>31</v>
      </c>
      <c r="AO80" s="34">
        <f t="shared" si="125"/>
        <v>22904.94</v>
      </c>
      <c r="AP80" s="34">
        <f t="shared" si="126"/>
        <v>2290.4899999999998</v>
      </c>
      <c r="AQ80" s="34">
        <f t="shared" si="127"/>
        <v>25195.43</v>
      </c>
      <c r="AR80" s="15"/>
      <c r="AS80" s="35">
        <f t="shared" si="128"/>
        <v>30</v>
      </c>
      <c r="AT80" s="34">
        <f t="shared" si="129"/>
        <v>22166.07</v>
      </c>
      <c r="AU80" s="34">
        <f t="shared" si="130"/>
        <v>2216.61</v>
      </c>
      <c r="AV80" s="34">
        <f t="shared" si="131"/>
        <v>24382.68</v>
      </c>
      <c r="AW80" s="15"/>
      <c r="AX80" s="35">
        <f t="shared" si="132"/>
        <v>31</v>
      </c>
      <c r="AY80" s="34">
        <f t="shared" si="133"/>
        <v>22904.94</v>
      </c>
      <c r="AZ80" s="34">
        <f t="shared" si="134"/>
        <v>2290.4899999999998</v>
      </c>
      <c r="BA80" s="34">
        <f t="shared" si="135"/>
        <v>25195.43</v>
      </c>
      <c r="BB80" s="15"/>
      <c r="BC80" s="35">
        <f t="shared" si="136"/>
        <v>31</v>
      </c>
      <c r="BD80" s="34">
        <f t="shared" si="137"/>
        <v>22904.94</v>
      </c>
      <c r="BE80" s="34">
        <f t="shared" si="138"/>
        <v>2290.4899999999998</v>
      </c>
      <c r="BF80" s="34">
        <f t="shared" si="139"/>
        <v>25195.43</v>
      </c>
      <c r="BG80" s="15"/>
      <c r="BH80" s="35">
        <f t="shared" si="140"/>
        <v>30</v>
      </c>
      <c r="BI80" s="34">
        <f t="shared" si="141"/>
        <v>22166.07</v>
      </c>
      <c r="BJ80" s="34">
        <f t="shared" si="142"/>
        <v>2216.61</v>
      </c>
      <c r="BK80" s="34">
        <f t="shared" si="143"/>
        <v>24382.68</v>
      </c>
      <c r="BL80" s="15"/>
      <c r="BM80" s="35">
        <f t="shared" si="144"/>
        <v>31</v>
      </c>
      <c r="BN80" s="34">
        <f t="shared" si="145"/>
        <v>22904.94</v>
      </c>
      <c r="BO80" s="34">
        <f t="shared" si="146"/>
        <v>2290.4899999999998</v>
      </c>
      <c r="BP80" s="34">
        <f t="shared" si="147"/>
        <v>25195.43</v>
      </c>
      <c r="BQ80" s="15"/>
      <c r="BR80" s="35">
        <f t="shared" si="148"/>
        <v>30</v>
      </c>
      <c r="BS80" s="34">
        <f t="shared" si="149"/>
        <v>22166.07</v>
      </c>
      <c r="BT80" s="34">
        <f t="shared" si="150"/>
        <v>2216.61</v>
      </c>
      <c r="BU80" s="34">
        <f t="shared" si="151"/>
        <v>24382.68</v>
      </c>
      <c r="BV80" s="15"/>
      <c r="BW80" s="35">
        <f t="shared" si="152"/>
        <v>5</v>
      </c>
      <c r="BX80" s="34">
        <f t="shared" si="153"/>
        <v>3694.34</v>
      </c>
      <c r="BY80" s="34">
        <f t="shared" si="154"/>
        <v>369.43</v>
      </c>
      <c r="BZ80" s="34">
        <f t="shared" si="155"/>
        <v>4063.77</v>
      </c>
      <c r="CA80" s="35">
        <f t="shared" si="156"/>
        <v>222</v>
      </c>
      <c r="CB80" s="34">
        <f t="shared" si="157"/>
        <v>164028.92000000001</v>
      </c>
      <c r="CC80" s="34">
        <f t="shared" si="158"/>
        <v>16402.88</v>
      </c>
      <c r="CD80" s="34">
        <f t="shared" si="159"/>
        <v>180431.80000000002</v>
      </c>
      <c r="CE80" s="16">
        <f t="shared" si="160"/>
        <v>-0.02</v>
      </c>
      <c r="CF80" s="16">
        <f t="shared" si="161"/>
        <v>0.01</v>
      </c>
      <c r="CG80" s="31" t="s">
        <v>551</v>
      </c>
      <c r="CH80" s="31" t="s">
        <v>552</v>
      </c>
      <c r="CI80" s="31" t="s">
        <v>49</v>
      </c>
      <c r="CJ80" s="31" t="s">
        <v>553</v>
      </c>
      <c r="CK80" s="31" t="s">
        <v>552</v>
      </c>
      <c r="CL80" s="31" t="s">
        <v>554</v>
      </c>
      <c r="CM80" s="29">
        <v>46133</v>
      </c>
      <c r="CN80" s="28" t="s">
        <v>553</v>
      </c>
      <c r="CO80" s="28"/>
      <c r="CP80" s="28"/>
    </row>
    <row r="81" spans="1:94" ht="40.049999999999997" customHeight="1" x14ac:dyDescent="0.25">
      <c r="A81" s="62">
        <v>130</v>
      </c>
      <c r="B81" s="63">
        <v>102</v>
      </c>
      <c r="C81" s="1" t="s">
        <v>258</v>
      </c>
      <c r="D81" s="2" t="s">
        <v>258</v>
      </c>
      <c r="E81" s="2" t="s">
        <v>621</v>
      </c>
      <c r="F81" s="2" t="s">
        <v>622</v>
      </c>
      <c r="G81" s="2" t="s">
        <v>623</v>
      </c>
      <c r="H81" s="64">
        <v>24</v>
      </c>
      <c r="I81" s="1" t="s">
        <v>46</v>
      </c>
      <c r="J81" s="3">
        <v>912.78</v>
      </c>
      <c r="K81" s="1">
        <v>222</v>
      </c>
      <c r="L81" s="4">
        <v>162110</v>
      </c>
      <c r="M81" s="4">
        <v>16211</v>
      </c>
      <c r="N81" s="4">
        <v>178321</v>
      </c>
      <c r="O81" s="31" t="s">
        <v>624</v>
      </c>
      <c r="P81" s="31" t="s">
        <v>625</v>
      </c>
      <c r="Q81" s="35">
        <f t="shared" si="108"/>
        <v>222</v>
      </c>
      <c r="R81" s="14">
        <v>46162</v>
      </c>
      <c r="S81" s="14">
        <f t="shared" si="109"/>
        <v>46383</v>
      </c>
      <c r="T81" s="34">
        <v>154004.5</v>
      </c>
      <c r="U81" s="34">
        <f t="shared" si="110"/>
        <v>15400.45</v>
      </c>
      <c r="V81" s="34">
        <f t="shared" si="111"/>
        <v>169404.95</v>
      </c>
      <c r="W81" s="35"/>
      <c r="X81" s="14">
        <f t="shared" si="112"/>
        <v>46162</v>
      </c>
      <c r="Y81" s="14" t="str">
        <f t="shared" si="113"/>
        <v/>
      </c>
      <c r="Z81" s="34"/>
      <c r="AA81" s="34">
        <f t="shared" si="114"/>
        <v>0</v>
      </c>
      <c r="AB81" s="34">
        <f t="shared" si="115"/>
        <v>0</v>
      </c>
      <c r="AC81" s="15"/>
      <c r="AD81" s="35">
        <f t="shared" si="116"/>
        <v>0</v>
      </c>
      <c r="AE81" s="34">
        <f t="shared" si="117"/>
        <v>0</v>
      </c>
      <c r="AF81" s="34">
        <f t="shared" si="118"/>
        <v>0</v>
      </c>
      <c r="AG81" s="34">
        <f t="shared" si="119"/>
        <v>0</v>
      </c>
      <c r="AH81" s="15"/>
      <c r="AI81" s="35">
        <f t="shared" si="120"/>
        <v>0</v>
      </c>
      <c r="AJ81" s="34">
        <f t="shared" si="121"/>
        <v>0</v>
      </c>
      <c r="AK81" s="34">
        <f t="shared" si="122"/>
        <v>0</v>
      </c>
      <c r="AL81" s="34">
        <f t="shared" si="123"/>
        <v>0</v>
      </c>
      <c r="AM81" s="15"/>
      <c r="AN81" s="35">
        <f t="shared" si="124"/>
        <v>12</v>
      </c>
      <c r="AO81" s="34">
        <f t="shared" si="125"/>
        <v>8324.57</v>
      </c>
      <c r="AP81" s="34">
        <f t="shared" si="126"/>
        <v>832.46</v>
      </c>
      <c r="AQ81" s="34">
        <f t="shared" si="127"/>
        <v>9157.0299999999988</v>
      </c>
      <c r="AR81" s="15"/>
      <c r="AS81" s="35">
        <f t="shared" si="128"/>
        <v>30</v>
      </c>
      <c r="AT81" s="34">
        <f t="shared" si="129"/>
        <v>20811.419999999998</v>
      </c>
      <c r="AU81" s="34">
        <f t="shared" si="130"/>
        <v>2081.14</v>
      </c>
      <c r="AV81" s="34">
        <f t="shared" si="131"/>
        <v>22892.559999999998</v>
      </c>
      <c r="AW81" s="15"/>
      <c r="AX81" s="35">
        <f t="shared" si="132"/>
        <v>31</v>
      </c>
      <c r="AY81" s="34">
        <f t="shared" si="133"/>
        <v>21505.13</v>
      </c>
      <c r="AZ81" s="34">
        <f t="shared" si="134"/>
        <v>2150.5100000000002</v>
      </c>
      <c r="BA81" s="34">
        <f t="shared" si="135"/>
        <v>23655.64</v>
      </c>
      <c r="BB81" s="15"/>
      <c r="BC81" s="35">
        <f t="shared" si="136"/>
        <v>31</v>
      </c>
      <c r="BD81" s="34">
        <f t="shared" si="137"/>
        <v>21505.13</v>
      </c>
      <c r="BE81" s="34">
        <f t="shared" si="138"/>
        <v>2150.5100000000002</v>
      </c>
      <c r="BF81" s="34">
        <f t="shared" si="139"/>
        <v>23655.64</v>
      </c>
      <c r="BG81" s="15"/>
      <c r="BH81" s="35">
        <f t="shared" si="140"/>
        <v>30</v>
      </c>
      <c r="BI81" s="34">
        <f t="shared" si="141"/>
        <v>20811.419999999998</v>
      </c>
      <c r="BJ81" s="34">
        <f t="shared" si="142"/>
        <v>2081.14</v>
      </c>
      <c r="BK81" s="34">
        <f t="shared" si="143"/>
        <v>22892.559999999998</v>
      </c>
      <c r="BL81" s="15"/>
      <c r="BM81" s="35">
        <f t="shared" si="144"/>
        <v>31</v>
      </c>
      <c r="BN81" s="34">
        <f t="shared" si="145"/>
        <v>21505.13</v>
      </c>
      <c r="BO81" s="34">
        <f t="shared" si="146"/>
        <v>2150.5100000000002</v>
      </c>
      <c r="BP81" s="34">
        <f t="shared" si="147"/>
        <v>23655.64</v>
      </c>
      <c r="BQ81" s="15"/>
      <c r="BR81" s="35">
        <f t="shared" si="148"/>
        <v>30</v>
      </c>
      <c r="BS81" s="34">
        <f t="shared" si="149"/>
        <v>20811.419999999998</v>
      </c>
      <c r="BT81" s="34">
        <f t="shared" si="150"/>
        <v>2081.14</v>
      </c>
      <c r="BU81" s="34">
        <f t="shared" si="151"/>
        <v>22892.559999999998</v>
      </c>
      <c r="BV81" s="15"/>
      <c r="BW81" s="35">
        <f t="shared" si="152"/>
        <v>27</v>
      </c>
      <c r="BX81" s="34">
        <f t="shared" si="153"/>
        <v>18730.28</v>
      </c>
      <c r="BY81" s="34">
        <f t="shared" si="154"/>
        <v>1873.03</v>
      </c>
      <c r="BZ81" s="34">
        <f t="shared" si="155"/>
        <v>20603.309999999998</v>
      </c>
      <c r="CA81" s="35">
        <f t="shared" si="156"/>
        <v>222</v>
      </c>
      <c r="CB81" s="34">
        <f t="shared" si="157"/>
        <v>154004.5</v>
      </c>
      <c r="CC81" s="34">
        <f t="shared" si="158"/>
        <v>15400.44</v>
      </c>
      <c r="CD81" s="34">
        <f t="shared" si="159"/>
        <v>169404.94</v>
      </c>
      <c r="CE81" s="16">
        <f t="shared" si="160"/>
        <v>0</v>
      </c>
      <c r="CF81" s="16">
        <f t="shared" si="161"/>
        <v>0.01</v>
      </c>
      <c r="CG81" s="31" t="s">
        <v>551</v>
      </c>
      <c r="CH81" s="31" t="s">
        <v>552</v>
      </c>
      <c r="CI81" s="31" t="s">
        <v>49</v>
      </c>
      <c r="CJ81" s="31" t="s">
        <v>553</v>
      </c>
      <c r="CK81" s="31" t="s">
        <v>552</v>
      </c>
      <c r="CL81" s="31" t="s">
        <v>554</v>
      </c>
      <c r="CM81" s="29">
        <v>46133</v>
      </c>
      <c r="CN81" s="28" t="s">
        <v>553</v>
      </c>
      <c r="CO81" s="28"/>
      <c r="CP81" s="28"/>
    </row>
    <row r="82" spans="1:94" ht="40.049999999999997" customHeight="1" x14ac:dyDescent="0.25">
      <c r="A82" s="62">
        <v>131</v>
      </c>
      <c r="B82" s="63">
        <v>102</v>
      </c>
      <c r="C82" s="1" t="s">
        <v>258</v>
      </c>
      <c r="D82" s="2" t="s">
        <v>258</v>
      </c>
      <c r="E82" s="2" t="s">
        <v>626</v>
      </c>
      <c r="F82" s="2" t="s">
        <v>627</v>
      </c>
      <c r="G82" s="2" t="s">
        <v>628</v>
      </c>
      <c r="H82" s="64">
        <v>16.97</v>
      </c>
      <c r="I82" s="1" t="s">
        <v>46</v>
      </c>
      <c r="J82" s="3">
        <v>991.16</v>
      </c>
      <c r="K82" s="1">
        <v>222</v>
      </c>
      <c r="L82" s="4">
        <v>124468</v>
      </c>
      <c r="M82" s="4">
        <v>12446</v>
      </c>
      <c r="N82" s="4">
        <v>136914</v>
      </c>
      <c r="O82" s="31" t="s">
        <v>629</v>
      </c>
      <c r="P82" s="31" t="s">
        <v>630</v>
      </c>
      <c r="Q82" s="35">
        <f t="shared" si="108"/>
        <v>222</v>
      </c>
      <c r="R82" s="14">
        <v>46153</v>
      </c>
      <c r="S82" s="14">
        <f t="shared" si="109"/>
        <v>46374</v>
      </c>
      <c r="T82" s="34">
        <v>118244.6</v>
      </c>
      <c r="U82" s="34">
        <f t="shared" si="110"/>
        <v>11824.46</v>
      </c>
      <c r="V82" s="34">
        <f t="shared" si="111"/>
        <v>130069.06</v>
      </c>
      <c r="W82" s="35"/>
      <c r="X82" s="14">
        <f t="shared" si="112"/>
        <v>46153</v>
      </c>
      <c r="Y82" s="14" t="str">
        <f t="shared" si="113"/>
        <v/>
      </c>
      <c r="Z82" s="34"/>
      <c r="AA82" s="34">
        <f t="shared" si="114"/>
        <v>0</v>
      </c>
      <c r="AB82" s="34">
        <f t="shared" si="115"/>
        <v>0</v>
      </c>
      <c r="AC82" s="15"/>
      <c r="AD82" s="35">
        <f t="shared" si="116"/>
        <v>0</v>
      </c>
      <c r="AE82" s="34">
        <f t="shared" si="117"/>
        <v>0</v>
      </c>
      <c r="AF82" s="34">
        <f t="shared" si="118"/>
        <v>0</v>
      </c>
      <c r="AG82" s="34">
        <f t="shared" si="119"/>
        <v>0</v>
      </c>
      <c r="AH82" s="15"/>
      <c r="AI82" s="35">
        <f t="shared" si="120"/>
        <v>0</v>
      </c>
      <c r="AJ82" s="34">
        <f t="shared" si="121"/>
        <v>0</v>
      </c>
      <c r="AK82" s="34">
        <f t="shared" si="122"/>
        <v>0</v>
      </c>
      <c r="AL82" s="34">
        <f t="shared" si="123"/>
        <v>0</v>
      </c>
      <c r="AM82" s="15"/>
      <c r="AN82" s="35">
        <f t="shared" si="124"/>
        <v>21</v>
      </c>
      <c r="AO82" s="34">
        <f t="shared" si="125"/>
        <v>11185.3</v>
      </c>
      <c r="AP82" s="34">
        <f t="shared" si="126"/>
        <v>1118.53</v>
      </c>
      <c r="AQ82" s="34">
        <f t="shared" si="127"/>
        <v>12303.83</v>
      </c>
      <c r="AR82" s="15"/>
      <c r="AS82" s="35">
        <f t="shared" si="128"/>
        <v>30</v>
      </c>
      <c r="AT82" s="34">
        <f t="shared" si="129"/>
        <v>15979</v>
      </c>
      <c r="AU82" s="34">
        <f t="shared" si="130"/>
        <v>1597.9</v>
      </c>
      <c r="AV82" s="34">
        <f t="shared" si="131"/>
        <v>17576.900000000001</v>
      </c>
      <c r="AW82" s="15"/>
      <c r="AX82" s="35">
        <f t="shared" si="132"/>
        <v>31</v>
      </c>
      <c r="AY82" s="34">
        <f t="shared" si="133"/>
        <v>16511.63</v>
      </c>
      <c r="AZ82" s="34">
        <f t="shared" si="134"/>
        <v>1651.16</v>
      </c>
      <c r="BA82" s="34">
        <f t="shared" si="135"/>
        <v>18162.79</v>
      </c>
      <c r="BB82" s="15"/>
      <c r="BC82" s="35">
        <f t="shared" si="136"/>
        <v>31</v>
      </c>
      <c r="BD82" s="34">
        <f t="shared" si="137"/>
        <v>16511.63</v>
      </c>
      <c r="BE82" s="34">
        <f t="shared" si="138"/>
        <v>1651.16</v>
      </c>
      <c r="BF82" s="34">
        <f t="shared" si="139"/>
        <v>18162.79</v>
      </c>
      <c r="BG82" s="15"/>
      <c r="BH82" s="35">
        <f t="shared" si="140"/>
        <v>30</v>
      </c>
      <c r="BI82" s="34">
        <f t="shared" si="141"/>
        <v>15979</v>
      </c>
      <c r="BJ82" s="34">
        <f t="shared" si="142"/>
        <v>1597.9</v>
      </c>
      <c r="BK82" s="34">
        <f t="shared" si="143"/>
        <v>17576.900000000001</v>
      </c>
      <c r="BL82" s="15"/>
      <c r="BM82" s="35">
        <f t="shared" si="144"/>
        <v>31</v>
      </c>
      <c r="BN82" s="34">
        <f t="shared" si="145"/>
        <v>16511.63</v>
      </c>
      <c r="BO82" s="34">
        <f t="shared" si="146"/>
        <v>1651.16</v>
      </c>
      <c r="BP82" s="34">
        <f t="shared" si="147"/>
        <v>18162.79</v>
      </c>
      <c r="BQ82" s="15"/>
      <c r="BR82" s="35">
        <f t="shared" si="148"/>
        <v>30</v>
      </c>
      <c r="BS82" s="34">
        <f t="shared" si="149"/>
        <v>15979</v>
      </c>
      <c r="BT82" s="34">
        <f t="shared" si="150"/>
        <v>1597.9</v>
      </c>
      <c r="BU82" s="34">
        <f t="shared" si="151"/>
        <v>17576.900000000001</v>
      </c>
      <c r="BV82" s="15"/>
      <c r="BW82" s="35">
        <f t="shared" si="152"/>
        <v>18</v>
      </c>
      <c r="BX82" s="34">
        <f t="shared" si="153"/>
        <v>9587.4</v>
      </c>
      <c r="BY82" s="34">
        <f t="shared" si="154"/>
        <v>958.74</v>
      </c>
      <c r="BZ82" s="34">
        <f t="shared" si="155"/>
        <v>10546.14</v>
      </c>
      <c r="CA82" s="35">
        <f t="shared" si="156"/>
        <v>222</v>
      </c>
      <c r="CB82" s="34">
        <f t="shared" si="157"/>
        <v>118244.59</v>
      </c>
      <c r="CC82" s="34">
        <f t="shared" si="158"/>
        <v>11824.449999999999</v>
      </c>
      <c r="CD82" s="34">
        <f t="shared" si="159"/>
        <v>130069.04</v>
      </c>
      <c r="CE82" s="16">
        <f t="shared" si="160"/>
        <v>0.01</v>
      </c>
      <c r="CF82" s="16">
        <f t="shared" si="161"/>
        <v>0.01</v>
      </c>
      <c r="CG82" s="31" t="s">
        <v>551</v>
      </c>
      <c r="CH82" s="31" t="s">
        <v>552</v>
      </c>
      <c r="CI82" s="31" t="s">
        <v>49</v>
      </c>
      <c r="CJ82" s="31" t="s">
        <v>553</v>
      </c>
      <c r="CK82" s="31" t="s">
        <v>552</v>
      </c>
      <c r="CL82" s="31" t="s">
        <v>554</v>
      </c>
      <c r="CM82" s="29">
        <v>46133</v>
      </c>
      <c r="CN82" s="28" t="s">
        <v>553</v>
      </c>
      <c r="CO82" s="28"/>
      <c r="CP82" s="28"/>
    </row>
    <row r="83" spans="1:94" ht="40.049999999999997" customHeight="1" x14ac:dyDescent="0.25">
      <c r="A83" s="62">
        <v>132</v>
      </c>
      <c r="B83" s="63">
        <v>102</v>
      </c>
      <c r="C83" s="1" t="s">
        <v>258</v>
      </c>
      <c r="D83" s="2" t="s">
        <v>258</v>
      </c>
      <c r="E83" s="2" t="s">
        <v>631</v>
      </c>
      <c r="F83" s="2" t="s">
        <v>632</v>
      </c>
      <c r="G83" s="2" t="s">
        <v>633</v>
      </c>
      <c r="H83" s="64">
        <v>13.78</v>
      </c>
      <c r="I83" s="1" t="s">
        <v>46</v>
      </c>
      <c r="J83" s="3">
        <v>1008.53</v>
      </c>
      <c r="K83" s="1">
        <v>222</v>
      </c>
      <c r="L83" s="4">
        <v>102842</v>
      </c>
      <c r="M83" s="4">
        <v>10284</v>
      </c>
      <c r="N83" s="4">
        <v>113126</v>
      </c>
      <c r="O83" s="31" t="s">
        <v>634</v>
      </c>
      <c r="P83" s="31" t="s">
        <v>581</v>
      </c>
      <c r="Q83" s="35">
        <f t="shared" si="108"/>
        <v>222</v>
      </c>
      <c r="R83" s="14">
        <v>46197</v>
      </c>
      <c r="S83" s="14">
        <f t="shared" si="109"/>
        <v>46418</v>
      </c>
      <c r="T83" s="34">
        <v>97699.91</v>
      </c>
      <c r="U83" s="34">
        <f t="shared" si="110"/>
        <v>9769.99</v>
      </c>
      <c r="V83" s="34">
        <f t="shared" si="111"/>
        <v>107469.90000000001</v>
      </c>
      <c r="W83" s="35">
        <v>184</v>
      </c>
      <c r="X83" s="14">
        <f t="shared" si="112"/>
        <v>46197</v>
      </c>
      <c r="Y83" s="14">
        <f t="shared" si="113"/>
        <v>46380</v>
      </c>
      <c r="Z83" s="34">
        <v>80976.899999999994</v>
      </c>
      <c r="AA83" s="34">
        <f t="shared" si="114"/>
        <v>8097.69</v>
      </c>
      <c r="AB83" s="34">
        <f t="shared" si="115"/>
        <v>89074.59</v>
      </c>
      <c r="AC83" s="15"/>
      <c r="AD83" s="35">
        <f t="shared" si="116"/>
        <v>0</v>
      </c>
      <c r="AE83" s="34">
        <f t="shared" si="117"/>
        <v>0</v>
      </c>
      <c r="AF83" s="34">
        <f t="shared" si="118"/>
        <v>0</v>
      </c>
      <c r="AG83" s="34">
        <f t="shared" si="119"/>
        <v>0</v>
      </c>
      <c r="AH83" s="15"/>
      <c r="AI83" s="35">
        <f t="shared" si="120"/>
        <v>0</v>
      </c>
      <c r="AJ83" s="34">
        <f t="shared" si="121"/>
        <v>0</v>
      </c>
      <c r="AK83" s="34">
        <f t="shared" si="122"/>
        <v>0</v>
      </c>
      <c r="AL83" s="34">
        <f t="shared" si="123"/>
        <v>0</v>
      </c>
      <c r="AM83" s="15"/>
      <c r="AN83" s="35">
        <f t="shared" si="124"/>
        <v>0</v>
      </c>
      <c r="AO83" s="34">
        <f t="shared" si="125"/>
        <v>0</v>
      </c>
      <c r="AP83" s="34">
        <f t="shared" si="126"/>
        <v>0</v>
      </c>
      <c r="AQ83" s="34">
        <f t="shared" si="127"/>
        <v>0</v>
      </c>
      <c r="AR83" s="15"/>
      <c r="AS83" s="35">
        <f t="shared" si="128"/>
        <v>7</v>
      </c>
      <c r="AT83" s="34">
        <f t="shared" si="129"/>
        <v>3080.64</v>
      </c>
      <c r="AU83" s="34">
        <f t="shared" si="130"/>
        <v>308.06</v>
      </c>
      <c r="AV83" s="34">
        <f t="shared" si="131"/>
        <v>3388.7</v>
      </c>
      <c r="AW83" s="15"/>
      <c r="AX83" s="35">
        <f t="shared" si="132"/>
        <v>31</v>
      </c>
      <c r="AY83" s="34">
        <f t="shared" si="133"/>
        <v>13642.85</v>
      </c>
      <c r="AZ83" s="34">
        <f t="shared" si="134"/>
        <v>1364.29</v>
      </c>
      <c r="BA83" s="34">
        <f t="shared" si="135"/>
        <v>15007.14</v>
      </c>
      <c r="BB83" s="15"/>
      <c r="BC83" s="35">
        <f t="shared" si="136"/>
        <v>31</v>
      </c>
      <c r="BD83" s="34">
        <f t="shared" si="137"/>
        <v>13642.85</v>
      </c>
      <c r="BE83" s="34">
        <f t="shared" si="138"/>
        <v>1364.29</v>
      </c>
      <c r="BF83" s="34">
        <f t="shared" si="139"/>
        <v>15007.14</v>
      </c>
      <c r="BG83" s="15"/>
      <c r="BH83" s="35">
        <f t="shared" si="140"/>
        <v>30</v>
      </c>
      <c r="BI83" s="34">
        <f t="shared" si="141"/>
        <v>13202.76</v>
      </c>
      <c r="BJ83" s="34">
        <f t="shared" si="142"/>
        <v>1320.28</v>
      </c>
      <c r="BK83" s="34">
        <f t="shared" si="143"/>
        <v>14523.04</v>
      </c>
      <c r="BL83" s="15"/>
      <c r="BM83" s="35">
        <f t="shared" si="144"/>
        <v>31</v>
      </c>
      <c r="BN83" s="34">
        <f t="shared" si="145"/>
        <v>13642.85</v>
      </c>
      <c r="BO83" s="34">
        <f t="shared" si="146"/>
        <v>1364.29</v>
      </c>
      <c r="BP83" s="34">
        <f t="shared" si="147"/>
        <v>15007.14</v>
      </c>
      <c r="BQ83" s="15"/>
      <c r="BR83" s="35">
        <f t="shared" si="148"/>
        <v>30</v>
      </c>
      <c r="BS83" s="34">
        <f t="shared" si="149"/>
        <v>13202.76</v>
      </c>
      <c r="BT83" s="34">
        <f t="shared" si="150"/>
        <v>1320.28</v>
      </c>
      <c r="BU83" s="34">
        <f t="shared" si="151"/>
        <v>14523.04</v>
      </c>
      <c r="BV83" s="15"/>
      <c r="BW83" s="35">
        <f t="shared" si="152"/>
        <v>24</v>
      </c>
      <c r="BX83" s="34">
        <f t="shared" si="153"/>
        <v>10562.2</v>
      </c>
      <c r="BY83" s="34">
        <f t="shared" si="154"/>
        <v>1056.22</v>
      </c>
      <c r="BZ83" s="34">
        <f t="shared" si="155"/>
        <v>11618.42</v>
      </c>
      <c r="CA83" s="35">
        <f t="shared" si="156"/>
        <v>184</v>
      </c>
      <c r="CB83" s="34">
        <f t="shared" si="157"/>
        <v>80976.91</v>
      </c>
      <c r="CC83" s="34">
        <f t="shared" si="158"/>
        <v>8097.71</v>
      </c>
      <c r="CD83" s="34">
        <f t="shared" si="159"/>
        <v>89074.62000000001</v>
      </c>
      <c r="CE83" s="16">
        <f t="shared" si="160"/>
        <v>-0.01</v>
      </c>
      <c r="CF83" s="16">
        <f t="shared" si="161"/>
        <v>-0.02</v>
      </c>
      <c r="CG83" s="31" t="s">
        <v>551</v>
      </c>
      <c r="CH83" s="31" t="s">
        <v>552</v>
      </c>
      <c r="CI83" s="31" t="s">
        <v>49</v>
      </c>
      <c r="CJ83" s="31" t="s">
        <v>553</v>
      </c>
      <c r="CK83" s="31" t="s">
        <v>552</v>
      </c>
      <c r="CL83" s="31" t="s">
        <v>554</v>
      </c>
      <c r="CM83" s="29">
        <v>46133</v>
      </c>
      <c r="CN83" s="28" t="s">
        <v>553</v>
      </c>
      <c r="CO83" s="28"/>
      <c r="CP83" s="28"/>
    </row>
    <row r="84" spans="1:94" ht="40.049999999999997" customHeight="1" x14ac:dyDescent="0.25">
      <c r="A84" s="62">
        <v>133</v>
      </c>
      <c r="B84" s="63">
        <v>102</v>
      </c>
      <c r="C84" s="1" t="s">
        <v>258</v>
      </c>
      <c r="D84" s="2" t="s">
        <v>258</v>
      </c>
      <c r="E84" s="2" t="s">
        <v>631</v>
      </c>
      <c r="F84" s="2" t="s">
        <v>635</v>
      </c>
      <c r="G84" s="2" t="s">
        <v>636</v>
      </c>
      <c r="H84" s="64">
        <v>24.95</v>
      </c>
      <c r="I84" s="1" t="s">
        <v>46</v>
      </c>
      <c r="J84" s="3">
        <v>924.56</v>
      </c>
      <c r="K84" s="1">
        <v>222</v>
      </c>
      <c r="L84" s="4">
        <v>170702</v>
      </c>
      <c r="M84" s="4">
        <v>17070</v>
      </c>
      <c r="N84" s="4">
        <v>187772</v>
      </c>
      <c r="O84" s="31" t="s">
        <v>637</v>
      </c>
      <c r="P84" s="31" t="s">
        <v>638</v>
      </c>
      <c r="Q84" s="35">
        <f t="shared" si="108"/>
        <v>222</v>
      </c>
      <c r="R84" s="14">
        <v>46191</v>
      </c>
      <c r="S84" s="14">
        <f t="shared" si="109"/>
        <v>46412</v>
      </c>
      <c r="T84" s="34">
        <v>162166.9</v>
      </c>
      <c r="U84" s="34">
        <f t="shared" si="110"/>
        <v>16216.69</v>
      </c>
      <c r="V84" s="34">
        <f t="shared" si="111"/>
        <v>178383.59</v>
      </c>
      <c r="W84" s="35">
        <v>190</v>
      </c>
      <c r="X84" s="14">
        <f t="shared" si="112"/>
        <v>46191</v>
      </c>
      <c r="Y84" s="14">
        <f t="shared" si="113"/>
        <v>46380</v>
      </c>
      <c r="Z84" s="34">
        <v>138790.70000000001</v>
      </c>
      <c r="AA84" s="34">
        <f t="shared" si="114"/>
        <v>13879.07</v>
      </c>
      <c r="AB84" s="34">
        <f t="shared" si="115"/>
        <v>152669.77000000002</v>
      </c>
      <c r="AC84" s="15"/>
      <c r="AD84" s="35">
        <f t="shared" si="116"/>
        <v>0</v>
      </c>
      <c r="AE84" s="34">
        <f t="shared" si="117"/>
        <v>0</v>
      </c>
      <c r="AF84" s="34">
        <f t="shared" si="118"/>
        <v>0</v>
      </c>
      <c r="AG84" s="34">
        <f t="shared" si="119"/>
        <v>0</v>
      </c>
      <c r="AH84" s="15"/>
      <c r="AI84" s="35">
        <f t="shared" si="120"/>
        <v>0</v>
      </c>
      <c r="AJ84" s="34">
        <f t="shared" si="121"/>
        <v>0</v>
      </c>
      <c r="AK84" s="34">
        <f t="shared" si="122"/>
        <v>0</v>
      </c>
      <c r="AL84" s="34">
        <f t="shared" si="123"/>
        <v>0</v>
      </c>
      <c r="AM84" s="15"/>
      <c r="AN84" s="35">
        <f t="shared" si="124"/>
        <v>0</v>
      </c>
      <c r="AO84" s="34">
        <f t="shared" si="125"/>
        <v>0</v>
      </c>
      <c r="AP84" s="34">
        <f t="shared" si="126"/>
        <v>0</v>
      </c>
      <c r="AQ84" s="34">
        <f t="shared" si="127"/>
        <v>0</v>
      </c>
      <c r="AR84" s="15"/>
      <c r="AS84" s="35">
        <f t="shared" si="128"/>
        <v>13</v>
      </c>
      <c r="AT84" s="34">
        <f t="shared" si="129"/>
        <v>9496.2099999999991</v>
      </c>
      <c r="AU84" s="34">
        <f t="shared" si="130"/>
        <v>949.62</v>
      </c>
      <c r="AV84" s="34">
        <f t="shared" si="131"/>
        <v>10445.83</v>
      </c>
      <c r="AW84" s="15"/>
      <c r="AX84" s="35">
        <f t="shared" si="132"/>
        <v>31</v>
      </c>
      <c r="AY84" s="34">
        <f t="shared" si="133"/>
        <v>22644.799999999999</v>
      </c>
      <c r="AZ84" s="34">
        <f t="shared" si="134"/>
        <v>2264.48</v>
      </c>
      <c r="BA84" s="34">
        <f t="shared" si="135"/>
        <v>24909.279999999999</v>
      </c>
      <c r="BB84" s="15"/>
      <c r="BC84" s="35">
        <f t="shared" si="136"/>
        <v>31</v>
      </c>
      <c r="BD84" s="34">
        <f t="shared" si="137"/>
        <v>22644.799999999999</v>
      </c>
      <c r="BE84" s="34">
        <f t="shared" si="138"/>
        <v>2264.48</v>
      </c>
      <c r="BF84" s="34">
        <f t="shared" si="139"/>
        <v>24909.279999999999</v>
      </c>
      <c r="BG84" s="15"/>
      <c r="BH84" s="35">
        <f t="shared" si="140"/>
        <v>30</v>
      </c>
      <c r="BI84" s="34">
        <f t="shared" si="141"/>
        <v>21914.32</v>
      </c>
      <c r="BJ84" s="34">
        <f t="shared" si="142"/>
        <v>2191.4299999999998</v>
      </c>
      <c r="BK84" s="34">
        <f t="shared" si="143"/>
        <v>24105.75</v>
      </c>
      <c r="BL84" s="15"/>
      <c r="BM84" s="35">
        <f t="shared" si="144"/>
        <v>31</v>
      </c>
      <c r="BN84" s="34">
        <f t="shared" si="145"/>
        <v>22644.799999999999</v>
      </c>
      <c r="BO84" s="34">
        <f t="shared" si="146"/>
        <v>2264.48</v>
      </c>
      <c r="BP84" s="34">
        <f t="shared" si="147"/>
        <v>24909.279999999999</v>
      </c>
      <c r="BQ84" s="15"/>
      <c r="BR84" s="35">
        <f t="shared" si="148"/>
        <v>30</v>
      </c>
      <c r="BS84" s="34">
        <f t="shared" si="149"/>
        <v>21914.32</v>
      </c>
      <c r="BT84" s="34">
        <f t="shared" si="150"/>
        <v>2191.4299999999998</v>
      </c>
      <c r="BU84" s="34">
        <f t="shared" si="151"/>
        <v>24105.75</v>
      </c>
      <c r="BV84" s="15"/>
      <c r="BW84" s="35">
        <f t="shared" si="152"/>
        <v>24</v>
      </c>
      <c r="BX84" s="34">
        <f t="shared" si="153"/>
        <v>17531.46</v>
      </c>
      <c r="BY84" s="34">
        <f t="shared" si="154"/>
        <v>1753.15</v>
      </c>
      <c r="BZ84" s="34">
        <f t="shared" si="155"/>
        <v>19284.61</v>
      </c>
      <c r="CA84" s="35">
        <f t="shared" si="156"/>
        <v>190</v>
      </c>
      <c r="CB84" s="34">
        <f t="shared" si="157"/>
        <v>138790.71</v>
      </c>
      <c r="CC84" s="34">
        <f t="shared" si="158"/>
        <v>13879.07</v>
      </c>
      <c r="CD84" s="34">
        <f t="shared" si="159"/>
        <v>152669.78</v>
      </c>
      <c r="CE84" s="16">
        <f t="shared" si="160"/>
        <v>-0.01</v>
      </c>
      <c r="CF84" s="16">
        <f t="shared" si="161"/>
        <v>0</v>
      </c>
      <c r="CG84" s="31" t="s">
        <v>551</v>
      </c>
      <c r="CH84" s="31" t="s">
        <v>552</v>
      </c>
      <c r="CI84" s="31" t="s">
        <v>49</v>
      </c>
      <c r="CJ84" s="31" t="s">
        <v>553</v>
      </c>
      <c r="CK84" s="31" t="s">
        <v>552</v>
      </c>
      <c r="CL84" s="31" t="s">
        <v>554</v>
      </c>
      <c r="CM84" s="29">
        <v>46133</v>
      </c>
      <c r="CN84" s="28" t="s">
        <v>553</v>
      </c>
      <c r="CO84" s="28"/>
      <c r="CP84" s="28"/>
    </row>
    <row r="85" spans="1:94" ht="40.049999999999997" customHeight="1" x14ac:dyDescent="0.25">
      <c r="A85" s="62">
        <v>134</v>
      </c>
      <c r="B85" s="63">
        <v>102</v>
      </c>
      <c r="C85" s="1" t="s">
        <v>258</v>
      </c>
      <c r="D85" s="2" t="s">
        <v>258</v>
      </c>
      <c r="E85" s="2" t="s">
        <v>631</v>
      </c>
      <c r="F85" s="2" t="s">
        <v>639</v>
      </c>
      <c r="G85" s="2" t="s">
        <v>640</v>
      </c>
      <c r="H85" s="64">
        <v>10</v>
      </c>
      <c r="I85" s="1" t="s">
        <v>46</v>
      </c>
      <c r="J85" s="3">
        <v>957.87</v>
      </c>
      <c r="K85" s="1">
        <v>225</v>
      </c>
      <c r="L85" s="4">
        <v>71840</v>
      </c>
      <c r="M85" s="4">
        <v>7184</v>
      </c>
      <c r="N85" s="4">
        <v>79024</v>
      </c>
      <c r="O85" s="31" t="s">
        <v>641</v>
      </c>
      <c r="P85" s="31" t="s">
        <v>642</v>
      </c>
      <c r="Q85" s="35">
        <f t="shared" si="108"/>
        <v>225</v>
      </c>
      <c r="R85" s="14">
        <v>46147</v>
      </c>
      <c r="S85" s="14">
        <f t="shared" si="109"/>
        <v>46371</v>
      </c>
      <c r="T85" s="34">
        <v>68248</v>
      </c>
      <c r="U85" s="34">
        <f t="shared" si="110"/>
        <v>6824.8</v>
      </c>
      <c r="V85" s="34">
        <f t="shared" si="111"/>
        <v>75072.800000000003</v>
      </c>
      <c r="W85" s="35"/>
      <c r="X85" s="14">
        <f t="shared" si="112"/>
        <v>46147</v>
      </c>
      <c r="Y85" s="14" t="str">
        <f t="shared" si="113"/>
        <v/>
      </c>
      <c r="Z85" s="34"/>
      <c r="AA85" s="34">
        <f t="shared" si="114"/>
        <v>0</v>
      </c>
      <c r="AB85" s="34">
        <f t="shared" si="115"/>
        <v>0</v>
      </c>
      <c r="AC85" s="15"/>
      <c r="AD85" s="35">
        <f t="shared" si="116"/>
        <v>0</v>
      </c>
      <c r="AE85" s="34">
        <f t="shared" si="117"/>
        <v>0</v>
      </c>
      <c r="AF85" s="34">
        <f t="shared" si="118"/>
        <v>0</v>
      </c>
      <c r="AG85" s="34">
        <f t="shared" si="119"/>
        <v>0</v>
      </c>
      <c r="AH85" s="15"/>
      <c r="AI85" s="35">
        <f t="shared" si="120"/>
        <v>0</v>
      </c>
      <c r="AJ85" s="34">
        <f t="shared" si="121"/>
        <v>0</v>
      </c>
      <c r="AK85" s="34">
        <f t="shared" si="122"/>
        <v>0</v>
      </c>
      <c r="AL85" s="34">
        <f t="shared" si="123"/>
        <v>0</v>
      </c>
      <c r="AM85" s="15"/>
      <c r="AN85" s="35">
        <f t="shared" si="124"/>
        <v>27</v>
      </c>
      <c r="AO85" s="34">
        <f t="shared" si="125"/>
        <v>8189.76</v>
      </c>
      <c r="AP85" s="34">
        <f t="shared" si="126"/>
        <v>818.98</v>
      </c>
      <c r="AQ85" s="34">
        <f t="shared" si="127"/>
        <v>9008.74</v>
      </c>
      <c r="AR85" s="15"/>
      <c r="AS85" s="35">
        <f t="shared" si="128"/>
        <v>30</v>
      </c>
      <c r="AT85" s="34">
        <f t="shared" si="129"/>
        <v>9099.73</v>
      </c>
      <c r="AU85" s="34">
        <f t="shared" si="130"/>
        <v>909.97</v>
      </c>
      <c r="AV85" s="34">
        <f t="shared" si="131"/>
        <v>10009.699999999999</v>
      </c>
      <c r="AW85" s="15"/>
      <c r="AX85" s="35">
        <f t="shared" si="132"/>
        <v>31</v>
      </c>
      <c r="AY85" s="34">
        <f t="shared" si="133"/>
        <v>9403.06</v>
      </c>
      <c r="AZ85" s="34">
        <f t="shared" si="134"/>
        <v>940.31</v>
      </c>
      <c r="BA85" s="34">
        <f t="shared" si="135"/>
        <v>10343.369999999999</v>
      </c>
      <c r="BB85" s="15"/>
      <c r="BC85" s="35">
        <f t="shared" si="136"/>
        <v>31</v>
      </c>
      <c r="BD85" s="34">
        <f t="shared" si="137"/>
        <v>9403.06</v>
      </c>
      <c r="BE85" s="34">
        <f t="shared" si="138"/>
        <v>940.31</v>
      </c>
      <c r="BF85" s="34">
        <f t="shared" si="139"/>
        <v>10343.369999999999</v>
      </c>
      <c r="BG85" s="15"/>
      <c r="BH85" s="35">
        <f t="shared" si="140"/>
        <v>30</v>
      </c>
      <c r="BI85" s="34">
        <f t="shared" si="141"/>
        <v>9099.73</v>
      </c>
      <c r="BJ85" s="34">
        <f t="shared" si="142"/>
        <v>909.97</v>
      </c>
      <c r="BK85" s="34">
        <f t="shared" si="143"/>
        <v>10009.699999999999</v>
      </c>
      <c r="BL85" s="15"/>
      <c r="BM85" s="35">
        <f t="shared" si="144"/>
        <v>31</v>
      </c>
      <c r="BN85" s="34">
        <f t="shared" si="145"/>
        <v>9403.06</v>
      </c>
      <c r="BO85" s="34">
        <f t="shared" si="146"/>
        <v>940.31</v>
      </c>
      <c r="BP85" s="34">
        <f t="shared" si="147"/>
        <v>10343.369999999999</v>
      </c>
      <c r="BQ85" s="15"/>
      <c r="BR85" s="35">
        <f t="shared" si="148"/>
        <v>30</v>
      </c>
      <c r="BS85" s="34">
        <f t="shared" si="149"/>
        <v>9099.73</v>
      </c>
      <c r="BT85" s="34">
        <f t="shared" si="150"/>
        <v>909.97</v>
      </c>
      <c r="BU85" s="34">
        <f t="shared" si="151"/>
        <v>10009.699999999999</v>
      </c>
      <c r="BV85" s="15"/>
      <c r="BW85" s="35">
        <f t="shared" si="152"/>
        <v>15</v>
      </c>
      <c r="BX85" s="34">
        <f t="shared" si="153"/>
        <v>4549.87</v>
      </c>
      <c r="BY85" s="34">
        <f t="shared" si="154"/>
        <v>454.99</v>
      </c>
      <c r="BZ85" s="34">
        <f t="shared" si="155"/>
        <v>5004.8599999999997</v>
      </c>
      <c r="CA85" s="35">
        <f t="shared" si="156"/>
        <v>225</v>
      </c>
      <c r="CB85" s="34">
        <f t="shared" si="157"/>
        <v>68247.999999999985</v>
      </c>
      <c r="CC85" s="34">
        <f t="shared" si="158"/>
        <v>6824.81</v>
      </c>
      <c r="CD85" s="34">
        <f t="shared" si="159"/>
        <v>75072.809999999983</v>
      </c>
      <c r="CE85" s="16">
        <f t="shared" si="160"/>
        <v>0</v>
      </c>
      <c r="CF85" s="16">
        <f t="shared" si="161"/>
        <v>-0.01</v>
      </c>
      <c r="CG85" s="31" t="s">
        <v>551</v>
      </c>
      <c r="CH85" s="31" t="s">
        <v>552</v>
      </c>
      <c r="CI85" s="31" t="s">
        <v>49</v>
      </c>
      <c r="CJ85" s="31" t="s">
        <v>553</v>
      </c>
      <c r="CK85" s="31" t="s">
        <v>552</v>
      </c>
      <c r="CL85" s="31" t="s">
        <v>554</v>
      </c>
      <c r="CM85" s="29">
        <v>46133</v>
      </c>
      <c r="CN85" s="28" t="s">
        <v>553</v>
      </c>
      <c r="CO85" s="28"/>
      <c r="CP85" s="28"/>
    </row>
    <row r="86" spans="1:94" ht="40.049999999999997" customHeight="1" x14ac:dyDescent="0.25">
      <c r="A86" s="62">
        <v>135</v>
      </c>
      <c r="B86" s="63">
        <v>102</v>
      </c>
      <c r="C86" s="1" t="s">
        <v>258</v>
      </c>
      <c r="D86" s="2" t="s">
        <v>258</v>
      </c>
      <c r="E86" s="2" t="s">
        <v>643</v>
      </c>
      <c r="F86" s="2" t="s">
        <v>644</v>
      </c>
      <c r="G86" s="2" t="s">
        <v>645</v>
      </c>
      <c r="H86" s="64">
        <v>15.98</v>
      </c>
      <c r="I86" s="1" t="s">
        <v>46</v>
      </c>
      <c r="J86" s="3">
        <v>904.66</v>
      </c>
      <c r="K86" s="1">
        <v>222</v>
      </c>
      <c r="L86" s="4">
        <v>106978</v>
      </c>
      <c r="M86" s="4">
        <v>10697</v>
      </c>
      <c r="N86" s="4">
        <v>117675</v>
      </c>
      <c r="O86" s="31" t="s">
        <v>646</v>
      </c>
      <c r="P86" s="31" t="s">
        <v>647</v>
      </c>
      <c r="Q86" s="35">
        <f t="shared" si="108"/>
        <v>222</v>
      </c>
      <c r="R86" s="14">
        <v>46150</v>
      </c>
      <c r="S86" s="14">
        <f t="shared" si="109"/>
        <v>46371</v>
      </c>
      <c r="T86" s="34">
        <v>101629.1</v>
      </c>
      <c r="U86" s="34">
        <f t="shared" si="110"/>
        <v>10162.91</v>
      </c>
      <c r="V86" s="34">
        <f t="shared" si="111"/>
        <v>111792.01000000001</v>
      </c>
      <c r="W86" s="35"/>
      <c r="X86" s="14">
        <f t="shared" si="112"/>
        <v>46150</v>
      </c>
      <c r="Y86" s="14" t="str">
        <f t="shared" si="113"/>
        <v/>
      </c>
      <c r="Z86" s="34"/>
      <c r="AA86" s="34">
        <f t="shared" si="114"/>
        <v>0</v>
      </c>
      <c r="AB86" s="34">
        <f t="shared" si="115"/>
        <v>0</v>
      </c>
      <c r="AC86" s="15"/>
      <c r="AD86" s="35">
        <f t="shared" si="116"/>
        <v>0</v>
      </c>
      <c r="AE86" s="34">
        <f t="shared" si="117"/>
        <v>0</v>
      </c>
      <c r="AF86" s="34">
        <f t="shared" si="118"/>
        <v>0</v>
      </c>
      <c r="AG86" s="34">
        <f t="shared" si="119"/>
        <v>0</v>
      </c>
      <c r="AH86" s="15"/>
      <c r="AI86" s="35">
        <f t="shared" si="120"/>
        <v>0</v>
      </c>
      <c r="AJ86" s="34">
        <f t="shared" si="121"/>
        <v>0</v>
      </c>
      <c r="AK86" s="34">
        <f t="shared" si="122"/>
        <v>0</v>
      </c>
      <c r="AL86" s="34">
        <f t="shared" si="123"/>
        <v>0</v>
      </c>
      <c r="AM86" s="15"/>
      <c r="AN86" s="35">
        <f t="shared" si="124"/>
        <v>24</v>
      </c>
      <c r="AO86" s="34">
        <f t="shared" si="125"/>
        <v>10986.93</v>
      </c>
      <c r="AP86" s="34">
        <f t="shared" si="126"/>
        <v>1098.69</v>
      </c>
      <c r="AQ86" s="34">
        <f t="shared" si="127"/>
        <v>12085.62</v>
      </c>
      <c r="AR86" s="15"/>
      <c r="AS86" s="35">
        <f t="shared" si="128"/>
        <v>30</v>
      </c>
      <c r="AT86" s="34">
        <f t="shared" si="129"/>
        <v>13733.66</v>
      </c>
      <c r="AU86" s="34">
        <f t="shared" si="130"/>
        <v>1373.37</v>
      </c>
      <c r="AV86" s="34">
        <f t="shared" si="131"/>
        <v>15107.029999999999</v>
      </c>
      <c r="AW86" s="15"/>
      <c r="AX86" s="35">
        <f t="shared" si="132"/>
        <v>31</v>
      </c>
      <c r="AY86" s="34">
        <f t="shared" si="133"/>
        <v>14191.45</v>
      </c>
      <c r="AZ86" s="34">
        <f t="shared" si="134"/>
        <v>1419.15</v>
      </c>
      <c r="BA86" s="34">
        <f t="shared" si="135"/>
        <v>15610.6</v>
      </c>
      <c r="BB86" s="15"/>
      <c r="BC86" s="35">
        <f t="shared" si="136"/>
        <v>31</v>
      </c>
      <c r="BD86" s="34">
        <f t="shared" si="137"/>
        <v>14191.45</v>
      </c>
      <c r="BE86" s="34">
        <f t="shared" si="138"/>
        <v>1419.15</v>
      </c>
      <c r="BF86" s="34">
        <f t="shared" si="139"/>
        <v>15610.6</v>
      </c>
      <c r="BG86" s="15"/>
      <c r="BH86" s="35">
        <f t="shared" si="140"/>
        <v>30</v>
      </c>
      <c r="BI86" s="34">
        <f t="shared" si="141"/>
        <v>13733.66</v>
      </c>
      <c r="BJ86" s="34">
        <f t="shared" si="142"/>
        <v>1373.37</v>
      </c>
      <c r="BK86" s="34">
        <f t="shared" si="143"/>
        <v>15107.029999999999</v>
      </c>
      <c r="BL86" s="15"/>
      <c r="BM86" s="35">
        <f t="shared" si="144"/>
        <v>31</v>
      </c>
      <c r="BN86" s="34">
        <f t="shared" si="145"/>
        <v>14191.45</v>
      </c>
      <c r="BO86" s="34">
        <f t="shared" si="146"/>
        <v>1419.15</v>
      </c>
      <c r="BP86" s="34">
        <f t="shared" si="147"/>
        <v>15610.6</v>
      </c>
      <c r="BQ86" s="15"/>
      <c r="BR86" s="35">
        <f t="shared" si="148"/>
        <v>30</v>
      </c>
      <c r="BS86" s="34">
        <f t="shared" si="149"/>
        <v>13733.66</v>
      </c>
      <c r="BT86" s="34">
        <f t="shared" si="150"/>
        <v>1373.37</v>
      </c>
      <c r="BU86" s="34">
        <f t="shared" si="151"/>
        <v>15107.029999999999</v>
      </c>
      <c r="BV86" s="15"/>
      <c r="BW86" s="35">
        <f t="shared" si="152"/>
        <v>15</v>
      </c>
      <c r="BX86" s="34">
        <f t="shared" si="153"/>
        <v>6866.83</v>
      </c>
      <c r="BY86" s="34">
        <f t="shared" si="154"/>
        <v>686.68</v>
      </c>
      <c r="BZ86" s="34">
        <f t="shared" si="155"/>
        <v>7553.51</v>
      </c>
      <c r="CA86" s="35">
        <f t="shared" si="156"/>
        <v>222</v>
      </c>
      <c r="CB86" s="34">
        <f t="shared" si="157"/>
        <v>101629.09000000001</v>
      </c>
      <c r="CC86" s="34">
        <f t="shared" si="158"/>
        <v>10162.93</v>
      </c>
      <c r="CD86" s="34">
        <f t="shared" si="159"/>
        <v>111792.02000000002</v>
      </c>
      <c r="CE86" s="16">
        <f t="shared" si="160"/>
        <v>0.01</v>
      </c>
      <c r="CF86" s="16">
        <f t="shared" si="161"/>
        <v>-0.02</v>
      </c>
      <c r="CG86" s="31" t="s">
        <v>551</v>
      </c>
      <c r="CH86" s="31" t="s">
        <v>552</v>
      </c>
      <c r="CI86" s="31" t="s">
        <v>49</v>
      </c>
      <c r="CJ86" s="31" t="s">
        <v>553</v>
      </c>
      <c r="CK86" s="31" t="s">
        <v>552</v>
      </c>
      <c r="CL86" s="31" t="s">
        <v>554</v>
      </c>
      <c r="CM86" s="29">
        <v>46133</v>
      </c>
      <c r="CN86" s="28" t="s">
        <v>553</v>
      </c>
      <c r="CO86" s="28"/>
      <c r="CP86" s="28"/>
    </row>
    <row r="87" spans="1:94" ht="40.049999999999997" customHeight="1" x14ac:dyDescent="0.25">
      <c r="A87" s="62">
        <v>136</v>
      </c>
      <c r="B87" s="63">
        <v>102</v>
      </c>
      <c r="C87" s="1" t="s">
        <v>258</v>
      </c>
      <c r="D87" s="2" t="s">
        <v>258</v>
      </c>
      <c r="E87" s="2" t="s">
        <v>643</v>
      </c>
      <c r="F87" s="2" t="s">
        <v>648</v>
      </c>
      <c r="G87" s="2" t="s">
        <v>649</v>
      </c>
      <c r="H87" s="64">
        <v>12.22</v>
      </c>
      <c r="I87" s="1" t="s">
        <v>46</v>
      </c>
      <c r="J87" s="3">
        <v>953.45</v>
      </c>
      <c r="K87" s="1">
        <v>222</v>
      </c>
      <c r="L87" s="4">
        <v>86219</v>
      </c>
      <c r="M87" s="4">
        <v>8621</v>
      </c>
      <c r="N87" s="4">
        <v>94840</v>
      </c>
      <c r="O87" s="31" t="s">
        <v>650</v>
      </c>
      <c r="P87" s="31" t="s">
        <v>651</v>
      </c>
      <c r="Q87" s="35">
        <f t="shared" si="108"/>
        <v>222</v>
      </c>
      <c r="R87" s="14">
        <v>46150</v>
      </c>
      <c r="S87" s="14">
        <f t="shared" si="109"/>
        <v>46371</v>
      </c>
      <c r="T87" s="34">
        <v>81908.05</v>
      </c>
      <c r="U87" s="34">
        <f t="shared" si="110"/>
        <v>8190.81</v>
      </c>
      <c r="V87" s="34">
        <f t="shared" si="111"/>
        <v>90098.86</v>
      </c>
      <c r="W87" s="35"/>
      <c r="X87" s="14">
        <f t="shared" si="112"/>
        <v>46150</v>
      </c>
      <c r="Y87" s="14" t="str">
        <f t="shared" si="113"/>
        <v/>
      </c>
      <c r="Z87" s="34"/>
      <c r="AA87" s="34">
        <f t="shared" si="114"/>
        <v>0</v>
      </c>
      <c r="AB87" s="34">
        <f t="shared" si="115"/>
        <v>0</v>
      </c>
      <c r="AC87" s="15"/>
      <c r="AD87" s="35">
        <f t="shared" si="116"/>
        <v>0</v>
      </c>
      <c r="AE87" s="34">
        <f t="shared" si="117"/>
        <v>0</v>
      </c>
      <c r="AF87" s="34">
        <f t="shared" si="118"/>
        <v>0</v>
      </c>
      <c r="AG87" s="34">
        <f t="shared" si="119"/>
        <v>0</v>
      </c>
      <c r="AH87" s="15"/>
      <c r="AI87" s="35">
        <f t="shared" si="120"/>
        <v>0</v>
      </c>
      <c r="AJ87" s="34">
        <f t="shared" si="121"/>
        <v>0</v>
      </c>
      <c r="AK87" s="34">
        <f t="shared" si="122"/>
        <v>0</v>
      </c>
      <c r="AL87" s="34">
        <f t="shared" si="123"/>
        <v>0</v>
      </c>
      <c r="AM87" s="15"/>
      <c r="AN87" s="35">
        <f t="shared" si="124"/>
        <v>24</v>
      </c>
      <c r="AO87" s="34">
        <f t="shared" si="125"/>
        <v>8854.92</v>
      </c>
      <c r="AP87" s="34">
        <f t="shared" si="126"/>
        <v>885.49</v>
      </c>
      <c r="AQ87" s="34">
        <f t="shared" si="127"/>
        <v>9740.41</v>
      </c>
      <c r="AR87" s="15"/>
      <c r="AS87" s="35">
        <f t="shared" si="128"/>
        <v>30</v>
      </c>
      <c r="AT87" s="34">
        <f t="shared" si="129"/>
        <v>11068.66</v>
      </c>
      <c r="AU87" s="34">
        <f t="shared" si="130"/>
        <v>1106.8699999999999</v>
      </c>
      <c r="AV87" s="34">
        <f t="shared" si="131"/>
        <v>12175.529999999999</v>
      </c>
      <c r="AW87" s="15"/>
      <c r="AX87" s="35">
        <f t="shared" si="132"/>
        <v>31</v>
      </c>
      <c r="AY87" s="34">
        <f t="shared" si="133"/>
        <v>11437.61</v>
      </c>
      <c r="AZ87" s="34">
        <f t="shared" si="134"/>
        <v>1143.76</v>
      </c>
      <c r="BA87" s="34">
        <f t="shared" si="135"/>
        <v>12581.37</v>
      </c>
      <c r="BB87" s="15"/>
      <c r="BC87" s="35">
        <f t="shared" si="136"/>
        <v>31</v>
      </c>
      <c r="BD87" s="34">
        <f t="shared" si="137"/>
        <v>11437.61</v>
      </c>
      <c r="BE87" s="34">
        <f t="shared" si="138"/>
        <v>1143.76</v>
      </c>
      <c r="BF87" s="34">
        <f t="shared" si="139"/>
        <v>12581.37</v>
      </c>
      <c r="BG87" s="15"/>
      <c r="BH87" s="35">
        <f t="shared" si="140"/>
        <v>30</v>
      </c>
      <c r="BI87" s="34">
        <f t="shared" si="141"/>
        <v>11068.66</v>
      </c>
      <c r="BJ87" s="34">
        <f t="shared" si="142"/>
        <v>1106.8699999999999</v>
      </c>
      <c r="BK87" s="34">
        <f t="shared" si="143"/>
        <v>12175.529999999999</v>
      </c>
      <c r="BL87" s="15"/>
      <c r="BM87" s="35">
        <f t="shared" si="144"/>
        <v>31</v>
      </c>
      <c r="BN87" s="34">
        <f t="shared" si="145"/>
        <v>11437.61</v>
      </c>
      <c r="BO87" s="34">
        <f t="shared" si="146"/>
        <v>1143.76</v>
      </c>
      <c r="BP87" s="34">
        <f t="shared" si="147"/>
        <v>12581.37</v>
      </c>
      <c r="BQ87" s="15"/>
      <c r="BR87" s="35">
        <f t="shared" si="148"/>
        <v>30</v>
      </c>
      <c r="BS87" s="34">
        <f t="shared" si="149"/>
        <v>11068.66</v>
      </c>
      <c r="BT87" s="34">
        <f t="shared" si="150"/>
        <v>1106.8699999999999</v>
      </c>
      <c r="BU87" s="34">
        <f t="shared" si="151"/>
        <v>12175.529999999999</v>
      </c>
      <c r="BV87" s="15"/>
      <c r="BW87" s="35">
        <f t="shared" si="152"/>
        <v>15</v>
      </c>
      <c r="BX87" s="34">
        <f t="shared" si="153"/>
        <v>5534.33</v>
      </c>
      <c r="BY87" s="34">
        <f t="shared" si="154"/>
        <v>553.42999999999995</v>
      </c>
      <c r="BZ87" s="34">
        <f t="shared" si="155"/>
        <v>6087.76</v>
      </c>
      <c r="CA87" s="35">
        <f t="shared" si="156"/>
        <v>222</v>
      </c>
      <c r="CB87" s="34">
        <f t="shared" si="157"/>
        <v>81908.060000000012</v>
      </c>
      <c r="CC87" s="34">
        <f t="shared" si="158"/>
        <v>8190.81</v>
      </c>
      <c r="CD87" s="34">
        <f t="shared" si="159"/>
        <v>90098.87000000001</v>
      </c>
      <c r="CE87" s="16">
        <f t="shared" si="160"/>
        <v>-0.01</v>
      </c>
      <c r="CF87" s="16">
        <f t="shared" si="161"/>
        <v>0</v>
      </c>
      <c r="CG87" s="31" t="s">
        <v>551</v>
      </c>
      <c r="CH87" s="31" t="s">
        <v>552</v>
      </c>
      <c r="CI87" s="31" t="s">
        <v>49</v>
      </c>
      <c r="CJ87" s="31" t="s">
        <v>553</v>
      </c>
      <c r="CK87" s="31" t="s">
        <v>552</v>
      </c>
      <c r="CL87" s="31" t="s">
        <v>554</v>
      </c>
      <c r="CM87" s="29">
        <v>46133</v>
      </c>
      <c r="CN87" s="28" t="s">
        <v>553</v>
      </c>
      <c r="CO87" s="28"/>
      <c r="CP87" s="28"/>
    </row>
    <row r="88" spans="1:94" ht="40.049999999999997" customHeight="1" x14ac:dyDescent="0.25">
      <c r="A88" s="62">
        <v>137</v>
      </c>
      <c r="B88" s="63">
        <v>102</v>
      </c>
      <c r="C88" s="1" t="s">
        <v>258</v>
      </c>
      <c r="D88" s="2" t="s">
        <v>258</v>
      </c>
      <c r="E88" s="2" t="s">
        <v>652</v>
      </c>
      <c r="F88" s="2" t="s">
        <v>653</v>
      </c>
      <c r="G88" s="2" t="s">
        <v>654</v>
      </c>
      <c r="H88" s="64">
        <v>13.86</v>
      </c>
      <c r="I88" s="1" t="s">
        <v>46</v>
      </c>
      <c r="J88" s="3">
        <v>918.53</v>
      </c>
      <c r="K88" s="1">
        <v>222</v>
      </c>
      <c r="L88" s="4">
        <v>94208</v>
      </c>
      <c r="M88" s="4">
        <v>9420</v>
      </c>
      <c r="N88" s="4">
        <v>103628</v>
      </c>
      <c r="O88" s="31" t="s">
        <v>655</v>
      </c>
      <c r="P88" s="31" t="s">
        <v>642</v>
      </c>
      <c r="Q88" s="35">
        <f t="shared" si="108"/>
        <v>222</v>
      </c>
      <c r="R88" s="14">
        <v>46213</v>
      </c>
      <c r="S88" s="14">
        <f t="shared" si="109"/>
        <v>46434</v>
      </c>
      <c r="T88" s="34">
        <v>89497.600000000006</v>
      </c>
      <c r="U88" s="34">
        <f t="shared" si="110"/>
        <v>8949.76</v>
      </c>
      <c r="V88" s="34">
        <f t="shared" si="111"/>
        <v>98447.360000000001</v>
      </c>
      <c r="W88" s="35">
        <v>173</v>
      </c>
      <c r="X88" s="14">
        <f t="shared" si="112"/>
        <v>46213</v>
      </c>
      <c r="Y88" s="14">
        <f t="shared" si="113"/>
        <v>46385</v>
      </c>
      <c r="Z88" s="34">
        <v>69743.399999999994</v>
      </c>
      <c r="AA88" s="34">
        <f t="shared" si="114"/>
        <v>6974.34</v>
      </c>
      <c r="AB88" s="34">
        <f t="shared" si="115"/>
        <v>76717.739999999991</v>
      </c>
      <c r="AC88" s="15"/>
      <c r="AD88" s="35">
        <f t="shared" si="116"/>
        <v>0</v>
      </c>
      <c r="AE88" s="34">
        <f t="shared" si="117"/>
        <v>0</v>
      </c>
      <c r="AF88" s="34">
        <f t="shared" si="118"/>
        <v>0</v>
      </c>
      <c r="AG88" s="34">
        <f t="shared" si="119"/>
        <v>0</v>
      </c>
      <c r="AH88" s="15"/>
      <c r="AI88" s="35">
        <f t="shared" si="120"/>
        <v>0</v>
      </c>
      <c r="AJ88" s="34">
        <f t="shared" si="121"/>
        <v>0</v>
      </c>
      <c r="AK88" s="34">
        <f t="shared" si="122"/>
        <v>0</v>
      </c>
      <c r="AL88" s="34">
        <f t="shared" si="123"/>
        <v>0</v>
      </c>
      <c r="AM88" s="15"/>
      <c r="AN88" s="35">
        <f t="shared" si="124"/>
        <v>0</v>
      </c>
      <c r="AO88" s="34">
        <f t="shared" si="125"/>
        <v>0</v>
      </c>
      <c r="AP88" s="34">
        <f t="shared" si="126"/>
        <v>0</v>
      </c>
      <c r="AQ88" s="34">
        <f t="shared" si="127"/>
        <v>0</v>
      </c>
      <c r="AR88" s="15"/>
      <c r="AS88" s="35">
        <f t="shared" si="128"/>
        <v>0</v>
      </c>
      <c r="AT88" s="34">
        <f t="shared" si="129"/>
        <v>0</v>
      </c>
      <c r="AU88" s="34">
        <f t="shared" si="130"/>
        <v>0</v>
      </c>
      <c r="AV88" s="34">
        <f t="shared" si="131"/>
        <v>0</v>
      </c>
      <c r="AW88" s="15"/>
      <c r="AX88" s="35">
        <f t="shared" si="132"/>
        <v>22</v>
      </c>
      <c r="AY88" s="34">
        <f t="shared" si="133"/>
        <v>8869.1</v>
      </c>
      <c r="AZ88" s="34">
        <f t="shared" si="134"/>
        <v>886.91</v>
      </c>
      <c r="BA88" s="34">
        <f t="shared" si="135"/>
        <v>9756.01</v>
      </c>
      <c r="BB88" s="15"/>
      <c r="BC88" s="35">
        <f t="shared" si="136"/>
        <v>31</v>
      </c>
      <c r="BD88" s="34">
        <f t="shared" si="137"/>
        <v>12497.37</v>
      </c>
      <c r="BE88" s="34">
        <f t="shared" si="138"/>
        <v>1249.74</v>
      </c>
      <c r="BF88" s="34">
        <f t="shared" si="139"/>
        <v>13747.11</v>
      </c>
      <c r="BG88" s="15"/>
      <c r="BH88" s="35">
        <f t="shared" si="140"/>
        <v>30</v>
      </c>
      <c r="BI88" s="34">
        <f t="shared" si="141"/>
        <v>12094.23</v>
      </c>
      <c r="BJ88" s="34">
        <f t="shared" si="142"/>
        <v>1209.42</v>
      </c>
      <c r="BK88" s="34">
        <f t="shared" si="143"/>
        <v>13303.65</v>
      </c>
      <c r="BL88" s="15"/>
      <c r="BM88" s="35">
        <f t="shared" si="144"/>
        <v>31</v>
      </c>
      <c r="BN88" s="34">
        <f t="shared" si="145"/>
        <v>12497.37</v>
      </c>
      <c r="BO88" s="34">
        <f t="shared" si="146"/>
        <v>1249.74</v>
      </c>
      <c r="BP88" s="34">
        <f t="shared" si="147"/>
        <v>13747.11</v>
      </c>
      <c r="BQ88" s="15"/>
      <c r="BR88" s="35">
        <f t="shared" si="148"/>
        <v>30</v>
      </c>
      <c r="BS88" s="34">
        <f t="shared" si="149"/>
        <v>12094.23</v>
      </c>
      <c r="BT88" s="34">
        <f t="shared" si="150"/>
        <v>1209.42</v>
      </c>
      <c r="BU88" s="34">
        <f t="shared" si="151"/>
        <v>13303.65</v>
      </c>
      <c r="BV88" s="15"/>
      <c r="BW88" s="35">
        <f t="shared" si="152"/>
        <v>29</v>
      </c>
      <c r="BX88" s="34">
        <f t="shared" si="153"/>
        <v>11691.09</v>
      </c>
      <c r="BY88" s="34">
        <f t="shared" si="154"/>
        <v>1169.1099999999999</v>
      </c>
      <c r="BZ88" s="34">
        <f t="shared" si="155"/>
        <v>12860.2</v>
      </c>
      <c r="CA88" s="35">
        <f t="shared" si="156"/>
        <v>173</v>
      </c>
      <c r="CB88" s="34">
        <f t="shared" si="157"/>
        <v>69743.39</v>
      </c>
      <c r="CC88" s="34">
        <f t="shared" si="158"/>
        <v>6974.34</v>
      </c>
      <c r="CD88" s="34">
        <f t="shared" si="159"/>
        <v>76717.73</v>
      </c>
      <c r="CE88" s="16">
        <f t="shared" si="160"/>
        <v>0.01</v>
      </c>
      <c r="CF88" s="16">
        <f t="shared" si="161"/>
        <v>0</v>
      </c>
      <c r="CG88" s="31" t="s">
        <v>551</v>
      </c>
      <c r="CH88" s="31" t="s">
        <v>552</v>
      </c>
      <c r="CI88" s="31" t="s">
        <v>49</v>
      </c>
      <c r="CJ88" s="31" t="s">
        <v>553</v>
      </c>
      <c r="CK88" s="31" t="s">
        <v>552</v>
      </c>
      <c r="CL88" s="31" t="s">
        <v>554</v>
      </c>
      <c r="CM88" s="29">
        <v>46133</v>
      </c>
      <c r="CN88" s="28" t="s">
        <v>553</v>
      </c>
      <c r="CO88" s="28"/>
      <c r="CP88" s="28"/>
    </row>
    <row r="89" spans="1:94" ht="40.049999999999997" customHeight="1" x14ac:dyDescent="0.25">
      <c r="A89" s="62">
        <v>138</v>
      </c>
      <c r="B89" s="63">
        <v>102</v>
      </c>
      <c r="C89" s="1" t="s">
        <v>258</v>
      </c>
      <c r="D89" s="2" t="s">
        <v>258</v>
      </c>
      <c r="E89" s="2" t="s">
        <v>652</v>
      </c>
      <c r="F89" s="2" t="s">
        <v>656</v>
      </c>
      <c r="G89" s="2" t="s">
        <v>657</v>
      </c>
      <c r="H89" s="64">
        <v>14.99</v>
      </c>
      <c r="I89" s="1" t="s">
        <v>46</v>
      </c>
      <c r="J89" s="3">
        <v>1098.08</v>
      </c>
      <c r="K89" s="1">
        <v>222</v>
      </c>
      <c r="L89" s="4">
        <v>121806</v>
      </c>
      <c r="M89" s="4">
        <v>12180</v>
      </c>
      <c r="N89" s="4">
        <v>133986</v>
      </c>
      <c r="O89" s="31" t="s">
        <v>658</v>
      </c>
      <c r="P89" s="31" t="s">
        <v>659</v>
      </c>
      <c r="Q89" s="35">
        <f t="shared" si="108"/>
        <v>222</v>
      </c>
      <c r="R89" s="14">
        <v>46150</v>
      </c>
      <c r="S89" s="14">
        <f t="shared" si="109"/>
        <v>46371</v>
      </c>
      <c r="T89" s="34">
        <v>115715.7</v>
      </c>
      <c r="U89" s="34">
        <f t="shared" si="110"/>
        <v>11571.57</v>
      </c>
      <c r="V89" s="34">
        <f t="shared" si="111"/>
        <v>127287.26999999999</v>
      </c>
      <c r="W89" s="35"/>
      <c r="X89" s="14">
        <f t="shared" si="112"/>
        <v>46150</v>
      </c>
      <c r="Y89" s="14" t="str">
        <f t="shared" si="113"/>
        <v/>
      </c>
      <c r="Z89" s="34"/>
      <c r="AA89" s="34">
        <f t="shared" si="114"/>
        <v>0</v>
      </c>
      <c r="AB89" s="34">
        <f t="shared" si="115"/>
        <v>0</v>
      </c>
      <c r="AC89" s="15"/>
      <c r="AD89" s="35">
        <f t="shared" si="116"/>
        <v>0</v>
      </c>
      <c r="AE89" s="34">
        <f t="shared" si="117"/>
        <v>0</v>
      </c>
      <c r="AF89" s="34">
        <f t="shared" si="118"/>
        <v>0</v>
      </c>
      <c r="AG89" s="34">
        <f t="shared" si="119"/>
        <v>0</v>
      </c>
      <c r="AH89" s="15"/>
      <c r="AI89" s="35">
        <f t="shared" si="120"/>
        <v>0</v>
      </c>
      <c r="AJ89" s="34">
        <f t="shared" si="121"/>
        <v>0</v>
      </c>
      <c r="AK89" s="34">
        <f t="shared" si="122"/>
        <v>0</v>
      </c>
      <c r="AL89" s="34">
        <f t="shared" si="123"/>
        <v>0</v>
      </c>
      <c r="AM89" s="15"/>
      <c r="AN89" s="35">
        <f t="shared" si="124"/>
        <v>24</v>
      </c>
      <c r="AO89" s="34">
        <f t="shared" si="125"/>
        <v>12509.81</v>
      </c>
      <c r="AP89" s="34">
        <f t="shared" si="126"/>
        <v>1250.98</v>
      </c>
      <c r="AQ89" s="34">
        <f t="shared" si="127"/>
        <v>13760.789999999999</v>
      </c>
      <c r="AR89" s="15"/>
      <c r="AS89" s="35">
        <f t="shared" si="128"/>
        <v>30</v>
      </c>
      <c r="AT89" s="34">
        <f t="shared" si="129"/>
        <v>15637.26</v>
      </c>
      <c r="AU89" s="34">
        <f t="shared" si="130"/>
        <v>1563.73</v>
      </c>
      <c r="AV89" s="34">
        <f t="shared" si="131"/>
        <v>17200.990000000002</v>
      </c>
      <c r="AW89" s="15"/>
      <c r="AX89" s="35">
        <f t="shared" si="132"/>
        <v>31</v>
      </c>
      <c r="AY89" s="34">
        <f t="shared" si="133"/>
        <v>16158.5</v>
      </c>
      <c r="AZ89" s="34">
        <f t="shared" si="134"/>
        <v>1615.85</v>
      </c>
      <c r="BA89" s="34">
        <f t="shared" si="135"/>
        <v>17774.349999999999</v>
      </c>
      <c r="BB89" s="15"/>
      <c r="BC89" s="35">
        <f t="shared" si="136"/>
        <v>31</v>
      </c>
      <c r="BD89" s="34">
        <f t="shared" si="137"/>
        <v>16158.5</v>
      </c>
      <c r="BE89" s="34">
        <f t="shared" si="138"/>
        <v>1615.85</v>
      </c>
      <c r="BF89" s="34">
        <f t="shared" si="139"/>
        <v>17774.349999999999</v>
      </c>
      <c r="BG89" s="15"/>
      <c r="BH89" s="35">
        <f t="shared" si="140"/>
        <v>30</v>
      </c>
      <c r="BI89" s="34">
        <f t="shared" si="141"/>
        <v>15637.26</v>
      </c>
      <c r="BJ89" s="34">
        <f t="shared" si="142"/>
        <v>1563.73</v>
      </c>
      <c r="BK89" s="34">
        <f t="shared" si="143"/>
        <v>17200.990000000002</v>
      </c>
      <c r="BL89" s="15"/>
      <c r="BM89" s="35">
        <f t="shared" si="144"/>
        <v>31</v>
      </c>
      <c r="BN89" s="34">
        <f t="shared" si="145"/>
        <v>16158.5</v>
      </c>
      <c r="BO89" s="34">
        <f t="shared" si="146"/>
        <v>1615.85</v>
      </c>
      <c r="BP89" s="34">
        <f t="shared" si="147"/>
        <v>17774.349999999999</v>
      </c>
      <c r="BQ89" s="15"/>
      <c r="BR89" s="35">
        <f t="shared" si="148"/>
        <v>30</v>
      </c>
      <c r="BS89" s="34">
        <f t="shared" si="149"/>
        <v>15637.26</v>
      </c>
      <c r="BT89" s="34">
        <f t="shared" si="150"/>
        <v>1563.73</v>
      </c>
      <c r="BU89" s="34">
        <f t="shared" si="151"/>
        <v>17200.990000000002</v>
      </c>
      <c r="BV89" s="15"/>
      <c r="BW89" s="35">
        <f t="shared" si="152"/>
        <v>15</v>
      </c>
      <c r="BX89" s="34">
        <f t="shared" si="153"/>
        <v>7818.63</v>
      </c>
      <c r="BY89" s="34">
        <f t="shared" si="154"/>
        <v>781.86</v>
      </c>
      <c r="BZ89" s="34">
        <f t="shared" si="155"/>
        <v>8600.49</v>
      </c>
      <c r="CA89" s="35">
        <f t="shared" si="156"/>
        <v>222</v>
      </c>
      <c r="CB89" s="34">
        <f t="shared" si="157"/>
        <v>115715.72</v>
      </c>
      <c r="CC89" s="34">
        <f t="shared" si="158"/>
        <v>11571.58</v>
      </c>
      <c r="CD89" s="34">
        <f t="shared" si="159"/>
        <v>127287.3</v>
      </c>
      <c r="CE89" s="16">
        <f t="shared" si="160"/>
        <v>-0.02</v>
      </c>
      <c r="CF89" s="16">
        <f t="shared" si="161"/>
        <v>-0.01</v>
      </c>
      <c r="CG89" s="31" t="s">
        <v>551</v>
      </c>
      <c r="CH89" s="31" t="s">
        <v>552</v>
      </c>
      <c r="CI89" s="31" t="s">
        <v>49</v>
      </c>
      <c r="CJ89" s="31" t="s">
        <v>553</v>
      </c>
      <c r="CK89" s="31" t="s">
        <v>552</v>
      </c>
      <c r="CL89" s="31" t="s">
        <v>554</v>
      </c>
      <c r="CM89" s="29">
        <v>46133</v>
      </c>
      <c r="CN89" s="28" t="s">
        <v>553</v>
      </c>
      <c r="CO89" s="28"/>
      <c r="CP89" s="28"/>
    </row>
    <row r="90" spans="1:94" ht="40.049999999999997" customHeight="1" x14ac:dyDescent="0.25">
      <c r="A90" s="62">
        <v>139</v>
      </c>
      <c r="B90" s="63">
        <v>102</v>
      </c>
      <c r="C90" s="1" t="s">
        <v>258</v>
      </c>
      <c r="D90" s="2" t="s">
        <v>258</v>
      </c>
      <c r="E90" s="2" t="s">
        <v>660</v>
      </c>
      <c r="F90" s="2" t="s">
        <v>661</v>
      </c>
      <c r="G90" s="2" t="s">
        <v>662</v>
      </c>
      <c r="H90" s="64">
        <v>22.15</v>
      </c>
      <c r="I90" s="1" t="s">
        <v>46</v>
      </c>
      <c r="J90" s="3">
        <v>1079.4000000000001</v>
      </c>
      <c r="K90" s="1">
        <v>222</v>
      </c>
      <c r="L90" s="4">
        <v>176924</v>
      </c>
      <c r="M90" s="4">
        <v>17692</v>
      </c>
      <c r="N90" s="4">
        <v>194616</v>
      </c>
      <c r="O90" s="31" t="s">
        <v>663</v>
      </c>
      <c r="P90" s="31" t="s">
        <v>664</v>
      </c>
      <c r="Q90" s="35">
        <f t="shared" si="108"/>
        <v>222</v>
      </c>
      <c r="R90" s="14">
        <v>46147</v>
      </c>
      <c r="S90" s="14">
        <f t="shared" si="109"/>
        <v>46368</v>
      </c>
      <c r="T90" s="34">
        <v>168077.8</v>
      </c>
      <c r="U90" s="34">
        <f t="shared" si="110"/>
        <v>16807.78</v>
      </c>
      <c r="V90" s="34">
        <f t="shared" si="111"/>
        <v>184885.58</v>
      </c>
      <c r="W90" s="35"/>
      <c r="X90" s="14">
        <f t="shared" si="112"/>
        <v>46147</v>
      </c>
      <c r="Y90" s="14" t="str">
        <f t="shared" si="113"/>
        <v/>
      </c>
      <c r="Z90" s="34"/>
      <c r="AA90" s="34">
        <f t="shared" si="114"/>
        <v>0</v>
      </c>
      <c r="AB90" s="34">
        <f t="shared" si="115"/>
        <v>0</v>
      </c>
      <c r="AC90" s="15"/>
      <c r="AD90" s="35">
        <f t="shared" si="116"/>
        <v>0</v>
      </c>
      <c r="AE90" s="34">
        <f t="shared" si="117"/>
        <v>0</v>
      </c>
      <c r="AF90" s="34">
        <f t="shared" si="118"/>
        <v>0</v>
      </c>
      <c r="AG90" s="34">
        <f t="shared" si="119"/>
        <v>0</v>
      </c>
      <c r="AH90" s="15"/>
      <c r="AI90" s="35">
        <f t="shared" si="120"/>
        <v>0</v>
      </c>
      <c r="AJ90" s="34">
        <f t="shared" si="121"/>
        <v>0</v>
      </c>
      <c r="AK90" s="34">
        <f t="shared" si="122"/>
        <v>0</v>
      </c>
      <c r="AL90" s="34">
        <f t="shared" si="123"/>
        <v>0</v>
      </c>
      <c r="AM90" s="15"/>
      <c r="AN90" s="35">
        <f t="shared" si="124"/>
        <v>27</v>
      </c>
      <c r="AO90" s="34">
        <f t="shared" si="125"/>
        <v>20441.89</v>
      </c>
      <c r="AP90" s="34">
        <f t="shared" si="126"/>
        <v>2044.19</v>
      </c>
      <c r="AQ90" s="34">
        <f t="shared" si="127"/>
        <v>22486.079999999998</v>
      </c>
      <c r="AR90" s="15"/>
      <c r="AS90" s="35">
        <f t="shared" si="128"/>
        <v>30</v>
      </c>
      <c r="AT90" s="34">
        <f t="shared" si="129"/>
        <v>22713.22</v>
      </c>
      <c r="AU90" s="34">
        <f t="shared" si="130"/>
        <v>2271.3200000000002</v>
      </c>
      <c r="AV90" s="34">
        <f t="shared" si="131"/>
        <v>24984.54</v>
      </c>
      <c r="AW90" s="15"/>
      <c r="AX90" s="35">
        <f t="shared" si="132"/>
        <v>31</v>
      </c>
      <c r="AY90" s="34">
        <f t="shared" si="133"/>
        <v>23470.32</v>
      </c>
      <c r="AZ90" s="34">
        <f t="shared" si="134"/>
        <v>2347.0300000000002</v>
      </c>
      <c r="BA90" s="34">
        <f t="shared" si="135"/>
        <v>25817.35</v>
      </c>
      <c r="BB90" s="15"/>
      <c r="BC90" s="35">
        <f t="shared" si="136"/>
        <v>31</v>
      </c>
      <c r="BD90" s="34">
        <f t="shared" si="137"/>
        <v>23470.32</v>
      </c>
      <c r="BE90" s="34">
        <f t="shared" si="138"/>
        <v>2347.0300000000002</v>
      </c>
      <c r="BF90" s="34">
        <f t="shared" si="139"/>
        <v>25817.35</v>
      </c>
      <c r="BG90" s="15"/>
      <c r="BH90" s="35">
        <f t="shared" si="140"/>
        <v>30</v>
      </c>
      <c r="BI90" s="34">
        <f t="shared" si="141"/>
        <v>22713.22</v>
      </c>
      <c r="BJ90" s="34">
        <f t="shared" si="142"/>
        <v>2271.3200000000002</v>
      </c>
      <c r="BK90" s="34">
        <f t="shared" si="143"/>
        <v>24984.54</v>
      </c>
      <c r="BL90" s="15"/>
      <c r="BM90" s="35">
        <f t="shared" si="144"/>
        <v>31</v>
      </c>
      <c r="BN90" s="34">
        <f t="shared" si="145"/>
        <v>23470.32</v>
      </c>
      <c r="BO90" s="34">
        <f t="shared" si="146"/>
        <v>2347.0300000000002</v>
      </c>
      <c r="BP90" s="34">
        <f t="shared" si="147"/>
        <v>25817.35</v>
      </c>
      <c r="BQ90" s="15"/>
      <c r="BR90" s="35">
        <f t="shared" si="148"/>
        <v>30</v>
      </c>
      <c r="BS90" s="34">
        <f t="shared" si="149"/>
        <v>22713.22</v>
      </c>
      <c r="BT90" s="34">
        <f t="shared" si="150"/>
        <v>2271.3200000000002</v>
      </c>
      <c r="BU90" s="34">
        <f t="shared" si="151"/>
        <v>24984.54</v>
      </c>
      <c r="BV90" s="15"/>
      <c r="BW90" s="35">
        <f t="shared" si="152"/>
        <v>12</v>
      </c>
      <c r="BX90" s="34">
        <f t="shared" si="153"/>
        <v>9085.2900000000009</v>
      </c>
      <c r="BY90" s="34">
        <f t="shared" si="154"/>
        <v>908.53</v>
      </c>
      <c r="BZ90" s="34">
        <f t="shared" si="155"/>
        <v>9993.8200000000015</v>
      </c>
      <c r="CA90" s="35">
        <f t="shared" si="156"/>
        <v>222</v>
      </c>
      <c r="CB90" s="34">
        <f t="shared" si="157"/>
        <v>168077.80000000002</v>
      </c>
      <c r="CC90" s="34">
        <f t="shared" si="158"/>
        <v>16807.77</v>
      </c>
      <c r="CD90" s="34">
        <f t="shared" si="159"/>
        <v>184885.57</v>
      </c>
      <c r="CE90" s="16">
        <f t="shared" si="160"/>
        <v>0</v>
      </c>
      <c r="CF90" s="16">
        <f t="shared" si="161"/>
        <v>0.01</v>
      </c>
      <c r="CG90" s="31" t="s">
        <v>551</v>
      </c>
      <c r="CH90" s="31" t="s">
        <v>552</v>
      </c>
      <c r="CI90" s="31" t="s">
        <v>49</v>
      </c>
      <c r="CJ90" s="31" t="s">
        <v>553</v>
      </c>
      <c r="CK90" s="31" t="s">
        <v>552</v>
      </c>
      <c r="CL90" s="31" t="s">
        <v>554</v>
      </c>
      <c r="CM90" s="29">
        <v>46133</v>
      </c>
      <c r="CN90" s="28" t="s">
        <v>553</v>
      </c>
      <c r="CO90" s="28"/>
      <c r="CP90" s="28"/>
    </row>
    <row r="91" spans="1:94" ht="40.049999999999997" customHeight="1" thickBot="1" x14ac:dyDescent="0.3">
      <c r="A91" s="65">
        <v>140</v>
      </c>
      <c r="B91" s="66">
        <v>102</v>
      </c>
      <c r="C91" s="46" t="s">
        <v>258</v>
      </c>
      <c r="D91" s="47" t="s">
        <v>258</v>
      </c>
      <c r="E91" s="47" t="s">
        <v>665</v>
      </c>
      <c r="F91" s="47" t="s">
        <v>666</v>
      </c>
      <c r="G91" s="47" t="s">
        <v>667</v>
      </c>
      <c r="H91" s="67">
        <v>14.56</v>
      </c>
      <c r="I91" s="46" t="s">
        <v>46</v>
      </c>
      <c r="J91" s="48">
        <v>1009.9</v>
      </c>
      <c r="K91" s="46">
        <v>222</v>
      </c>
      <c r="L91" s="49">
        <v>108811</v>
      </c>
      <c r="M91" s="49">
        <v>10881</v>
      </c>
      <c r="N91" s="49">
        <v>119692</v>
      </c>
      <c r="O91" s="53" t="s">
        <v>668</v>
      </c>
      <c r="P91" s="53" t="s">
        <v>558</v>
      </c>
      <c r="Q91" s="60">
        <f t="shared" si="108"/>
        <v>222</v>
      </c>
      <c r="R91" s="50">
        <v>46149</v>
      </c>
      <c r="S91" s="50">
        <f t="shared" si="109"/>
        <v>46370</v>
      </c>
      <c r="T91" s="58">
        <v>103370.45</v>
      </c>
      <c r="U91" s="58">
        <f t="shared" si="110"/>
        <v>10337.049999999999</v>
      </c>
      <c r="V91" s="58">
        <f t="shared" si="111"/>
        <v>113707.5</v>
      </c>
      <c r="W91" s="60"/>
      <c r="X91" s="50">
        <f t="shared" si="112"/>
        <v>46149</v>
      </c>
      <c r="Y91" s="50" t="str">
        <f t="shared" si="113"/>
        <v/>
      </c>
      <c r="Z91" s="58"/>
      <c r="AA91" s="58">
        <f t="shared" si="114"/>
        <v>0</v>
      </c>
      <c r="AB91" s="58">
        <f t="shared" si="115"/>
        <v>0</v>
      </c>
      <c r="AC91" s="51"/>
      <c r="AD91" s="60">
        <f t="shared" si="116"/>
        <v>0</v>
      </c>
      <c r="AE91" s="58">
        <f t="shared" si="117"/>
        <v>0</v>
      </c>
      <c r="AF91" s="58">
        <f t="shared" si="118"/>
        <v>0</v>
      </c>
      <c r="AG91" s="58">
        <f t="shared" si="119"/>
        <v>0</v>
      </c>
      <c r="AH91" s="51"/>
      <c r="AI91" s="60">
        <f t="shared" si="120"/>
        <v>0</v>
      </c>
      <c r="AJ91" s="58">
        <f t="shared" si="121"/>
        <v>0</v>
      </c>
      <c r="AK91" s="58">
        <f t="shared" si="122"/>
        <v>0</v>
      </c>
      <c r="AL91" s="58">
        <f t="shared" si="123"/>
        <v>0</v>
      </c>
      <c r="AM91" s="51"/>
      <c r="AN91" s="60">
        <f t="shared" si="124"/>
        <v>25</v>
      </c>
      <c r="AO91" s="58">
        <f t="shared" si="125"/>
        <v>11640.82</v>
      </c>
      <c r="AP91" s="58">
        <f t="shared" si="126"/>
        <v>1164.08</v>
      </c>
      <c r="AQ91" s="58">
        <f t="shared" si="127"/>
        <v>12804.9</v>
      </c>
      <c r="AR91" s="51"/>
      <c r="AS91" s="60">
        <f t="shared" si="128"/>
        <v>30</v>
      </c>
      <c r="AT91" s="58">
        <f t="shared" si="129"/>
        <v>13968.98</v>
      </c>
      <c r="AU91" s="58">
        <f t="shared" si="130"/>
        <v>1396.9</v>
      </c>
      <c r="AV91" s="58">
        <f t="shared" si="131"/>
        <v>15365.88</v>
      </c>
      <c r="AW91" s="51"/>
      <c r="AX91" s="60">
        <f t="shared" si="132"/>
        <v>31</v>
      </c>
      <c r="AY91" s="58">
        <f t="shared" si="133"/>
        <v>14434.61</v>
      </c>
      <c r="AZ91" s="58">
        <f t="shared" si="134"/>
        <v>1443.46</v>
      </c>
      <c r="BA91" s="58">
        <f t="shared" si="135"/>
        <v>15878.07</v>
      </c>
      <c r="BB91" s="51"/>
      <c r="BC91" s="60">
        <f t="shared" si="136"/>
        <v>31</v>
      </c>
      <c r="BD91" s="58">
        <f t="shared" si="137"/>
        <v>14434.61</v>
      </c>
      <c r="BE91" s="58">
        <f t="shared" si="138"/>
        <v>1443.46</v>
      </c>
      <c r="BF91" s="58">
        <f t="shared" si="139"/>
        <v>15878.07</v>
      </c>
      <c r="BG91" s="51"/>
      <c r="BH91" s="60">
        <f t="shared" si="140"/>
        <v>30</v>
      </c>
      <c r="BI91" s="58">
        <f t="shared" si="141"/>
        <v>13968.98</v>
      </c>
      <c r="BJ91" s="58">
        <f t="shared" si="142"/>
        <v>1396.9</v>
      </c>
      <c r="BK91" s="58">
        <f t="shared" si="143"/>
        <v>15365.88</v>
      </c>
      <c r="BL91" s="51"/>
      <c r="BM91" s="60">
        <f t="shared" si="144"/>
        <v>31</v>
      </c>
      <c r="BN91" s="58">
        <f t="shared" si="145"/>
        <v>14434.61</v>
      </c>
      <c r="BO91" s="58">
        <f t="shared" si="146"/>
        <v>1443.46</v>
      </c>
      <c r="BP91" s="58">
        <f t="shared" si="147"/>
        <v>15878.07</v>
      </c>
      <c r="BQ91" s="51"/>
      <c r="BR91" s="60">
        <f t="shared" si="148"/>
        <v>30</v>
      </c>
      <c r="BS91" s="58">
        <f t="shared" si="149"/>
        <v>13968.98</v>
      </c>
      <c r="BT91" s="58">
        <f t="shared" si="150"/>
        <v>1396.9</v>
      </c>
      <c r="BU91" s="58">
        <f t="shared" si="151"/>
        <v>15365.88</v>
      </c>
      <c r="BV91" s="51"/>
      <c r="BW91" s="60">
        <f t="shared" si="152"/>
        <v>14</v>
      </c>
      <c r="BX91" s="58">
        <f t="shared" si="153"/>
        <v>6518.86</v>
      </c>
      <c r="BY91" s="58">
        <f t="shared" si="154"/>
        <v>651.89</v>
      </c>
      <c r="BZ91" s="58">
        <f t="shared" si="155"/>
        <v>7170.75</v>
      </c>
      <c r="CA91" s="60">
        <f t="shared" si="156"/>
        <v>222</v>
      </c>
      <c r="CB91" s="58">
        <f t="shared" si="157"/>
        <v>103370.45</v>
      </c>
      <c r="CC91" s="58">
        <f t="shared" si="158"/>
        <v>10337.049999999997</v>
      </c>
      <c r="CD91" s="58">
        <f t="shared" si="159"/>
        <v>113707.5</v>
      </c>
      <c r="CE91" s="52">
        <f t="shared" si="160"/>
        <v>0</v>
      </c>
      <c r="CF91" s="52">
        <f t="shared" si="161"/>
        <v>0</v>
      </c>
      <c r="CG91" s="53" t="s">
        <v>551</v>
      </c>
      <c r="CH91" s="53" t="s">
        <v>552</v>
      </c>
      <c r="CI91" s="53" t="s">
        <v>49</v>
      </c>
      <c r="CJ91" s="53" t="s">
        <v>553</v>
      </c>
      <c r="CK91" s="53" t="s">
        <v>552</v>
      </c>
      <c r="CL91" s="53" t="s">
        <v>554</v>
      </c>
      <c r="CM91" s="54">
        <v>46133</v>
      </c>
      <c r="CN91" s="55" t="s">
        <v>553</v>
      </c>
      <c r="CO91" s="55"/>
      <c r="CP91" s="55"/>
    </row>
    <row r="92" spans="1:94" ht="40.049999999999997" customHeight="1" thickTop="1" x14ac:dyDescent="0.25">
      <c r="A92" s="68">
        <v>141</v>
      </c>
      <c r="B92" s="69">
        <v>175</v>
      </c>
      <c r="C92" s="36" t="s">
        <v>258</v>
      </c>
      <c r="D92" s="37" t="s">
        <v>669</v>
      </c>
      <c r="E92" s="37" t="s">
        <v>670</v>
      </c>
      <c r="F92" s="37" t="s">
        <v>671</v>
      </c>
      <c r="G92" s="37" t="s">
        <v>672</v>
      </c>
      <c r="H92" s="70">
        <v>23.821999999999999</v>
      </c>
      <c r="I92" s="36" t="s">
        <v>46</v>
      </c>
      <c r="J92" s="38">
        <v>866.26</v>
      </c>
      <c r="K92" s="36">
        <v>195</v>
      </c>
      <c r="L92" s="39">
        <v>134134</v>
      </c>
      <c r="M92" s="39">
        <v>13413</v>
      </c>
      <c r="N92" s="39">
        <v>147547</v>
      </c>
      <c r="O92" s="43" t="s">
        <v>673</v>
      </c>
      <c r="P92" s="43" t="s">
        <v>674</v>
      </c>
      <c r="Q92" s="61">
        <f t="shared" si="108"/>
        <v>195</v>
      </c>
      <c r="R92" s="40">
        <v>46167</v>
      </c>
      <c r="S92" s="40">
        <f t="shared" si="109"/>
        <v>46361</v>
      </c>
      <c r="T92" s="56">
        <v>134134</v>
      </c>
      <c r="U92" s="56">
        <f t="shared" si="110"/>
        <v>13413.4</v>
      </c>
      <c r="V92" s="56">
        <f t="shared" si="111"/>
        <v>147547.4</v>
      </c>
      <c r="W92" s="61"/>
      <c r="X92" s="40">
        <f t="shared" si="112"/>
        <v>46167</v>
      </c>
      <c r="Y92" s="40" t="str">
        <f t="shared" si="113"/>
        <v/>
      </c>
      <c r="Z92" s="56"/>
      <c r="AA92" s="56">
        <f t="shared" si="114"/>
        <v>0</v>
      </c>
      <c r="AB92" s="56">
        <f t="shared" si="115"/>
        <v>0</v>
      </c>
      <c r="AC92" s="41"/>
      <c r="AD92" s="61">
        <f t="shared" si="116"/>
        <v>0</v>
      </c>
      <c r="AE92" s="56">
        <f t="shared" si="117"/>
        <v>0</v>
      </c>
      <c r="AF92" s="56">
        <f t="shared" si="118"/>
        <v>0</v>
      </c>
      <c r="AG92" s="56">
        <f t="shared" si="119"/>
        <v>0</v>
      </c>
      <c r="AH92" s="41"/>
      <c r="AI92" s="61">
        <f t="shared" si="120"/>
        <v>0</v>
      </c>
      <c r="AJ92" s="56">
        <f t="shared" si="121"/>
        <v>0</v>
      </c>
      <c r="AK92" s="56">
        <f t="shared" si="122"/>
        <v>0</v>
      </c>
      <c r="AL92" s="56">
        <f t="shared" si="123"/>
        <v>0</v>
      </c>
      <c r="AM92" s="41"/>
      <c r="AN92" s="61">
        <f t="shared" si="124"/>
        <v>7</v>
      </c>
      <c r="AO92" s="56">
        <f t="shared" si="125"/>
        <v>4815.07</v>
      </c>
      <c r="AP92" s="56">
        <f t="shared" si="126"/>
        <v>481.51</v>
      </c>
      <c r="AQ92" s="56">
        <f t="shared" si="127"/>
        <v>5296.58</v>
      </c>
      <c r="AR92" s="41"/>
      <c r="AS92" s="61">
        <f t="shared" si="128"/>
        <v>30</v>
      </c>
      <c r="AT92" s="56">
        <f t="shared" si="129"/>
        <v>20636</v>
      </c>
      <c r="AU92" s="56">
        <f t="shared" si="130"/>
        <v>2063.6</v>
      </c>
      <c r="AV92" s="56">
        <f t="shared" si="131"/>
        <v>22699.599999999999</v>
      </c>
      <c r="AW92" s="41"/>
      <c r="AX92" s="61">
        <f t="shared" si="132"/>
        <v>31</v>
      </c>
      <c r="AY92" s="56">
        <f t="shared" si="133"/>
        <v>21323.87</v>
      </c>
      <c r="AZ92" s="56">
        <f t="shared" si="134"/>
        <v>2132.39</v>
      </c>
      <c r="BA92" s="56">
        <f t="shared" si="135"/>
        <v>23456.26</v>
      </c>
      <c r="BB92" s="41"/>
      <c r="BC92" s="61">
        <f t="shared" si="136"/>
        <v>31</v>
      </c>
      <c r="BD92" s="56">
        <f t="shared" si="137"/>
        <v>21323.87</v>
      </c>
      <c r="BE92" s="56">
        <f t="shared" si="138"/>
        <v>2132.39</v>
      </c>
      <c r="BF92" s="56">
        <f t="shared" si="139"/>
        <v>23456.26</v>
      </c>
      <c r="BG92" s="41"/>
      <c r="BH92" s="61">
        <f t="shared" si="140"/>
        <v>30</v>
      </c>
      <c r="BI92" s="56">
        <f t="shared" si="141"/>
        <v>20636</v>
      </c>
      <c r="BJ92" s="56">
        <f t="shared" si="142"/>
        <v>2063.6</v>
      </c>
      <c r="BK92" s="56">
        <f t="shared" si="143"/>
        <v>22699.599999999999</v>
      </c>
      <c r="BL92" s="41"/>
      <c r="BM92" s="61">
        <f t="shared" si="144"/>
        <v>31</v>
      </c>
      <c r="BN92" s="56">
        <f t="shared" si="145"/>
        <v>21323.87</v>
      </c>
      <c r="BO92" s="56">
        <f t="shared" si="146"/>
        <v>2132.39</v>
      </c>
      <c r="BP92" s="56">
        <f t="shared" si="147"/>
        <v>23456.26</v>
      </c>
      <c r="BQ92" s="41"/>
      <c r="BR92" s="61">
        <f t="shared" si="148"/>
        <v>30</v>
      </c>
      <c r="BS92" s="56">
        <f t="shared" si="149"/>
        <v>20636</v>
      </c>
      <c r="BT92" s="56">
        <f t="shared" si="150"/>
        <v>2063.6</v>
      </c>
      <c r="BU92" s="56">
        <f t="shared" si="151"/>
        <v>22699.599999999999</v>
      </c>
      <c r="BV92" s="41"/>
      <c r="BW92" s="61">
        <f t="shared" si="152"/>
        <v>5</v>
      </c>
      <c r="BX92" s="56">
        <f t="shared" si="153"/>
        <v>3439.33</v>
      </c>
      <c r="BY92" s="56">
        <f t="shared" si="154"/>
        <v>343.93</v>
      </c>
      <c r="BZ92" s="56">
        <f t="shared" si="155"/>
        <v>3783.2599999999998</v>
      </c>
      <c r="CA92" s="61">
        <f t="shared" si="156"/>
        <v>195</v>
      </c>
      <c r="CB92" s="56">
        <f t="shared" si="157"/>
        <v>134134.00999999998</v>
      </c>
      <c r="CC92" s="56">
        <f t="shared" si="158"/>
        <v>13413.41</v>
      </c>
      <c r="CD92" s="56">
        <f t="shared" si="159"/>
        <v>147547.41999999998</v>
      </c>
      <c r="CE92" s="42">
        <f t="shared" si="160"/>
        <v>-0.01</v>
      </c>
      <c r="CF92" s="42">
        <f t="shared" si="161"/>
        <v>-0.01</v>
      </c>
      <c r="CG92" s="43" t="s">
        <v>675</v>
      </c>
      <c r="CH92" s="43" t="s">
        <v>676</v>
      </c>
      <c r="CI92" s="43" t="s">
        <v>49</v>
      </c>
      <c r="CJ92" s="43" t="s">
        <v>677</v>
      </c>
      <c r="CK92" s="43" t="s">
        <v>676</v>
      </c>
      <c r="CL92" s="43" t="s">
        <v>678</v>
      </c>
      <c r="CM92" s="44">
        <v>46164</v>
      </c>
      <c r="CN92" s="45" t="s">
        <v>677</v>
      </c>
      <c r="CO92" s="45"/>
      <c r="CP92" s="45"/>
    </row>
    <row r="93" spans="1:94" ht="40.049999999999997" customHeight="1" x14ac:dyDescent="0.25">
      <c r="A93" s="62">
        <v>142</v>
      </c>
      <c r="B93" s="63">
        <v>175</v>
      </c>
      <c r="C93" s="1" t="s">
        <v>258</v>
      </c>
      <c r="D93" s="2" t="s">
        <v>679</v>
      </c>
      <c r="E93" s="2" t="s">
        <v>670</v>
      </c>
      <c r="F93" s="2" t="s">
        <v>680</v>
      </c>
      <c r="G93" s="2" t="s">
        <v>681</v>
      </c>
      <c r="H93" s="64">
        <v>14.186</v>
      </c>
      <c r="I93" s="1" t="s">
        <v>46</v>
      </c>
      <c r="J93" s="3">
        <v>976.75</v>
      </c>
      <c r="K93" s="1">
        <v>203</v>
      </c>
      <c r="L93" s="4">
        <v>93760</v>
      </c>
      <c r="M93" s="4">
        <v>9376</v>
      </c>
      <c r="N93" s="4">
        <v>103136</v>
      </c>
      <c r="O93" s="31" t="s">
        <v>682</v>
      </c>
      <c r="P93" s="31" t="s">
        <v>683</v>
      </c>
      <c r="Q93" s="35">
        <f t="shared" si="108"/>
        <v>203</v>
      </c>
      <c r="R93" s="14">
        <v>46167</v>
      </c>
      <c r="S93" s="14">
        <f t="shared" si="109"/>
        <v>46369</v>
      </c>
      <c r="T93" s="34">
        <v>93760</v>
      </c>
      <c r="U93" s="34">
        <f t="shared" si="110"/>
        <v>9376</v>
      </c>
      <c r="V93" s="34">
        <f t="shared" si="111"/>
        <v>103136</v>
      </c>
      <c r="W93" s="35"/>
      <c r="X93" s="14">
        <f t="shared" si="112"/>
        <v>46167</v>
      </c>
      <c r="Y93" s="14" t="str">
        <f t="shared" si="113"/>
        <v/>
      </c>
      <c r="Z93" s="34"/>
      <c r="AA93" s="34">
        <f t="shared" si="114"/>
        <v>0</v>
      </c>
      <c r="AB93" s="34">
        <f t="shared" si="115"/>
        <v>0</v>
      </c>
      <c r="AC93" s="15"/>
      <c r="AD93" s="35">
        <f t="shared" si="116"/>
        <v>0</v>
      </c>
      <c r="AE93" s="34">
        <f t="shared" si="117"/>
        <v>0</v>
      </c>
      <c r="AF93" s="34">
        <f t="shared" si="118"/>
        <v>0</v>
      </c>
      <c r="AG93" s="34">
        <f t="shared" si="119"/>
        <v>0</v>
      </c>
      <c r="AH93" s="15"/>
      <c r="AI93" s="35">
        <f t="shared" si="120"/>
        <v>0</v>
      </c>
      <c r="AJ93" s="34">
        <f t="shared" si="121"/>
        <v>0</v>
      </c>
      <c r="AK93" s="34">
        <f t="shared" si="122"/>
        <v>0</v>
      </c>
      <c r="AL93" s="34">
        <f t="shared" si="123"/>
        <v>0</v>
      </c>
      <c r="AM93" s="15"/>
      <c r="AN93" s="35">
        <f t="shared" si="124"/>
        <v>7</v>
      </c>
      <c r="AO93" s="34">
        <f t="shared" si="125"/>
        <v>3233.1</v>
      </c>
      <c r="AP93" s="34">
        <f t="shared" si="126"/>
        <v>323.31</v>
      </c>
      <c r="AQ93" s="34">
        <f t="shared" si="127"/>
        <v>3556.41</v>
      </c>
      <c r="AR93" s="15"/>
      <c r="AS93" s="35">
        <f t="shared" si="128"/>
        <v>30</v>
      </c>
      <c r="AT93" s="34">
        <f t="shared" si="129"/>
        <v>13856.16</v>
      </c>
      <c r="AU93" s="34">
        <f t="shared" si="130"/>
        <v>1385.62</v>
      </c>
      <c r="AV93" s="34">
        <f t="shared" si="131"/>
        <v>15241.779999999999</v>
      </c>
      <c r="AW93" s="15"/>
      <c r="AX93" s="35">
        <f t="shared" si="132"/>
        <v>31</v>
      </c>
      <c r="AY93" s="34">
        <f t="shared" si="133"/>
        <v>14318.03</v>
      </c>
      <c r="AZ93" s="34">
        <f t="shared" si="134"/>
        <v>1431.8</v>
      </c>
      <c r="BA93" s="34">
        <f t="shared" si="135"/>
        <v>15749.83</v>
      </c>
      <c r="BB93" s="15"/>
      <c r="BC93" s="35">
        <f t="shared" si="136"/>
        <v>31</v>
      </c>
      <c r="BD93" s="34">
        <f t="shared" si="137"/>
        <v>14318.03</v>
      </c>
      <c r="BE93" s="34">
        <f t="shared" si="138"/>
        <v>1431.8</v>
      </c>
      <c r="BF93" s="34">
        <f t="shared" si="139"/>
        <v>15749.83</v>
      </c>
      <c r="BG93" s="15"/>
      <c r="BH93" s="35">
        <f t="shared" si="140"/>
        <v>30</v>
      </c>
      <c r="BI93" s="34">
        <f t="shared" si="141"/>
        <v>13856.16</v>
      </c>
      <c r="BJ93" s="34">
        <f t="shared" si="142"/>
        <v>1385.62</v>
      </c>
      <c r="BK93" s="34">
        <f t="shared" si="143"/>
        <v>15241.779999999999</v>
      </c>
      <c r="BL93" s="15"/>
      <c r="BM93" s="35">
        <f t="shared" si="144"/>
        <v>31</v>
      </c>
      <c r="BN93" s="34">
        <f t="shared" si="145"/>
        <v>14318.03</v>
      </c>
      <c r="BO93" s="34">
        <f t="shared" si="146"/>
        <v>1431.8</v>
      </c>
      <c r="BP93" s="34">
        <f t="shared" si="147"/>
        <v>15749.83</v>
      </c>
      <c r="BQ93" s="15"/>
      <c r="BR93" s="35">
        <f t="shared" si="148"/>
        <v>30</v>
      </c>
      <c r="BS93" s="34">
        <f t="shared" si="149"/>
        <v>13856.16</v>
      </c>
      <c r="BT93" s="34">
        <f t="shared" si="150"/>
        <v>1385.62</v>
      </c>
      <c r="BU93" s="34">
        <f t="shared" si="151"/>
        <v>15241.779999999999</v>
      </c>
      <c r="BV93" s="15"/>
      <c r="BW93" s="35">
        <f t="shared" si="152"/>
        <v>13</v>
      </c>
      <c r="BX93" s="34">
        <f t="shared" si="153"/>
        <v>6004.33</v>
      </c>
      <c r="BY93" s="34">
        <f t="shared" si="154"/>
        <v>600.42999999999995</v>
      </c>
      <c r="BZ93" s="34">
        <f t="shared" si="155"/>
        <v>6604.76</v>
      </c>
      <c r="CA93" s="35">
        <f t="shared" si="156"/>
        <v>203</v>
      </c>
      <c r="CB93" s="34">
        <f t="shared" si="157"/>
        <v>93760</v>
      </c>
      <c r="CC93" s="34">
        <f t="shared" si="158"/>
        <v>9376</v>
      </c>
      <c r="CD93" s="34">
        <f t="shared" si="159"/>
        <v>103136</v>
      </c>
      <c r="CE93" s="16">
        <f t="shared" si="160"/>
        <v>0</v>
      </c>
      <c r="CF93" s="16">
        <f t="shared" si="161"/>
        <v>0</v>
      </c>
      <c r="CG93" s="31" t="s">
        <v>675</v>
      </c>
      <c r="CH93" s="31" t="s">
        <v>676</v>
      </c>
      <c r="CI93" s="31" t="s">
        <v>49</v>
      </c>
      <c r="CJ93" s="31" t="s">
        <v>677</v>
      </c>
      <c r="CK93" s="31" t="s">
        <v>676</v>
      </c>
      <c r="CL93" s="31" t="s">
        <v>678</v>
      </c>
      <c r="CM93" s="29">
        <v>46164</v>
      </c>
      <c r="CN93" s="28" t="s">
        <v>677</v>
      </c>
      <c r="CO93" s="28"/>
      <c r="CP93" s="28"/>
    </row>
    <row r="94" spans="1:94" ht="40.049999999999997" customHeight="1" x14ac:dyDescent="0.25">
      <c r="A94" s="62">
        <v>143</v>
      </c>
      <c r="B94" s="63">
        <v>175</v>
      </c>
      <c r="C94" s="1" t="s">
        <v>258</v>
      </c>
      <c r="D94" s="2" t="s">
        <v>679</v>
      </c>
      <c r="E94" s="2" t="s">
        <v>684</v>
      </c>
      <c r="F94" s="2" t="s">
        <v>685</v>
      </c>
      <c r="G94" s="2" t="s">
        <v>686</v>
      </c>
      <c r="H94" s="64">
        <v>31.667999999999999</v>
      </c>
      <c r="I94" s="1" t="s">
        <v>46</v>
      </c>
      <c r="J94" s="3">
        <v>845.82</v>
      </c>
      <c r="K94" s="1">
        <v>195</v>
      </c>
      <c r="L94" s="4">
        <v>174105</v>
      </c>
      <c r="M94" s="4">
        <v>17411</v>
      </c>
      <c r="N94" s="4">
        <v>191516</v>
      </c>
      <c r="O94" s="31" t="s">
        <v>687</v>
      </c>
      <c r="P94" s="31" t="s">
        <v>688</v>
      </c>
      <c r="Q94" s="35">
        <f t="shared" si="108"/>
        <v>195</v>
      </c>
      <c r="R94" s="14">
        <v>46167</v>
      </c>
      <c r="S94" s="14">
        <f t="shared" si="109"/>
        <v>46361</v>
      </c>
      <c r="T94" s="34">
        <v>174105</v>
      </c>
      <c r="U94" s="34">
        <f t="shared" si="110"/>
        <v>17410.5</v>
      </c>
      <c r="V94" s="34">
        <f t="shared" si="111"/>
        <v>191515.5</v>
      </c>
      <c r="W94" s="35"/>
      <c r="X94" s="14">
        <f t="shared" si="112"/>
        <v>46167</v>
      </c>
      <c r="Y94" s="14" t="str">
        <f t="shared" si="113"/>
        <v/>
      </c>
      <c r="Z94" s="34"/>
      <c r="AA94" s="34">
        <f t="shared" si="114"/>
        <v>0</v>
      </c>
      <c r="AB94" s="34">
        <f t="shared" si="115"/>
        <v>0</v>
      </c>
      <c r="AC94" s="15"/>
      <c r="AD94" s="35">
        <f t="shared" si="116"/>
        <v>0</v>
      </c>
      <c r="AE94" s="34">
        <f t="shared" si="117"/>
        <v>0</v>
      </c>
      <c r="AF94" s="34">
        <f t="shared" si="118"/>
        <v>0</v>
      </c>
      <c r="AG94" s="34">
        <f t="shared" si="119"/>
        <v>0</v>
      </c>
      <c r="AH94" s="15"/>
      <c r="AI94" s="35">
        <f t="shared" si="120"/>
        <v>0</v>
      </c>
      <c r="AJ94" s="34">
        <f t="shared" si="121"/>
        <v>0</v>
      </c>
      <c r="AK94" s="34">
        <f t="shared" si="122"/>
        <v>0</v>
      </c>
      <c r="AL94" s="34">
        <f t="shared" si="123"/>
        <v>0</v>
      </c>
      <c r="AM94" s="15"/>
      <c r="AN94" s="35">
        <f t="shared" si="124"/>
        <v>7</v>
      </c>
      <c r="AO94" s="34">
        <f t="shared" si="125"/>
        <v>6249.92</v>
      </c>
      <c r="AP94" s="34">
        <f t="shared" si="126"/>
        <v>624.99</v>
      </c>
      <c r="AQ94" s="34">
        <f t="shared" si="127"/>
        <v>6874.91</v>
      </c>
      <c r="AR94" s="15"/>
      <c r="AS94" s="35">
        <f t="shared" si="128"/>
        <v>30</v>
      </c>
      <c r="AT94" s="34">
        <f t="shared" si="129"/>
        <v>26785.38</v>
      </c>
      <c r="AU94" s="34">
        <f t="shared" si="130"/>
        <v>2678.54</v>
      </c>
      <c r="AV94" s="34">
        <f t="shared" si="131"/>
        <v>29463.920000000002</v>
      </c>
      <c r="AW94" s="15"/>
      <c r="AX94" s="35">
        <f t="shared" si="132"/>
        <v>31</v>
      </c>
      <c r="AY94" s="34">
        <f t="shared" si="133"/>
        <v>27678.23</v>
      </c>
      <c r="AZ94" s="34">
        <f t="shared" si="134"/>
        <v>2767.82</v>
      </c>
      <c r="BA94" s="34">
        <f t="shared" si="135"/>
        <v>30446.05</v>
      </c>
      <c r="BB94" s="15"/>
      <c r="BC94" s="35">
        <f t="shared" si="136"/>
        <v>31</v>
      </c>
      <c r="BD94" s="34">
        <f t="shared" si="137"/>
        <v>27678.23</v>
      </c>
      <c r="BE94" s="34">
        <f t="shared" si="138"/>
        <v>2767.82</v>
      </c>
      <c r="BF94" s="34">
        <f t="shared" si="139"/>
        <v>30446.05</v>
      </c>
      <c r="BG94" s="15"/>
      <c r="BH94" s="35">
        <f t="shared" si="140"/>
        <v>30</v>
      </c>
      <c r="BI94" s="34">
        <f t="shared" si="141"/>
        <v>26785.38</v>
      </c>
      <c r="BJ94" s="34">
        <f t="shared" si="142"/>
        <v>2678.54</v>
      </c>
      <c r="BK94" s="34">
        <f t="shared" si="143"/>
        <v>29463.920000000002</v>
      </c>
      <c r="BL94" s="15"/>
      <c r="BM94" s="35">
        <f t="shared" si="144"/>
        <v>31</v>
      </c>
      <c r="BN94" s="34">
        <f t="shared" si="145"/>
        <v>27678.23</v>
      </c>
      <c r="BO94" s="34">
        <f t="shared" si="146"/>
        <v>2767.82</v>
      </c>
      <c r="BP94" s="34">
        <f t="shared" si="147"/>
        <v>30446.05</v>
      </c>
      <c r="BQ94" s="15"/>
      <c r="BR94" s="35">
        <f t="shared" si="148"/>
        <v>30</v>
      </c>
      <c r="BS94" s="34">
        <f t="shared" si="149"/>
        <v>26785.38</v>
      </c>
      <c r="BT94" s="34">
        <f t="shared" si="150"/>
        <v>2678.54</v>
      </c>
      <c r="BU94" s="34">
        <f t="shared" si="151"/>
        <v>29463.920000000002</v>
      </c>
      <c r="BV94" s="15"/>
      <c r="BW94" s="35">
        <f t="shared" si="152"/>
        <v>5</v>
      </c>
      <c r="BX94" s="34">
        <f t="shared" si="153"/>
        <v>4464.2299999999996</v>
      </c>
      <c r="BY94" s="34">
        <f t="shared" si="154"/>
        <v>446.42</v>
      </c>
      <c r="BZ94" s="34">
        <f t="shared" si="155"/>
        <v>4910.6499999999996</v>
      </c>
      <c r="CA94" s="35">
        <f t="shared" si="156"/>
        <v>195</v>
      </c>
      <c r="CB94" s="34">
        <f t="shared" si="157"/>
        <v>174104.98</v>
      </c>
      <c r="CC94" s="34">
        <f t="shared" si="158"/>
        <v>17410.489999999998</v>
      </c>
      <c r="CD94" s="34">
        <f t="shared" si="159"/>
        <v>191515.47</v>
      </c>
      <c r="CE94" s="16">
        <f t="shared" si="160"/>
        <v>0.02</v>
      </c>
      <c r="CF94" s="16">
        <f t="shared" si="161"/>
        <v>0.01</v>
      </c>
      <c r="CG94" s="31" t="s">
        <v>675</v>
      </c>
      <c r="CH94" s="31" t="s">
        <v>676</v>
      </c>
      <c r="CI94" s="31" t="s">
        <v>49</v>
      </c>
      <c r="CJ94" s="31" t="s">
        <v>677</v>
      </c>
      <c r="CK94" s="31" t="s">
        <v>676</v>
      </c>
      <c r="CL94" s="31" t="s">
        <v>678</v>
      </c>
      <c r="CM94" s="29">
        <v>46164</v>
      </c>
      <c r="CN94" s="28" t="s">
        <v>677</v>
      </c>
      <c r="CO94" s="28"/>
      <c r="CP94" s="28"/>
    </row>
    <row r="95" spans="1:94" ht="40.049999999999997" customHeight="1" x14ac:dyDescent="0.25">
      <c r="A95" s="62">
        <v>144</v>
      </c>
      <c r="B95" s="63">
        <v>175</v>
      </c>
      <c r="C95" s="1" t="s">
        <v>258</v>
      </c>
      <c r="D95" s="2" t="s">
        <v>679</v>
      </c>
      <c r="E95" s="2" t="s">
        <v>689</v>
      </c>
      <c r="F95" s="2" t="s">
        <v>690</v>
      </c>
      <c r="G95" s="2" t="s">
        <v>691</v>
      </c>
      <c r="H95" s="64">
        <v>36.47</v>
      </c>
      <c r="I95" s="1" t="s">
        <v>46</v>
      </c>
      <c r="J95" s="3">
        <v>863.46</v>
      </c>
      <c r="K95" s="1">
        <v>195</v>
      </c>
      <c r="L95" s="4">
        <v>204688</v>
      </c>
      <c r="M95" s="4">
        <v>20469</v>
      </c>
      <c r="N95" s="4">
        <v>225157</v>
      </c>
      <c r="O95" s="31" t="s">
        <v>692</v>
      </c>
      <c r="P95" s="31" t="s">
        <v>693</v>
      </c>
      <c r="Q95" s="35">
        <f t="shared" si="108"/>
        <v>195</v>
      </c>
      <c r="R95" s="14">
        <v>46167</v>
      </c>
      <c r="S95" s="14">
        <f t="shared" si="109"/>
        <v>46361</v>
      </c>
      <c r="T95" s="34">
        <v>204688</v>
      </c>
      <c r="U95" s="34">
        <f t="shared" si="110"/>
        <v>20468.8</v>
      </c>
      <c r="V95" s="34">
        <f t="shared" si="111"/>
        <v>225156.8</v>
      </c>
      <c r="W95" s="35"/>
      <c r="X95" s="14">
        <f t="shared" si="112"/>
        <v>46167</v>
      </c>
      <c r="Y95" s="14" t="str">
        <f t="shared" si="113"/>
        <v/>
      </c>
      <c r="Z95" s="34"/>
      <c r="AA95" s="34">
        <f t="shared" si="114"/>
        <v>0</v>
      </c>
      <c r="AB95" s="34">
        <f t="shared" si="115"/>
        <v>0</v>
      </c>
      <c r="AC95" s="15"/>
      <c r="AD95" s="35">
        <f t="shared" si="116"/>
        <v>0</v>
      </c>
      <c r="AE95" s="34">
        <f t="shared" si="117"/>
        <v>0</v>
      </c>
      <c r="AF95" s="34">
        <f t="shared" si="118"/>
        <v>0</v>
      </c>
      <c r="AG95" s="34">
        <f t="shared" si="119"/>
        <v>0</v>
      </c>
      <c r="AH95" s="15"/>
      <c r="AI95" s="35">
        <f t="shared" si="120"/>
        <v>0</v>
      </c>
      <c r="AJ95" s="34">
        <f t="shared" si="121"/>
        <v>0</v>
      </c>
      <c r="AK95" s="34">
        <f t="shared" si="122"/>
        <v>0</v>
      </c>
      <c r="AL95" s="34">
        <f t="shared" si="123"/>
        <v>0</v>
      </c>
      <c r="AM95" s="15"/>
      <c r="AN95" s="35">
        <f t="shared" si="124"/>
        <v>7</v>
      </c>
      <c r="AO95" s="34">
        <f t="shared" si="125"/>
        <v>7347.77</v>
      </c>
      <c r="AP95" s="34">
        <f t="shared" si="126"/>
        <v>734.78</v>
      </c>
      <c r="AQ95" s="34">
        <f t="shared" si="127"/>
        <v>8082.55</v>
      </c>
      <c r="AR95" s="15"/>
      <c r="AS95" s="35">
        <f t="shared" si="128"/>
        <v>30</v>
      </c>
      <c r="AT95" s="34">
        <f t="shared" si="129"/>
        <v>31490.46</v>
      </c>
      <c r="AU95" s="34">
        <f t="shared" si="130"/>
        <v>3149.05</v>
      </c>
      <c r="AV95" s="34">
        <f t="shared" si="131"/>
        <v>34639.51</v>
      </c>
      <c r="AW95" s="15"/>
      <c r="AX95" s="35">
        <f t="shared" si="132"/>
        <v>31</v>
      </c>
      <c r="AY95" s="34">
        <f t="shared" si="133"/>
        <v>32540.14</v>
      </c>
      <c r="AZ95" s="34">
        <f t="shared" si="134"/>
        <v>3254.01</v>
      </c>
      <c r="BA95" s="34">
        <f t="shared" si="135"/>
        <v>35794.15</v>
      </c>
      <c r="BB95" s="15"/>
      <c r="BC95" s="35">
        <f t="shared" si="136"/>
        <v>31</v>
      </c>
      <c r="BD95" s="34">
        <f t="shared" si="137"/>
        <v>32540.14</v>
      </c>
      <c r="BE95" s="34">
        <f t="shared" si="138"/>
        <v>3254.01</v>
      </c>
      <c r="BF95" s="34">
        <f t="shared" si="139"/>
        <v>35794.15</v>
      </c>
      <c r="BG95" s="15"/>
      <c r="BH95" s="35">
        <f t="shared" si="140"/>
        <v>30</v>
      </c>
      <c r="BI95" s="34">
        <f t="shared" si="141"/>
        <v>31490.46</v>
      </c>
      <c r="BJ95" s="34">
        <f t="shared" si="142"/>
        <v>3149.05</v>
      </c>
      <c r="BK95" s="34">
        <f t="shared" si="143"/>
        <v>34639.51</v>
      </c>
      <c r="BL95" s="15"/>
      <c r="BM95" s="35">
        <f t="shared" si="144"/>
        <v>31</v>
      </c>
      <c r="BN95" s="34">
        <f t="shared" si="145"/>
        <v>32540.14</v>
      </c>
      <c r="BO95" s="34">
        <f t="shared" si="146"/>
        <v>3254.01</v>
      </c>
      <c r="BP95" s="34">
        <f t="shared" si="147"/>
        <v>35794.15</v>
      </c>
      <c r="BQ95" s="15"/>
      <c r="BR95" s="35">
        <f t="shared" si="148"/>
        <v>30</v>
      </c>
      <c r="BS95" s="34">
        <f t="shared" si="149"/>
        <v>31490.46</v>
      </c>
      <c r="BT95" s="34">
        <f t="shared" si="150"/>
        <v>3149.05</v>
      </c>
      <c r="BU95" s="34">
        <f t="shared" si="151"/>
        <v>34639.51</v>
      </c>
      <c r="BV95" s="15"/>
      <c r="BW95" s="35">
        <f t="shared" si="152"/>
        <v>5</v>
      </c>
      <c r="BX95" s="34">
        <f t="shared" si="153"/>
        <v>5248.41</v>
      </c>
      <c r="BY95" s="34">
        <f t="shared" si="154"/>
        <v>524.84</v>
      </c>
      <c r="BZ95" s="34">
        <f t="shared" si="155"/>
        <v>5773.25</v>
      </c>
      <c r="CA95" s="35">
        <f t="shared" si="156"/>
        <v>195</v>
      </c>
      <c r="CB95" s="34">
        <f t="shared" si="157"/>
        <v>204687.97999999998</v>
      </c>
      <c r="CC95" s="34">
        <f t="shared" si="158"/>
        <v>20468.800000000003</v>
      </c>
      <c r="CD95" s="34">
        <f t="shared" si="159"/>
        <v>225156.77999999997</v>
      </c>
      <c r="CE95" s="16">
        <f t="shared" si="160"/>
        <v>0.02</v>
      </c>
      <c r="CF95" s="16">
        <f t="shared" si="161"/>
        <v>0</v>
      </c>
      <c r="CG95" s="31" t="s">
        <v>675</v>
      </c>
      <c r="CH95" s="31" t="s">
        <v>676</v>
      </c>
      <c r="CI95" s="31" t="s">
        <v>49</v>
      </c>
      <c r="CJ95" s="31" t="s">
        <v>677</v>
      </c>
      <c r="CK95" s="31" t="s">
        <v>676</v>
      </c>
      <c r="CL95" s="31" t="s">
        <v>678</v>
      </c>
      <c r="CM95" s="29">
        <v>46164</v>
      </c>
      <c r="CN95" s="28" t="s">
        <v>677</v>
      </c>
      <c r="CO95" s="28"/>
      <c r="CP95" s="28"/>
    </row>
    <row r="96" spans="1:94" ht="40.049999999999997" customHeight="1" x14ac:dyDescent="0.25">
      <c r="A96" s="62">
        <v>145</v>
      </c>
      <c r="B96" s="63">
        <v>175</v>
      </c>
      <c r="C96" s="1" t="s">
        <v>258</v>
      </c>
      <c r="D96" s="2" t="s">
        <v>679</v>
      </c>
      <c r="E96" s="2" t="s">
        <v>694</v>
      </c>
      <c r="F96" s="2" t="s">
        <v>695</v>
      </c>
      <c r="G96" s="2" t="s">
        <v>696</v>
      </c>
      <c r="H96" s="64">
        <v>24.03</v>
      </c>
      <c r="I96" s="1" t="s">
        <v>46</v>
      </c>
      <c r="J96" s="3">
        <v>870.91</v>
      </c>
      <c r="K96" s="1">
        <v>195</v>
      </c>
      <c r="L96" s="4">
        <v>136032</v>
      </c>
      <c r="M96" s="4">
        <v>13603</v>
      </c>
      <c r="N96" s="4">
        <v>149635</v>
      </c>
      <c r="O96" s="31" t="s">
        <v>697</v>
      </c>
      <c r="P96" s="31" t="s">
        <v>698</v>
      </c>
      <c r="Q96" s="35">
        <f t="shared" si="108"/>
        <v>195</v>
      </c>
      <c r="R96" s="14">
        <v>46167</v>
      </c>
      <c r="S96" s="14">
        <f t="shared" si="109"/>
        <v>46361</v>
      </c>
      <c r="T96" s="34">
        <v>136032</v>
      </c>
      <c r="U96" s="34">
        <f t="shared" si="110"/>
        <v>13603.2</v>
      </c>
      <c r="V96" s="34">
        <f t="shared" si="111"/>
        <v>149635.20000000001</v>
      </c>
      <c r="W96" s="35"/>
      <c r="X96" s="14">
        <f t="shared" si="112"/>
        <v>46167</v>
      </c>
      <c r="Y96" s="14" t="str">
        <f t="shared" si="113"/>
        <v/>
      </c>
      <c r="Z96" s="34"/>
      <c r="AA96" s="34">
        <f t="shared" si="114"/>
        <v>0</v>
      </c>
      <c r="AB96" s="34">
        <f t="shared" si="115"/>
        <v>0</v>
      </c>
      <c r="AC96" s="15"/>
      <c r="AD96" s="35">
        <f t="shared" si="116"/>
        <v>0</v>
      </c>
      <c r="AE96" s="34">
        <f t="shared" si="117"/>
        <v>0</v>
      </c>
      <c r="AF96" s="34">
        <f t="shared" si="118"/>
        <v>0</v>
      </c>
      <c r="AG96" s="34">
        <f t="shared" si="119"/>
        <v>0</v>
      </c>
      <c r="AH96" s="15"/>
      <c r="AI96" s="35">
        <f t="shared" si="120"/>
        <v>0</v>
      </c>
      <c r="AJ96" s="34">
        <f t="shared" si="121"/>
        <v>0</v>
      </c>
      <c r="AK96" s="34">
        <f t="shared" si="122"/>
        <v>0</v>
      </c>
      <c r="AL96" s="34">
        <f t="shared" si="123"/>
        <v>0</v>
      </c>
      <c r="AM96" s="15"/>
      <c r="AN96" s="35">
        <f t="shared" si="124"/>
        <v>7</v>
      </c>
      <c r="AO96" s="34">
        <f t="shared" si="125"/>
        <v>4883.2</v>
      </c>
      <c r="AP96" s="34">
        <f t="shared" si="126"/>
        <v>488.32</v>
      </c>
      <c r="AQ96" s="34">
        <f t="shared" si="127"/>
        <v>5371.5199999999995</v>
      </c>
      <c r="AR96" s="15"/>
      <c r="AS96" s="35">
        <f t="shared" si="128"/>
        <v>30</v>
      </c>
      <c r="AT96" s="34">
        <f t="shared" si="129"/>
        <v>20928</v>
      </c>
      <c r="AU96" s="34">
        <f t="shared" si="130"/>
        <v>2092.8000000000002</v>
      </c>
      <c r="AV96" s="34">
        <f t="shared" si="131"/>
        <v>23020.799999999999</v>
      </c>
      <c r="AW96" s="15"/>
      <c r="AX96" s="35">
        <f t="shared" si="132"/>
        <v>31</v>
      </c>
      <c r="AY96" s="34">
        <f t="shared" si="133"/>
        <v>21625.599999999999</v>
      </c>
      <c r="AZ96" s="34">
        <f t="shared" si="134"/>
        <v>2162.56</v>
      </c>
      <c r="BA96" s="34">
        <f t="shared" si="135"/>
        <v>23788.16</v>
      </c>
      <c r="BB96" s="15"/>
      <c r="BC96" s="35">
        <f t="shared" si="136"/>
        <v>31</v>
      </c>
      <c r="BD96" s="34">
        <f t="shared" si="137"/>
        <v>21625.599999999999</v>
      </c>
      <c r="BE96" s="34">
        <f t="shared" si="138"/>
        <v>2162.56</v>
      </c>
      <c r="BF96" s="34">
        <f t="shared" si="139"/>
        <v>23788.16</v>
      </c>
      <c r="BG96" s="15"/>
      <c r="BH96" s="35">
        <f t="shared" si="140"/>
        <v>30</v>
      </c>
      <c r="BI96" s="34">
        <f t="shared" si="141"/>
        <v>20928</v>
      </c>
      <c r="BJ96" s="34">
        <f t="shared" si="142"/>
        <v>2092.8000000000002</v>
      </c>
      <c r="BK96" s="34">
        <f t="shared" si="143"/>
        <v>23020.799999999999</v>
      </c>
      <c r="BL96" s="15"/>
      <c r="BM96" s="35">
        <f t="shared" si="144"/>
        <v>31</v>
      </c>
      <c r="BN96" s="34">
        <f t="shared" si="145"/>
        <v>21625.599999999999</v>
      </c>
      <c r="BO96" s="34">
        <f t="shared" si="146"/>
        <v>2162.56</v>
      </c>
      <c r="BP96" s="34">
        <f t="shared" si="147"/>
        <v>23788.16</v>
      </c>
      <c r="BQ96" s="15"/>
      <c r="BR96" s="35">
        <f t="shared" si="148"/>
        <v>30</v>
      </c>
      <c r="BS96" s="34">
        <f t="shared" si="149"/>
        <v>20928</v>
      </c>
      <c r="BT96" s="34">
        <f t="shared" si="150"/>
        <v>2092.8000000000002</v>
      </c>
      <c r="BU96" s="34">
        <f t="shared" si="151"/>
        <v>23020.799999999999</v>
      </c>
      <c r="BV96" s="15"/>
      <c r="BW96" s="35">
        <f t="shared" si="152"/>
        <v>5</v>
      </c>
      <c r="BX96" s="34">
        <f t="shared" si="153"/>
        <v>3488</v>
      </c>
      <c r="BY96" s="34">
        <f t="shared" si="154"/>
        <v>348.8</v>
      </c>
      <c r="BZ96" s="34">
        <f t="shared" si="155"/>
        <v>3836.8</v>
      </c>
      <c r="CA96" s="35">
        <f t="shared" si="156"/>
        <v>195</v>
      </c>
      <c r="CB96" s="34">
        <f t="shared" si="157"/>
        <v>136032</v>
      </c>
      <c r="CC96" s="34">
        <f t="shared" si="158"/>
        <v>13603.2</v>
      </c>
      <c r="CD96" s="34">
        <f t="shared" si="159"/>
        <v>149635.20000000001</v>
      </c>
      <c r="CE96" s="16">
        <f t="shared" si="160"/>
        <v>0</v>
      </c>
      <c r="CF96" s="16">
        <f t="shared" si="161"/>
        <v>0</v>
      </c>
      <c r="CG96" s="31" t="s">
        <v>675</v>
      </c>
      <c r="CH96" s="31" t="s">
        <v>676</v>
      </c>
      <c r="CI96" s="31" t="s">
        <v>49</v>
      </c>
      <c r="CJ96" s="31" t="s">
        <v>677</v>
      </c>
      <c r="CK96" s="31" t="s">
        <v>676</v>
      </c>
      <c r="CL96" s="31" t="s">
        <v>678</v>
      </c>
      <c r="CM96" s="29">
        <v>46164</v>
      </c>
      <c r="CN96" s="28" t="s">
        <v>677</v>
      </c>
      <c r="CO96" s="28"/>
      <c r="CP96" s="28"/>
    </row>
    <row r="97" spans="1:94" ht="40.049999999999997" customHeight="1" x14ac:dyDescent="0.25">
      <c r="A97" s="62">
        <v>146</v>
      </c>
      <c r="B97" s="63">
        <v>175</v>
      </c>
      <c r="C97" s="1" t="s">
        <v>258</v>
      </c>
      <c r="D97" s="2" t="s">
        <v>679</v>
      </c>
      <c r="E97" s="2" t="s">
        <v>699</v>
      </c>
      <c r="F97" s="2" t="s">
        <v>700</v>
      </c>
      <c r="G97" s="2" t="s">
        <v>701</v>
      </c>
      <c r="H97" s="64">
        <v>23.4</v>
      </c>
      <c r="I97" s="1" t="s">
        <v>46</v>
      </c>
      <c r="J97" s="3">
        <v>863.6</v>
      </c>
      <c r="K97" s="1">
        <v>195</v>
      </c>
      <c r="L97" s="4">
        <v>131354</v>
      </c>
      <c r="M97" s="4">
        <v>13135</v>
      </c>
      <c r="N97" s="4">
        <v>144489</v>
      </c>
      <c r="O97" s="31" t="s">
        <v>702</v>
      </c>
      <c r="P97" s="31" t="s">
        <v>703</v>
      </c>
      <c r="Q97" s="35">
        <f t="shared" si="108"/>
        <v>195</v>
      </c>
      <c r="R97" s="14">
        <v>46167</v>
      </c>
      <c r="S97" s="14">
        <f t="shared" si="109"/>
        <v>46361</v>
      </c>
      <c r="T97" s="34">
        <v>131354</v>
      </c>
      <c r="U97" s="34">
        <f t="shared" si="110"/>
        <v>13135.4</v>
      </c>
      <c r="V97" s="34">
        <f t="shared" si="111"/>
        <v>144489.4</v>
      </c>
      <c r="W97" s="35"/>
      <c r="X97" s="14">
        <f t="shared" si="112"/>
        <v>46167</v>
      </c>
      <c r="Y97" s="14" t="str">
        <f t="shared" si="113"/>
        <v/>
      </c>
      <c r="Z97" s="34"/>
      <c r="AA97" s="34">
        <f t="shared" si="114"/>
        <v>0</v>
      </c>
      <c r="AB97" s="34">
        <f t="shared" si="115"/>
        <v>0</v>
      </c>
      <c r="AC97" s="15"/>
      <c r="AD97" s="35">
        <f t="shared" si="116"/>
        <v>0</v>
      </c>
      <c r="AE97" s="34">
        <f t="shared" si="117"/>
        <v>0</v>
      </c>
      <c r="AF97" s="34">
        <f t="shared" si="118"/>
        <v>0</v>
      </c>
      <c r="AG97" s="34">
        <f t="shared" si="119"/>
        <v>0</v>
      </c>
      <c r="AH97" s="15"/>
      <c r="AI97" s="35">
        <f t="shared" si="120"/>
        <v>0</v>
      </c>
      <c r="AJ97" s="34">
        <f t="shared" si="121"/>
        <v>0</v>
      </c>
      <c r="AK97" s="34">
        <f t="shared" si="122"/>
        <v>0</v>
      </c>
      <c r="AL97" s="34">
        <f t="shared" si="123"/>
        <v>0</v>
      </c>
      <c r="AM97" s="15"/>
      <c r="AN97" s="35">
        <f t="shared" si="124"/>
        <v>7</v>
      </c>
      <c r="AO97" s="34">
        <f t="shared" si="125"/>
        <v>4715.2700000000004</v>
      </c>
      <c r="AP97" s="34">
        <f t="shared" si="126"/>
        <v>471.53</v>
      </c>
      <c r="AQ97" s="34">
        <f t="shared" si="127"/>
        <v>5186.8</v>
      </c>
      <c r="AR97" s="15"/>
      <c r="AS97" s="35">
        <f t="shared" si="128"/>
        <v>30</v>
      </c>
      <c r="AT97" s="34">
        <f t="shared" si="129"/>
        <v>20208.310000000001</v>
      </c>
      <c r="AU97" s="34">
        <f t="shared" si="130"/>
        <v>2020.83</v>
      </c>
      <c r="AV97" s="34">
        <f t="shared" si="131"/>
        <v>22229.14</v>
      </c>
      <c r="AW97" s="15"/>
      <c r="AX97" s="35">
        <f t="shared" si="132"/>
        <v>31</v>
      </c>
      <c r="AY97" s="34">
        <f t="shared" si="133"/>
        <v>20881.919999999998</v>
      </c>
      <c r="AZ97" s="34">
        <f t="shared" si="134"/>
        <v>2088.19</v>
      </c>
      <c r="BA97" s="34">
        <f t="shared" si="135"/>
        <v>22970.109999999997</v>
      </c>
      <c r="BB97" s="15"/>
      <c r="BC97" s="35">
        <f t="shared" si="136"/>
        <v>31</v>
      </c>
      <c r="BD97" s="34">
        <f t="shared" si="137"/>
        <v>20881.919999999998</v>
      </c>
      <c r="BE97" s="34">
        <f t="shared" si="138"/>
        <v>2088.19</v>
      </c>
      <c r="BF97" s="34">
        <f t="shared" si="139"/>
        <v>22970.109999999997</v>
      </c>
      <c r="BG97" s="15"/>
      <c r="BH97" s="35">
        <f t="shared" si="140"/>
        <v>30</v>
      </c>
      <c r="BI97" s="34">
        <f t="shared" si="141"/>
        <v>20208.310000000001</v>
      </c>
      <c r="BJ97" s="34">
        <f t="shared" si="142"/>
        <v>2020.83</v>
      </c>
      <c r="BK97" s="34">
        <f t="shared" si="143"/>
        <v>22229.14</v>
      </c>
      <c r="BL97" s="15"/>
      <c r="BM97" s="35">
        <f t="shared" si="144"/>
        <v>31</v>
      </c>
      <c r="BN97" s="34">
        <f t="shared" si="145"/>
        <v>20881.919999999998</v>
      </c>
      <c r="BO97" s="34">
        <f t="shared" si="146"/>
        <v>2088.19</v>
      </c>
      <c r="BP97" s="34">
        <f t="shared" si="147"/>
        <v>22970.109999999997</v>
      </c>
      <c r="BQ97" s="15"/>
      <c r="BR97" s="35">
        <f t="shared" si="148"/>
        <v>30</v>
      </c>
      <c r="BS97" s="34">
        <f t="shared" si="149"/>
        <v>20208.310000000001</v>
      </c>
      <c r="BT97" s="34">
        <f t="shared" si="150"/>
        <v>2020.83</v>
      </c>
      <c r="BU97" s="34">
        <f t="shared" si="151"/>
        <v>22229.14</v>
      </c>
      <c r="BV97" s="15"/>
      <c r="BW97" s="35">
        <f t="shared" si="152"/>
        <v>5</v>
      </c>
      <c r="BX97" s="34">
        <f t="shared" si="153"/>
        <v>3368.05</v>
      </c>
      <c r="BY97" s="34">
        <f t="shared" si="154"/>
        <v>336.81</v>
      </c>
      <c r="BZ97" s="34">
        <f t="shared" si="155"/>
        <v>3704.86</v>
      </c>
      <c r="CA97" s="35">
        <f t="shared" si="156"/>
        <v>195</v>
      </c>
      <c r="CB97" s="34">
        <f t="shared" si="157"/>
        <v>131354.00999999998</v>
      </c>
      <c r="CC97" s="34">
        <f t="shared" si="158"/>
        <v>13135.4</v>
      </c>
      <c r="CD97" s="34">
        <f t="shared" si="159"/>
        <v>144489.40999999997</v>
      </c>
      <c r="CE97" s="16">
        <f t="shared" si="160"/>
        <v>-0.01</v>
      </c>
      <c r="CF97" s="16">
        <f t="shared" si="161"/>
        <v>0</v>
      </c>
      <c r="CG97" s="31" t="s">
        <v>675</v>
      </c>
      <c r="CH97" s="31" t="s">
        <v>676</v>
      </c>
      <c r="CI97" s="31" t="s">
        <v>49</v>
      </c>
      <c r="CJ97" s="31" t="s">
        <v>677</v>
      </c>
      <c r="CK97" s="31" t="s">
        <v>676</v>
      </c>
      <c r="CL97" s="31" t="s">
        <v>678</v>
      </c>
      <c r="CM97" s="29">
        <v>46164</v>
      </c>
      <c r="CN97" s="28" t="s">
        <v>677</v>
      </c>
      <c r="CO97" s="28"/>
      <c r="CP97" s="28"/>
    </row>
    <row r="98" spans="1:94" ht="40.049999999999997" customHeight="1" x14ac:dyDescent="0.25">
      <c r="A98" s="62">
        <v>147</v>
      </c>
      <c r="B98" s="63">
        <v>175</v>
      </c>
      <c r="C98" s="1" t="s">
        <v>258</v>
      </c>
      <c r="D98" s="2" t="s">
        <v>679</v>
      </c>
      <c r="E98" s="2" t="s">
        <v>704</v>
      </c>
      <c r="F98" s="2" t="s">
        <v>705</v>
      </c>
      <c r="G98" s="2" t="s">
        <v>706</v>
      </c>
      <c r="H98" s="64">
        <v>16.600000000000001</v>
      </c>
      <c r="I98" s="1" t="s">
        <v>46</v>
      </c>
      <c r="J98" s="3">
        <v>873.68</v>
      </c>
      <c r="K98" s="1">
        <v>200</v>
      </c>
      <c r="L98" s="4">
        <v>96687</v>
      </c>
      <c r="M98" s="4">
        <v>9669</v>
      </c>
      <c r="N98" s="4">
        <v>106356</v>
      </c>
      <c r="O98" s="31" t="s">
        <v>707</v>
      </c>
      <c r="P98" s="31" t="s">
        <v>432</v>
      </c>
      <c r="Q98" s="35">
        <f t="shared" ref="Q98:Q126" si="162">+$K98</f>
        <v>200</v>
      </c>
      <c r="R98" s="14">
        <v>46167</v>
      </c>
      <c r="S98" s="14">
        <f t="shared" ref="S98:S126" si="163">IF(Q98+R98=0,"",Q98+R98-1)</f>
        <v>46366</v>
      </c>
      <c r="T98" s="34">
        <v>96687</v>
      </c>
      <c r="U98" s="34">
        <f t="shared" ref="U98:U126" si="164">+ROUND(T98*0.1,2)</f>
        <v>9668.7000000000007</v>
      </c>
      <c r="V98" s="34">
        <f t="shared" ref="V98:V126" si="165">+SUM(T98:U98)</f>
        <v>106355.7</v>
      </c>
      <c r="W98" s="35"/>
      <c r="X98" s="14">
        <f t="shared" ref="X98:X126" si="166">+$R98</f>
        <v>46167</v>
      </c>
      <c r="Y98" s="14" t="str">
        <f t="shared" ref="Y98:Y126" si="167">IF(W98&gt;0,X98+W98-1,"")</f>
        <v/>
      </c>
      <c r="Z98" s="34"/>
      <c r="AA98" s="34">
        <f t="shared" ref="AA98:AA126" si="168">+ROUND(Z98*0.1,2)</f>
        <v>0</v>
      </c>
      <c r="AB98" s="34">
        <f t="shared" ref="AB98:AB126" si="169">+SUM(Z98:AA98)</f>
        <v>0</v>
      </c>
      <c r="AC98" s="15"/>
      <c r="AD98" s="35">
        <f t="shared" ref="AD98:AD126" si="170">MAX(0,MIN(IF($Y98&lt;&gt;"",$Y98,$S98),AD$1)-MAX($R98,EOMONTH(AD$1,-1)+1)+1)</f>
        <v>0</v>
      </c>
      <c r="AE98" s="34">
        <f t="shared" ref="AE98:AE126" si="171">ROUND(IF($Z98="",$T98,$Z98)*(AD98/IF($W98="",$Q98,$W98)),2)</f>
        <v>0</v>
      </c>
      <c r="AF98" s="34">
        <f t="shared" ref="AF98:AF126" si="172">+ROUND(AE98*0.1,2)</f>
        <v>0</v>
      </c>
      <c r="AG98" s="34">
        <f t="shared" ref="AG98:AG126" si="173">+SUM(AE98:AF98)</f>
        <v>0</v>
      </c>
      <c r="AH98" s="15"/>
      <c r="AI98" s="35">
        <f t="shared" ref="AI98:AI126" si="174">MAX(0,MIN(IF($Y98&lt;&gt;"",$Y98,$S98),AI$1)-MAX($R98,EOMONTH(AI$1,-1)+1)+1)</f>
        <v>0</v>
      </c>
      <c r="AJ98" s="34">
        <f t="shared" ref="AJ98:AJ126" si="175">ROUND(IF($Z98="",$T98,$Z98)*(AI98/IF($W98="",$Q98,$W98)),2)</f>
        <v>0</v>
      </c>
      <c r="AK98" s="34">
        <f t="shared" ref="AK98:AK126" si="176">+ROUND(AJ98*0.1,2)</f>
        <v>0</v>
      </c>
      <c r="AL98" s="34">
        <f t="shared" ref="AL98:AL126" si="177">+SUM(AJ98:AK98)</f>
        <v>0</v>
      </c>
      <c r="AM98" s="15"/>
      <c r="AN98" s="35">
        <f t="shared" ref="AN98:AN126" si="178">MAX(0,MIN(IF($Y98&lt;&gt;"",$Y98,$S98),AN$1)-MAX($R98,EOMONTH(AN$1,-1)+1)+1)</f>
        <v>7</v>
      </c>
      <c r="AO98" s="34">
        <f t="shared" ref="AO98:AO126" si="179">ROUND(IF($Z98="",$T98,$Z98)*(AN98/IF($W98="",$Q98,$W98)),2)</f>
        <v>3384.05</v>
      </c>
      <c r="AP98" s="34">
        <f t="shared" ref="AP98:AP126" si="180">+ROUND(AO98*0.1,2)</f>
        <v>338.41</v>
      </c>
      <c r="AQ98" s="34">
        <f t="shared" ref="AQ98:AQ126" si="181">+SUM(AO98:AP98)</f>
        <v>3722.46</v>
      </c>
      <c r="AR98" s="15"/>
      <c r="AS98" s="35">
        <f t="shared" ref="AS98:AS126" si="182">MAX(0,MIN(IF($Y98&lt;&gt;"",$Y98,$S98),AS$1)-MAX($R98,EOMONTH(AS$1,-1)+1)+1)</f>
        <v>30</v>
      </c>
      <c r="AT98" s="34">
        <f t="shared" ref="AT98:AT126" si="183">ROUND(IF($Z98="",$T98,$Z98)*(AS98/IF($W98="",$Q98,$W98)),2)</f>
        <v>14503.05</v>
      </c>
      <c r="AU98" s="34">
        <f t="shared" ref="AU98:AU126" si="184">+ROUND(AT98*0.1,2)</f>
        <v>1450.31</v>
      </c>
      <c r="AV98" s="34">
        <f t="shared" ref="AV98:AV126" si="185">+SUM(AT98:AU98)</f>
        <v>15953.359999999999</v>
      </c>
      <c r="AW98" s="15"/>
      <c r="AX98" s="35">
        <f t="shared" ref="AX98:AX126" si="186">MAX(0,MIN(IF($Y98&lt;&gt;"",$Y98,$S98),AX$1)-MAX($R98,EOMONTH(AX$1,-1)+1)+1)</f>
        <v>31</v>
      </c>
      <c r="AY98" s="34">
        <f t="shared" ref="AY98:AY126" si="187">ROUND(IF($Z98="",$T98,$Z98)*(AX98/IF($W98="",$Q98,$W98)),2)</f>
        <v>14986.49</v>
      </c>
      <c r="AZ98" s="34">
        <f t="shared" ref="AZ98:AZ126" si="188">+ROUND(AY98*0.1,2)</f>
        <v>1498.65</v>
      </c>
      <c r="BA98" s="34">
        <f t="shared" ref="BA98:BA126" si="189">+SUM(AY98:AZ98)</f>
        <v>16485.14</v>
      </c>
      <c r="BB98" s="15"/>
      <c r="BC98" s="35">
        <f t="shared" ref="BC98:BC126" si="190">MAX(0,MIN(IF($Y98&lt;&gt;"",$Y98,$S98),BC$1)-MAX($R98,EOMONTH(BC$1,-1)+1)+1)</f>
        <v>31</v>
      </c>
      <c r="BD98" s="34">
        <f t="shared" ref="BD98:BD126" si="191">ROUND(IF($Z98="",$T98,$Z98)*(BC98/IF($W98="",$Q98,$W98)),2)</f>
        <v>14986.49</v>
      </c>
      <c r="BE98" s="34">
        <f t="shared" ref="BE98:BE126" si="192">+ROUND(BD98*0.1,2)</f>
        <v>1498.65</v>
      </c>
      <c r="BF98" s="34">
        <f t="shared" ref="BF98:BF126" si="193">+SUM(BD98:BE98)</f>
        <v>16485.14</v>
      </c>
      <c r="BG98" s="15"/>
      <c r="BH98" s="35">
        <f t="shared" ref="BH98:BH126" si="194">MAX(0,MIN(IF($Y98&lt;&gt;"",$Y98,$S98),BH$1)-MAX($R98,EOMONTH(BH$1,-1)+1)+1)</f>
        <v>30</v>
      </c>
      <c r="BI98" s="34">
        <f t="shared" ref="BI98:BI126" si="195">ROUND(IF($Z98="",$T98,$Z98)*(BH98/IF($W98="",$Q98,$W98)),2)</f>
        <v>14503.05</v>
      </c>
      <c r="BJ98" s="34">
        <f t="shared" ref="BJ98:BJ126" si="196">+ROUND(BI98*0.1,2)</f>
        <v>1450.31</v>
      </c>
      <c r="BK98" s="34">
        <f t="shared" ref="BK98:BK126" si="197">+SUM(BI98:BJ98)</f>
        <v>15953.359999999999</v>
      </c>
      <c r="BL98" s="15"/>
      <c r="BM98" s="35">
        <f t="shared" ref="BM98:BM126" si="198">MAX(0,MIN(IF($Y98&lt;&gt;"",$Y98,$S98),BM$1)-MAX($R98,EOMONTH(BM$1,-1)+1)+1)</f>
        <v>31</v>
      </c>
      <c r="BN98" s="34">
        <f t="shared" ref="BN98:BN126" si="199">ROUND(IF($Z98="",$T98,$Z98)*(BM98/IF($W98="",$Q98,$W98)),2)</f>
        <v>14986.49</v>
      </c>
      <c r="BO98" s="34">
        <f t="shared" ref="BO98:BO126" si="200">+ROUND(BN98*0.1,2)</f>
        <v>1498.65</v>
      </c>
      <c r="BP98" s="34">
        <f t="shared" ref="BP98:BP126" si="201">+SUM(BN98:BO98)</f>
        <v>16485.14</v>
      </c>
      <c r="BQ98" s="15"/>
      <c r="BR98" s="35">
        <f t="shared" ref="BR98:BR126" si="202">MAX(0,MIN(IF($Y98&lt;&gt;"",$Y98,$S98),BR$1)-MAX($R98,EOMONTH(BR$1,-1)+1)+1)</f>
        <v>30</v>
      </c>
      <c r="BS98" s="34">
        <f t="shared" ref="BS98:BS126" si="203">ROUND(IF($Z98="",$T98,$Z98)*(BR98/IF($W98="",$Q98,$W98)),2)</f>
        <v>14503.05</v>
      </c>
      <c r="BT98" s="34">
        <f t="shared" ref="BT98:BT126" si="204">+ROUND(BS98*0.1,2)</f>
        <v>1450.31</v>
      </c>
      <c r="BU98" s="34">
        <f t="shared" ref="BU98:BU126" si="205">+SUM(BS98:BT98)</f>
        <v>15953.359999999999</v>
      </c>
      <c r="BV98" s="15"/>
      <c r="BW98" s="35">
        <f t="shared" ref="BW98:BW126" si="206">MAX(0,MIN(IF($Y98&lt;&gt;"",$Y98,$S98),BW$1)-MAX($R98,EOMONTH(BW$1,-1)+1)+1)</f>
        <v>10</v>
      </c>
      <c r="BX98" s="34">
        <f t="shared" ref="BX98:BX126" si="207">ROUND(IF($Z98="",$T98,$Z98)*(BW98/IF($W98="",$Q98,$W98)),2)</f>
        <v>4834.3500000000004</v>
      </c>
      <c r="BY98" s="34">
        <f t="shared" ref="BY98:BY126" si="208">+ROUND(BX98*0.1,2)</f>
        <v>483.44</v>
      </c>
      <c r="BZ98" s="34">
        <f t="shared" ref="BZ98:BZ126" si="209">+SUM(BX98:BY98)</f>
        <v>5317.79</v>
      </c>
      <c r="CA98" s="35">
        <f t="shared" ref="CA98:CA126" si="210">+AD98+AI98+AN98+AS98+AX98+BC98+BH98+BM98+BR98+BW98</f>
        <v>200</v>
      </c>
      <c r="CB98" s="34">
        <f t="shared" ref="CB98:CB126" si="211">+AE98+AJ98+AO98+AT98+AY98+BD98+BI98+BN98+BS98+BX98</f>
        <v>96687.02</v>
      </c>
      <c r="CC98" s="34">
        <f t="shared" ref="CC98:CC126" si="212">+AF98+AK98+AP98+AU98+AZ98+BE98+BJ98+BO98+BT98+BY98</f>
        <v>9668.73</v>
      </c>
      <c r="CD98" s="34">
        <f t="shared" ref="CD98:CD126" si="213">+SUM(CB98:CC98)</f>
        <v>106355.75</v>
      </c>
      <c r="CE98" s="16">
        <f t="shared" ref="CE98:CE126" si="214">ROUND(IF($Y98&lt;&gt;"",$Z98,$T98)-CB98,2)</f>
        <v>-0.02</v>
      </c>
      <c r="CF98" s="16">
        <f t="shared" ref="CF98:CF126" si="215">ROUND(IF($Y98&lt;&gt;"",$AA98,$U98)-CC98,2)</f>
        <v>-0.03</v>
      </c>
      <c r="CG98" s="31" t="s">
        <v>675</v>
      </c>
      <c r="CH98" s="31" t="s">
        <v>676</v>
      </c>
      <c r="CI98" s="31" t="s">
        <v>49</v>
      </c>
      <c r="CJ98" s="31" t="s">
        <v>677</v>
      </c>
      <c r="CK98" s="31" t="s">
        <v>676</v>
      </c>
      <c r="CL98" s="31" t="s">
        <v>678</v>
      </c>
      <c r="CM98" s="29">
        <v>46164</v>
      </c>
      <c r="CN98" s="28" t="s">
        <v>677</v>
      </c>
      <c r="CO98" s="28"/>
      <c r="CP98" s="28"/>
    </row>
    <row r="99" spans="1:94" ht="40.049999999999997" customHeight="1" x14ac:dyDescent="0.25">
      <c r="A99" s="62">
        <v>148</v>
      </c>
      <c r="B99" s="63">
        <v>175</v>
      </c>
      <c r="C99" s="1" t="s">
        <v>258</v>
      </c>
      <c r="D99" s="2" t="s">
        <v>679</v>
      </c>
      <c r="E99" s="2" t="s">
        <v>670</v>
      </c>
      <c r="F99" s="2" t="s">
        <v>708</v>
      </c>
      <c r="G99" s="2" t="s">
        <v>709</v>
      </c>
      <c r="H99" s="64">
        <v>15.8</v>
      </c>
      <c r="I99" s="1" t="s">
        <v>46</v>
      </c>
      <c r="J99" s="3">
        <v>873.14</v>
      </c>
      <c r="K99" s="1">
        <v>200</v>
      </c>
      <c r="L99" s="4">
        <v>91971</v>
      </c>
      <c r="M99" s="4">
        <v>9197</v>
      </c>
      <c r="N99" s="4">
        <v>101168</v>
      </c>
      <c r="O99" s="31" t="s">
        <v>710</v>
      </c>
      <c r="P99" s="31" t="s">
        <v>711</v>
      </c>
      <c r="Q99" s="35">
        <f t="shared" si="162"/>
        <v>200</v>
      </c>
      <c r="R99" s="14">
        <v>46167</v>
      </c>
      <c r="S99" s="14">
        <f t="shared" si="163"/>
        <v>46366</v>
      </c>
      <c r="T99" s="34">
        <v>91971</v>
      </c>
      <c r="U99" s="34">
        <f t="shared" si="164"/>
        <v>9197.1</v>
      </c>
      <c r="V99" s="34">
        <f t="shared" si="165"/>
        <v>101168.1</v>
      </c>
      <c r="W99" s="35"/>
      <c r="X99" s="14">
        <f t="shared" si="166"/>
        <v>46167</v>
      </c>
      <c r="Y99" s="14" t="str">
        <f t="shared" si="167"/>
        <v/>
      </c>
      <c r="Z99" s="34"/>
      <c r="AA99" s="34">
        <f t="shared" si="168"/>
        <v>0</v>
      </c>
      <c r="AB99" s="34">
        <f t="shared" si="169"/>
        <v>0</v>
      </c>
      <c r="AC99" s="15"/>
      <c r="AD99" s="35">
        <f t="shared" si="170"/>
        <v>0</v>
      </c>
      <c r="AE99" s="34">
        <f t="shared" si="171"/>
        <v>0</v>
      </c>
      <c r="AF99" s="34">
        <f t="shared" si="172"/>
        <v>0</v>
      </c>
      <c r="AG99" s="34">
        <f t="shared" si="173"/>
        <v>0</v>
      </c>
      <c r="AH99" s="15"/>
      <c r="AI99" s="35">
        <f t="shared" si="174"/>
        <v>0</v>
      </c>
      <c r="AJ99" s="34">
        <f t="shared" si="175"/>
        <v>0</v>
      </c>
      <c r="AK99" s="34">
        <f t="shared" si="176"/>
        <v>0</v>
      </c>
      <c r="AL99" s="34">
        <f t="shared" si="177"/>
        <v>0</v>
      </c>
      <c r="AM99" s="15"/>
      <c r="AN99" s="35">
        <f t="shared" si="178"/>
        <v>7</v>
      </c>
      <c r="AO99" s="34">
        <f t="shared" si="179"/>
        <v>3218.99</v>
      </c>
      <c r="AP99" s="34">
        <f t="shared" si="180"/>
        <v>321.89999999999998</v>
      </c>
      <c r="AQ99" s="34">
        <f t="shared" si="181"/>
        <v>3540.89</v>
      </c>
      <c r="AR99" s="15"/>
      <c r="AS99" s="35">
        <f t="shared" si="182"/>
        <v>30</v>
      </c>
      <c r="AT99" s="34">
        <f t="shared" si="183"/>
        <v>13795.65</v>
      </c>
      <c r="AU99" s="34">
        <f t="shared" si="184"/>
        <v>1379.57</v>
      </c>
      <c r="AV99" s="34">
        <f t="shared" si="185"/>
        <v>15175.22</v>
      </c>
      <c r="AW99" s="15"/>
      <c r="AX99" s="35">
        <f t="shared" si="186"/>
        <v>31</v>
      </c>
      <c r="AY99" s="34">
        <f t="shared" si="187"/>
        <v>14255.51</v>
      </c>
      <c r="AZ99" s="34">
        <f t="shared" si="188"/>
        <v>1425.55</v>
      </c>
      <c r="BA99" s="34">
        <f t="shared" si="189"/>
        <v>15681.06</v>
      </c>
      <c r="BB99" s="15"/>
      <c r="BC99" s="35">
        <f t="shared" si="190"/>
        <v>31</v>
      </c>
      <c r="BD99" s="34">
        <f t="shared" si="191"/>
        <v>14255.51</v>
      </c>
      <c r="BE99" s="34">
        <f t="shared" si="192"/>
        <v>1425.55</v>
      </c>
      <c r="BF99" s="34">
        <f t="shared" si="193"/>
        <v>15681.06</v>
      </c>
      <c r="BG99" s="15"/>
      <c r="BH99" s="35">
        <f t="shared" si="194"/>
        <v>30</v>
      </c>
      <c r="BI99" s="34">
        <f t="shared" si="195"/>
        <v>13795.65</v>
      </c>
      <c r="BJ99" s="34">
        <f t="shared" si="196"/>
        <v>1379.57</v>
      </c>
      <c r="BK99" s="34">
        <f t="shared" si="197"/>
        <v>15175.22</v>
      </c>
      <c r="BL99" s="15"/>
      <c r="BM99" s="35">
        <f t="shared" si="198"/>
        <v>31</v>
      </c>
      <c r="BN99" s="34">
        <f t="shared" si="199"/>
        <v>14255.51</v>
      </c>
      <c r="BO99" s="34">
        <f t="shared" si="200"/>
        <v>1425.55</v>
      </c>
      <c r="BP99" s="34">
        <f t="shared" si="201"/>
        <v>15681.06</v>
      </c>
      <c r="BQ99" s="15"/>
      <c r="BR99" s="35">
        <f t="shared" si="202"/>
        <v>30</v>
      </c>
      <c r="BS99" s="34">
        <f t="shared" si="203"/>
        <v>13795.65</v>
      </c>
      <c r="BT99" s="34">
        <f t="shared" si="204"/>
        <v>1379.57</v>
      </c>
      <c r="BU99" s="34">
        <f t="shared" si="205"/>
        <v>15175.22</v>
      </c>
      <c r="BV99" s="15"/>
      <c r="BW99" s="35">
        <f t="shared" si="206"/>
        <v>10</v>
      </c>
      <c r="BX99" s="34">
        <f t="shared" si="207"/>
        <v>4598.55</v>
      </c>
      <c r="BY99" s="34">
        <f t="shared" si="208"/>
        <v>459.86</v>
      </c>
      <c r="BZ99" s="34">
        <f t="shared" si="209"/>
        <v>5058.41</v>
      </c>
      <c r="CA99" s="35">
        <f t="shared" si="210"/>
        <v>200</v>
      </c>
      <c r="CB99" s="34">
        <f t="shared" si="211"/>
        <v>91971.02</v>
      </c>
      <c r="CC99" s="34">
        <f t="shared" si="212"/>
        <v>9197.1200000000008</v>
      </c>
      <c r="CD99" s="34">
        <f t="shared" si="213"/>
        <v>101168.14</v>
      </c>
      <c r="CE99" s="16">
        <f t="shared" si="214"/>
        <v>-0.02</v>
      </c>
      <c r="CF99" s="16">
        <f t="shared" si="215"/>
        <v>-0.02</v>
      </c>
      <c r="CG99" s="31" t="s">
        <v>675</v>
      </c>
      <c r="CH99" s="31" t="s">
        <v>676</v>
      </c>
      <c r="CI99" s="31" t="s">
        <v>49</v>
      </c>
      <c r="CJ99" s="31" t="s">
        <v>677</v>
      </c>
      <c r="CK99" s="31" t="s">
        <v>676</v>
      </c>
      <c r="CL99" s="31" t="s">
        <v>678</v>
      </c>
      <c r="CM99" s="29">
        <v>46164</v>
      </c>
      <c r="CN99" s="28" t="s">
        <v>677</v>
      </c>
      <c r="CO99" s="28"/>
      <c r="CP99" s="28"/>
    </row>
    <row r="100" spans="1:94" ht="40.049999999999997" customHeight="1" x14ac:dyDescent="0.25">
      <c r="A100" s="62">
        <v>149</v>
      </c>
      <c r="B100" s="63">
        <v>175</v>
      </c>
      <c r="C100" s="1" t="s">
        <v>258</v>
      </c>
      <c r="D100" s="2" t="s">
        <v>679</v>
      </c>
      <c r="E100" s="2" t="s">
        <v>712</v>
      </c>
      <c r="F100" s="2" t="s">
        <v>713</v>
      </c>
      <c r="G100" s="2" t="s">
        <v>714</v>
      </c>
      <c r="H100" s="64">
        <v>32</v>
      </c>
      <c r="I100" s="1" t="s">
        <v>46</v>
      </c>
      <c r="J100" s="3">
        <v>826.73</v>
      </c>
      <c r="K100" s="1">
        <v>195</v>
      </c>
      <c r="L100" s="4">
        <v>171960</v>
      </c>
      <c r="M100" s="4">
        <v>17196</v>
      </c>
      <c r="N100" s="4">
        <v>189156</v>
      </c>
      <c r="O100" s="31" t="s">
        <v>715</v>
      </c>
      <c r="P100" s="31" t="s">
        <v>432</v>
      </c>
      <c r="Q100" s="35">
        <f t="shared" si="162"/>
        <v>195</v>
      </c>
      <c r="R100" s="14">
        <v>46167</v>
      </c>
      <c r="S100" s="14">
        <f t="shared" si="163"/>
        <v>46361</v>
      </c>
      <c r="T100" s="34">
        <v>171960</v>
      </c>
      <c r="U100" s="34">
        <f t="shared" si="164"/>
        <v>17196</v>
      </c>
      <c r="V100" s="34">
        <f t="shared" si="165"/>
        <v>189156</v>
      </c>
      <c r="W100" s="35"/>
      <c r="X100" s="14">
        <f t="shared" si="166"/>
        <v>46167</v>
      </c>
      <c r="Y100" s="14" t="str">
        <f t="shared" si="167"/>
        <v/>
      </c>
      <c r="Z100" s="34"/>
      <c r="AA100" s="34">
        <f t="shared" si="168"/>
        <v>0</v>
      </c>
      <c r="AB100" s="34">
        <f t="shared" si="169"/>
        <v>0</v>
      </c>
      <c r="AC100" s="15"/>
      <c r="AD100" s="35">
        <f t="shared" si="170"/>
        <v>0</v>
      </c>
      <c r="AE100" s="34">
        <f t="shared" si="171"/>
        <v>0</v>
      </c>
      <c r="AF100" s="34">
        <f t="shared" si="172"/>
        <v>0</v>
      </c>
      <c r="AG100" s="34">
        <f t="shared" si="173"/>
        <v>0</v>
      </c>
      <c r="AH100" s="15"/>
      <c r="AI100" s="35">
        <f t="shared" si="174"/>
        <v>0</v>
      </c>
      <c r="AJ100" s="34">
        <f t="shared" si="175"/>
        <v>0</v>
      </c>
      <c r="AK100" s="34">
        <f t="shared" si="176"/>
        <v>0</v>
      </c>
      <c r="AL100" s="34">
        <f t="shared" si="177"/>
        <v>0</v>
      </c>
      <c r="AM100" s="15"/>
      <c r="AN100" s="35">
        <f t="shared" si="178"/>
        <v>7</v>
      </c>
      <c r="AO100" s="34">
        <f t="shared" si="179"/>
        <v>6172.92</v>
      </c>
      <c r="AP100" s="34">
        <f t="shared" si="180"/>
        <v>617.29</v>
      </c>
      <c r="AQ100" s="34">
        <f t="shared" si="181"/>
        <v>6790.21</v>
      </c>
      <c r="AR100" s="15"/>
      <c r="AS100" s="35">
        <f t="shared" si="182"/>
        <v>30</v>
      </c>
      <c r="AT100" s="34">
        <f t="shared" si="183"/>
        <v>26455.38</v>
      </c>
      <c r="AU100" s="34">
        <f t="shared" si="184"/>
        <v>2645.54</v>
      </c>
      <c r="AV100" s="34">
        <f t="shared" si="185"/>
        <v>29100.920000000002</v>
      </c>
      <c r="AW100" s="15"/>
      <c r="AX100" s="35">
        <f t="shared" si="186"/>
        <v>31</v>
      </c>
      <c r="AY100" s="34">
        <f t="shared" si="187"/>
        <v>27337.23</v>
      </c>
      <c r="AZ100" s="34">
        <f t="shared" si="188"/>
        <v>2733.72</v>
      </c>
      <c r="BA100" s="34">
        <f t="shared" si="189"/>
        <v>30070.95</v>
      </c>
      <c r="BB100" s="15"/>
      <c r="BC100" s="35">
        <f t="shared" si="190"/>
        <v>31</v>
      </c>
      <c r="BD100" s="34">
        <f t="shared" si="191"/>
        <v>27337.23</v>
      </c>
      <c r="BE100" s="34">
        <f t="shared" si="192"/>
        <v>2733.72</v>
      </c>
      <c r="BF100" s="34">
        <f t="shared" si="193"/>
        <v>30070.95</v>
      </c>
      <c r="BG100" s="15"/>
      <c r="BH100" s="35">
        <f t="shared" si="194"/>
        <v>30</v>
      </c>
      <c r="BI100" s="34">
        <f t="shared" si="195"/>
        <v>26455.38</v>
      </c>
      <c r="BJ100" s="34">
        <f t="shared" si="196"/>
        <v>2645.54</v>
      </c>
      <c r="BK100" s="34">
        <f t="shared" si="197"/>
        <v>29100.920000000002</v>
      </c>
      <c r="BL100" s="15"/>
      <c r="BM100" s="35">
        <f t="shared" si="198"/>
        <v>31</v>
      </c>
      <c r="BN100" s="34">
        <f t="shared" si="199"/>
        <v>27337.23</v>
      </c>
      <c r="BO100" s="34">
        <f t="shared" si="200"/>
        <v>2733.72</v>
      </c>
      <c r="BP100" s="34">
        <f t="shared" si="201"/>
        <v>30070.95</v>
      </c>
      <c r="BQ100" s="15"/>
      <c r="BR100" s="35">
        <f t="shared" si="202"/>
        <v>30</v>
      </c>
      <c r="BS100" s="34">
        <f t="shared" si="203"/>
        <v>26455.38</v>
      </c>
      <c r="BT100" s="34">
        <f t="shared" si="204"/>
        <v>2645.54</v>
      </c>
      <c r="BU100" s="34">
        <f t="shared" si="205"/>
        <v>29100.920000000002</v>
      </c>
      <c r="BV100" s="15"/>
      <c r="BW100" s="35">
        <f t="shared" si="206"/>
        <v>5</v>
      </c>
      <c r="BX100" s="34">
        <f t="shared" si="207"/>
        <v>4409.2299999999996</v>
      </c>
      <c r="BY100" s="34">
        <f t="shared" si="208"/>
        <v>440.92</v>
      </c>
      <c r="BZ100" s="34">
        <f t="shared" si="209"/>
        <v>4850.1499999999996</v>
      </c>
      <c r="CA100" s="35">
        <f t="shared" si="210"/>
        <v>195</v>
      </c>
      <c r="CB100" s="34">
        <f t="shared" si="211"/>
        <v>171959.98</v>
      </c>
      <c r="CC100" s="34">
        <f t="shared" si="212"/>
        <v>17195.989999999994</v>
      </c>
      <c r="CD100" s="34">
        <f t="shared" si="213"/>
        <v>189155.97</v>
      </c>
      <c r="CE100" s="16">
        <f t="shared" si="214"/>
        <v>0.02</v>
      </c>
      <c r="CF100" s="16">
        <f t="shared" si="215"/>
        <v>0.01</v>
      </c>
      <c r="CG100" s="31" t="s">
        <v>675</v>
      </c>
      <c r="CH100" s="31" t="s">
        <v>676</v>
      </c>
      <c r="CI100" s="31" t="s">
        <v>49</v>
      </c>
      <c r="CJ100" s="31" t="s">
        <v>677</v>
      </c>
      <c r="CK100" s="31" t="s">
        <v>676</v>
      </c>
      <c r="CL100" s="31" t="s">
        <v>678</v>
      </c>
      <c r="CM100" s="29">
        <v>46164</v>
      </c>
      <c r="CN100" s="28" t="s">
        <v>677</v>
      </c>
      <c r="CO100" s="28"/>
      <c r="CP100" s="28"/>
    </row>
    <row r="101" spans="1:94" ht="40.049999999999997" customHeight="1" x14ac:dyDescent="0.25">
      <c r="A101" s="62">
        <v>150</v>
      </c>
      <c r="B101" s="63">
        <v>175</v>
      </c>
      <c r="C101" s="1" t="s">
        <v>258</v>
      </c>
      <c r="D101" s="2" t="s">
        <v>679</v>
      </c>
      <c r="E101" s="2" t="s">
        <v>712</v>
      </c>
      <c r="F101" s="2" t="s">
        <v>716</v>
      </c>
      <c r="G101" s="2" t="s">
        <v>717</v>
      </c>
      <c r="H101" s="64">
        <v>23.2</v>
      </c>
      <c r="I101" s="1" t="s">
        <v>46</v>
      </c>
      <c r="J101" s="3">
        <v>805.44</v>
      </c>
      <c r="K101" s="1">
        <v>202</v>
      </c>
      <c r="L101" s="4">
        <v>125820</v>
      </c>
      <c r="M101" s="4">
        <v>12582</v>
      </c>
      <c r="N101" s="4">
        <v>138402</v>
      </c>
      <c r="O101" s="31" t="s">
        <v>718</v>
      </c>
      <c r="P101" s="31" t="s">
        <v>719</v>
      </c>
      <c r="Q101" s="35">
        <f t="shared" si="162"/>
        <v>202</v>
      </c>
      <c r="R101" s="14">
        <v>46181</v>
      </c>
      <c r="S101" s="14">
        <f t="shared" si="163"/>
        <v>46382</v>
      </c>
      <c r="T101" s="34">
        <v>125820</v>
      </c>
      <c r="U101" s="34">
        <f t="shared" si="164"/>
        <v>12582</v>
      </c>
      <c r="V101" s="34">
        <f t="shared" si="165"/>
        <v>138402</v>
      </c>
      <c r="W101" s="35"/>
      <c r="X101" s="14">
        <f t="shared" si="166"/>
        <v>46181</v>
      </c>
      <c r="Y101" s="14" t="str">
        <f t="shared" si="167"/>
        <v/>
      </c>
      <c r="Z101" s="34"/>
      <c r="AA101" s="34">
        <f t="shared" si="168"/>
        <v>0</v>
      </c>
      <c r="AB101" s="34">
        <f t="shared" si="169"/>
        <v>0</v>
      </c>
      <c r="AC101" s="15"/>
      <c r="AD101" s="35">
        <f t="shared" si="170"/>
        <v>0</v>
      </c>
      <c r="AE101" s="34">
        <f t="shared" si="171"/>
        <v>0</v>
      </c>
      <c r="AF101" s="34">
        <f t="shared" si="172"/>
        <v>0</v>
      </c>
      <c r="AG101" s="34">
        <f t="shared" si="173"/>
        <v>0</v>
      </c>
      <c r="AH101" s="15"/>
      <c r="AI101" s="35">
        <f t="shared" si="174"/>
        <v>0</v>
      </c>
      <c r="AJ101" s="34">
        <f t="shared" si="175"/>
        <v>0</v>
      </c>
      <c r="AK101" s="34">
        <f t="shared" si="176"/>
        <v>0</v>
      </c>
      <c r="AL101" s="34">
        <f t="shared" si="177"/>
        <v>0</v>
      </c>
      <c r="AM101" s="15"/>
      <c r="AN101" s="35">
        <f t="shared" si="178"/>
        <v>0</v>
      </c>
      <c r="AO101" s="34">
        <f t="shared" si="179"/>
        <v>0</v>
      </c>
      <c r="AP101" s="34">
        <f t="shared" si="180"/>
        <v>0</v>
      </c>
      <c r="AQ101" s="34">
        <f t="shared" si="181"/>
        <v>0</v>
      </c>
      <c r="AR101" s="15"/>
      <c r="AS101" s="35">
        <f t="shared" si="182"/>
        <v>23</v>
      </c>
      <c r="AT101" s="34">
        <f t="shared" si="183"/>
        <v>14326.04</v>
      </c>
      <c r="AU101" s="34">
        <f t="shared" si="184"/>
        <v>1432.6</v>
      </c>
      <c r="AV101" s="34">
        <f t="shared" si="185"/>
        <v>15758.640000000001</v>
      </c>
      <c r="AW101" s="15"/>
      <c r="AX101" s="35">
        <f t="shared" si="186"/>
        <v>31</v>
      </c>
      <c r="AY101" s="34">
        <f t="shared" si="187"/>
        <v>19309.009999999998</v>
      </c>
      <c r="AZ101" s="34">
        <f t="shared" si="188"/>
        <v>1930.9</v>
      </c>
      <c r="BA101" s="34">
        <f t="shared" si="189"/>
        <v>21239.91</v>
      </c>
      <c r="BB101" s="15"/>
      <c r="BC101" s="35">
        <f t="shared" si="190"/>
        <v>31</v>
      </c>
      <c r="BD101" s="34">
        <f t="shared" si="191"/>
        <v>19309.009999999998</v>
      </c>
      <c r="BE101" s="34">
        <f t="shared" si="192"/>
        <v>1930.9</v>
      </c>
      <c r="BF101" s="34">
        <f t="shared" si="193"/>
        <v>21239.91</v>
      </c>
      <c r="BG101" s="15"/>
      <c r="BH101" s="35">
        <f t="shared" si="194"/>
        <v>30</v>
      </c>
      <c r="BI101" s="34">
        <f t="shared" si="195"/>
        <v>18686.14</v>
      </c>
      <c r="BJ101" s="34">
        <f t="shared" si="196"/>
        <v>1868.61</v>
      </c>
      <c r="BK101" s="34">
        <f t="shared" si="197"/>
        <v>20554.75</v>
      </c>
      <c r="BL101" s="15"/>
      <c r="BM101" s="35">
        <f t="shared" si="198"/>
        <v>31</v>
      </c>
      <c r="BN101" s="34">
        <f t="shared" si="199"/>
        <v>19309.009999999998</v>
      </c>
      <c r="BO101" s="34">
        <f t="shared" si="200"/>
        <v>1930.9</v>
      </c>
      <c r="BP101" s="34">
        <f t="shared" si="201"/>
        <v>21239.91</v>
      </c>
      <c r="BQ101" s="15"/>
      <c r="BR101" s="35">
        <f t="shared" si="202"/>
        <v>30</v>
      </c>
      <c r="BS101" s="34">
        <f t="shared" si="203"/>
        <v>18686.14</v>
      </c>
      <c r="BT101" s="34">
        <f t="shared" si="204"/>
        <v>1868.61</v>
      </c>
      <c r="BU101" s="34">
        <f t="shared" si="205"/>
        <v>20554.75</v>
      </c>
      <c r="BV101" s="15"/>
      <c r="BW101" s="35">
        <f t="shared" si="206"/>
        <v>26</v>
      </c>
      <c r="BX101" s="34">
        <f t="shared" si="207"/>
        <v>16194.65</v>
      </c>
      <c r="BY101" s="34">
        <f t="shared" si="208"/>
        <v>1619.47</v>
      </c>
      <c r="BZ101" s="34">
        <f t="shared" si="209"/>
        <v>17814.12</v>
      </c>
      <c r="CA101" s="35">
        <f t="shared" si="210"/>
        <v>202</v>
      </c>
      <c r="CB101" s="34">
        <f t="shared" si="211"/>
        <v>125819.99999999999</v>
      </c>
      <c r="CC101" s="34">
        <f t="shared" si="212"/>
        <v>12581.99</v>
      </c>
      <c r="CD101" s="34">
        <f t="shared" si="213"/>
        <v>138401.99</v>
      </c>
      <c r="CE101" s="16">
        <f t="shared" si="214"/>
        <v>0</v>
      </c>
      <c r="CF101" s="16">
        <f t="shared" si="215"/>
        <v>0.01</v>
      </c>
      <c r="CG101" s="31" t="s">
        <v>675</v>
      </c>
      <c r="CH101" s="31" t="s">
        <v>676</v>
      </c>
      <c r="CI101" s="31" t="s">
        <v>49</v>
      </c>
      <c r="CJ101" s="31" t="s">
        <v>677</v>
      </c>
      <c r="CK101" s="31" t="s">
        <v>676</v>
      </c>
      <c r="CL101" s="31" t="s">
        <v>678</v>
      </c>
      <c r="CM101" s="29">
        <v>46164</v>
      </c>
      <c r="CN101" s="28" t="s">
        <v>677</v>
      </c>
      <c r="CO101" s="28"/>
      <c r="CP101" s="28"/>
    </row>
    <row r="102" spans="1:94" ht="40.049999999999997" customHeight="1" x14ac:dyDescent="0.25">
      <c r="A102" s="62">
        <v>151</v>
      </c>
      <c r="B102" s="63">
        <v>175</v>
      </c>
      <c r="C102" s="1" t="s">
        <v>258</v>
      </c>
      <c r="D102" s="2" t="s">
        <v>679</v>
      </c>
      <c r="E102" s="2" t="s">
        <v>720</v>
      </c>
      <c r="F102" s="2" t="s">
        <v>721</v>
      </c>
      <c r="G102" s="2" t="s">
        <v>722</v>
      </c>
      <c r="H102" s="64">
        <v>33.517000000000003</v>
      </c>
      <c r="I102" s="1" t="s">
        <v>46</v>
      </c>
      <c r="J102" s="3">
        <v>797.62</v>
      </c>
      <c r="K102" s="1">
        <v>195</v>
      </c>
      <c r="L102" s="4">
        <v>173770</v>
      </c>
      <c r="M102" s="4">
        <v>17377</v>
      </c>
      <c r="N102" s="4">
        <v>191147</v>
      </c>
      <c r="O102" s="31" t="s">
        <v>723</v>
      </c>
      <c r="P102" s="31" t="s">
        <v>724</v>
      </c>
      <c r="Q102" s="35">
        <f t="shared" si="162"/>
        <v>195</v>
      </c>
      <c r="R102" s="14">
        <v>46167</v>
      </c>
      <c r="S102" s="14">
        <f t="shared" si="163"/>
        <v>46361</v>
      </c>
      <c r="T102" s="34">
        <v>173770</v>
      </c>
      <c r="U102" s="34">
        <f t="shared" si="164"/>
        <v>17377</v>
      </c>
      <c r="V102" s="34">
        <f t="shared" si="165"/>
        <v>191147</v>
      </c>
      <c r="W102" s="35"/>
      <c r="X102" s="14">
        <f t="shared" si="166"/>
        <v>46167</v>
      </c>
      <c r="Y102" s="14" t="str">
        <f t="shared" si="167"/>
        <v/>
      </c>
      <c r="Z102" s="34"/>
      <c r="AA102" s="34">
        <f t="shared" si="168"/>
        <v>0</v>
      </c>
      <c r="AB102" s="34">
        <f t="shared" si="169"/>
        <v>0</v>
      </c>
      <c r="AC102" s="15"/>
      <c r="AD102" s="35">
        <f t="shared" si="170"/>
        <v>0</v>
      </c>
      <c r="AE102" s="34">
        <f t="shared" si="171"/>
        <v>0</v>
      </c>
      <c r="AF102" s="34">
        <f t="shared" si="172"/>
        <v>0</v>
      </c>
      <c r="AG102" s="34">
        <f t="shared" si="173"/>
        <v>0</v>
      </c>
      <c r="AH102" s="15"/>
      <c r="AI102" s="35">
        <f t="shared" si="174"/>
        <v>0</v>
      </c>
      <c r="AJ102" s="34">
        <f t="shared" si="175"/>
        <v>0</v>
      </c>
      <c r="AK102" s="34">
        <f t="shared" si="176"/>
        <v>0</v>
      </c>
      <c r="AL102" s="34">
        <f t="shared" si="177"/>
        <v>0</v>
      </c>
      <c r="AM102" s="15"/>
      <c r="AN102" s="35">
        <f t="shared" si="178"/>
        <v>7</v>
      </c>
      <c r="AO102" s="34">
        <f t="shared" si="179"/>
        <v>6237.9</v>
      </c>
      <c r="AP102" s="34">
        <f t="shared" si="180"/>
        <v>623.79</v>
      </c>
      <c r="AQ102" s="34">
        <f t="shared" si="181"/>
        <v>6861.69</v>
      </c>
      <c r="AR102" s="15"/>
      <c r="AS102" s="35">
        <f t="shared" si="182"/>
        <v>30</v>
      </c>
      <c r="AT102" s="34">
        <f t="shared" si="183"/>
        <v>26733.85</v>
      </c>
      <c r="AU102" s="34">
        <f t="shared" si="184"/>
        <v>2673.39</v>
      </c>
      <c r="AV102" s="34">
        <f t="shared" si="185"/>
        <v>29407.239999999998</v>
      </c>
      <c r="AW102" s="15"/>
      <c r="AX102" s="35">
        <f t="shared" si="186"/>
        <v>31</v>
      </c>
      <c r="AY102" s="34">
        <f t="shared" si="187"/>
        <v>27624.97</v>
      </c>
      <c r="AZ102" s="34">
        <f t="shared" si="188"/>
        <v>2762.5</v>
      </c>
      <c r="BA102" s="34">
        <f t="shared" si="189"/>
        <v>30387.47</v>
      </c>
      <c r="BB102" s="15"/>
      <c r="BC102" s="35">
        <f t="shared" si="190"/>
        <v>31</v>
      </c>
      <c r="BD102" s="34">
        <f t="shared" si="191"/>
        <v>27624.97</v>
      </c>
      <c r="BE102" s="34">
        <f t="shared" si="192"/>
        <v>2762.5</v>
      </c>
      <c r="BF102" s="34">
        <f t="shared" si="193"/>
        <v>30387.47</v>
      </c>
      <c r="BG102" s="15"/>
      <c r="BH102" s="35">
        <f t="shared" si="194"/>
        <v>30</v>
      </c>
      <c r="BI102" s="34">
        <f t="shared" si="195"/>
        <v>26733.85</v>
      </c>
      <c r="BJ102" s="34">
        <f t="shared" si="196"/>
        <v>2673.39</v>
      </c>
      <c r="BK102" s="34">
        <f t="shared" si="197"/>
        <v>29407.239999999998</v>
      </c>
      <c r="BL102" s="15"/>
      <c r="BM102" s="35">
        <f t="shared" si="198"/>
        <v>31</v>
      </c>
      <c r="BN102" s="34">
        <f t="shared" si="199"/>
        <v>27624.97</v>
      </c>
      <c r="BO102" s="34">
        <f t="shared" si="200"/>
        <v>2762.5</v>
      </c>
      <c r="BP102" s="34">
        <f t="shared" si="201"/>
        <v>30387.47</v>
      </c>
      <c r="BQ102" s="15"/>
      <c r="BR102" s="35">
        <f t="shared" si="202"/>
        <v>30</v>
      </c>
      <c r="BS102" s="34">
        <f t="shared" si="203"/>
        <v>26733.85</v>
      </c>
      <c r="BT102" s="34">
        <f t="shared" si="204"/>
        <v>2673.39</v>
      </c>
      <c r="BU102" s="34">
        <f t="shared" si="205"/>
        <v>29407.239999999998</v>
      </c>
      <c r="BV102" s="15"/>
      <c r="BW102" s="35">
        <f t="shared" si="206"/>
        <v>5</v>
      </c>
      <c r="BX102" s="34">
        <f t="shared" si="207"/>
        <v>4455.6400000000003</v>
      </c>
      <c r="BY102" s="34">
        <f t="shared" si="208"/>
        <v>445.56</v>
      </c>
      <c r="BZ102" s="34">
        <f t="shared" si="209"/>
        <v>4901.2000000000007</v>
      </c>
      <c r="CA102" s="35">
        <f t="shared" si="210"/>
        <v>195</v>
      </c>
      <c r="CB102" s="34">
        <f t="shared" si="211"/>
        <v>173770.00000000003</v>
      </c>
      <c r="CC102" s="34">
        <f t="shared" si="212"/>
        <v>17377.02</v>
      </c>
      <c r="CD102" s="34">
        <f t="shared" si="213"/>
        <v>191147.02000000002</v>
      </c>
      <c r="CE102" s="16">
        <f t="shared" si="214"/>
        <v>0</v>
      </c>
      <c r="CF102" s="16">
        <f t="shared" si="215"/>
        <v>-0.02</v>
      </c>
      <c r="CG102" s="31" t="s">
        <v>675</v>
      </c>
      <c r="CH102" s="31" t="s">
        <v>676</v>
      </c>
      <c r="CI102" s="31" t="s">
        <v>49</v>
      </c>
      <c r="CJ102" s="31" t="s">
        <v>677</v>
      </c>
      <c r="CK102" s="31" t="s">
        <v>676</v>
      </c>
      <c r="CL102" s="31" t="s">
        <v>678</v>
      </c>
      <c r="CM102" s="29">
        <v>46164</v>
      </c>
      <c r="CN102" s="28" t="s">
        <v>677</v>
      </c>
      <c r="CO102" s="28"/>
      <c r="CP102" s="28"/>
    </row>
    <row r="103" spans="1:94" ht="40.049999999999997" customHeight="1" thickBot="1" x14ac:dyDescent="0.3">
      <c r="A103" s="65">
        <v>152</v>
      </c>
      <c r="B103" s="66">
        <v>175</v>
      </c>
      <c r="C103" s="46" t="s">
        <v>258</v>
      </c>
      <c r="D103" s="47" t="s">
        <v>679</v>
      </c>
      <c r="E103" s="47" t="s">
        <v>725</v>
      </c>
      <c r="F103" s="47" t="s">
        <v>726</v>
      </c>
      <c r="G103" s="47" t="s">
        <v>727</v>
      </c>
      <c r="H103" s="67">
        <v>16.5</v>
      </c>
      <c r="I103" s="46" t="s">
        <v>46</v>
      </c>
      <c r="J103" s="48">
        <v>816.02</v>
      </c>
      <c r="K103" s="46">
        <v>200</v>
      </c>
      <c r="L103" s="49">
        <v>89762</v>
      </c>
      <c r="M103" s="49">
        <v>8976</v>
      </c>
      <c r="N103" s="49">
        <v>98738</v>
      </c>
      <c r="O103" s="53" t="s">
        <v>728</v>
      </c>
      <c r="P103" s="53" t="s">
        <v>729</v>
      </c>
      <c r="Q103" s="60">
        <f t="shared" si="162"/>
        <v>200</v>
      </c>
      <c r="R103" s="50">
        <v>46167</v>
      </c>
      <c r="S103" s="50">
        <f t="shared" si="163"/>
        <v>46366</v>
      </c>
      <c r="T103" s="58">
        <v>89762</v>
      </c>
      <c r="U103" s="58">
        <f t="shared" si="164"/>
        <v>8976.2000000000007</v>
      </c>
      <c r="V103" s="58">
        <f t="shared" si="165"/>
        <v>98738.2</v>
      </c>
      <c r="W103" s="60"/>
      <c r="X103" s="50">
        <f t="shared" si="166"/>
        <v>46167</v>
      </c>
      <c r="Y103" s="50" t="str">
        <f t="shared" si="167"/>
        <v/>
      </c>
      <c r="Z103" s="58"/>
      <c r="AA103" s="58">
        <f t="shared" si="168"/>
        <v>0</v>
      </c>
      <c r="AB103" s="58">
        <f t="shared" si="169"/>
        <v>0</v>
      </c>
      <c r="AC103" s="51"/>
      <c r="AD103" s="60">
        <f t="shared" si="170"/>
        <v>0</v>
      </c>
      <c r="AE103" s="58">
        <f t="shared" si="171"/>
        <v>0</v>
      </c>
      <c r="AF103" s="58">
        <f t="shared" si="172"/>
        <v>0</v>
      </c>
      <c r="AG103" s="58">
        <f t="shared" si="173"/>
        <v>0</v>
      </c>
      <c r="AH103" s="51"/>
      <c r="AI103" s="60">
        <f t="shared" si="174"/>
        <v>0</v>
      </c>
      <c r="AJ103" s="58">
        <f t="shared" si="175"/>
        <v>0</v>
      </c>
      <c r="AK103" s="58">
        <f t="shared" si="176"/>
        <v>0</v>
      </c>
      <c r="AL103" s="58">
        <f t="shared" si="177"/>
        <v>0</v>
      </c>
      <c r="AM103" s="51"/>
      <c r="AN103" s="60">
        <f t="shared" si="178"/>
        <v>7</v>
      </c>
      <c r="AO103" s="58">
        <f t="shared" si="179"/>
        <v>3141.67</v>
      </c>
      <c r="AP103" s="58">
        <f t="shared" si="180"/>
        <v>314.17</v>
      </c>
      <c r="AQ103" s="58">
        <f t="shared" si="181"/>
        <v>3455.84</v>
      </c>
      <c r="AR103" s="51"/>
      <c r="AS103" s="60">
        <f t="shared" si="182"/>
        <v>30</v>
      </c>
      <c r="AT103" s="58">
        <f t="shared" si="183"/>
        <v>13464.3</v>
      </c>
      <c r="AU103" s="58">
        <f t="shared" si="184"/>
        <v>1346.43</v>
      </c>
      <c r="AV103" s="58">
        <f t="shared" si="185"/>
        <v>14810.73</v>
      </c>
      <c r="AW103" s="51"/>
      <c r="AX103" s="60">
        <f t="shared" si="186"/>
        <v>31</v>
      </c>
      <c r="AY103" s="58">
        <f t="shared" si="187"/>
        <v>13913.11</v>
      </c>
      <c r="AZ103" s="58">
        <f t="shared" si="188"/>
        <v>1391.31</v>
      </c>
      <c r="BA103" s="58">
        <f t="shared" si="189"/>
        <v>15304.42</v>
      </c>
      <c r="BB103" s="51"/>
      <c r="BC103" s="60">
        <f t="shared" si="190"/>
        <v>31</v>
      </c>
      <c r="BD103" s="58">
        <f t="shared" si="191"/>
        <v>13913.11</v>
      </c>
      <c r="BE103" s="58">
        <f t="shared" si="192"/>
        <v>1391.31</v>
      </c>
      <c r="BF103" s="58">
        <f t="shared" si="193"/>
        <v>15304.42</v>
      </c>
      <c r="BG103" s="51"/>
      <c r="BH103" s="60">
        <f t="shared" si="194"/>
        <v>30</v>
      </c>
      <c r="BI103" s="58">
        <f t="shared" si="195"/>
        <v>13464.3</v>
      </c>
      <c r="BJ103" s="58">
        <f t="shared" si="196"/>
        <v>1346.43</v>
      </c>
      <c r="BK103" s="58">
        <f t="shared" si="197"/>
        <v>14810.73</v>
      </c>
      <c r="BL103" s="51"/>
      <c r="BM103" s="60">
        <f t="shared" si="198"/>
        <v>31</v>
      </c>
      <c r="BN103" s="58">
        <f t="shared" si="199"/>
        <v>13913.11</v>
      </c>
      <c r="BO103" s="58">
        <f t="shared" si="200"/>
        <v>1391.31</v>
      </c>
      <c r="BP103" s="58">
        <f t="shared" si="201"/>
        <v>15304.42</v>
      </c>
      <c r="BQ103" s="51"/>
      <c r="BR103" s="60">
        <f t="shared" si="202"/>
        <v>30</v>
      </c>
      <c r="BS103" s="58">
        <f t="shared" si="203"/>
        <v>13464.3</v>
      </c>
      <c r="BT103" s="58">
        <f t="shared" si="204"/>
        <v>1346.43</v>
      </c>
      <c r="BU103" s="58">
        <f t="shared" si="205"/>
        <v>14810.73</v>
      </c>
      <c r="BV103" s="51"/>
      <c r="BW103" s="60">
        <f t="shared" si="206"/>
        <v>10</v>
      </c>
      <c r="BX103" s="58">
        <f t="shared" si="207"/>
        <v>4488.1000000000004</v>
      </c>
      <c r="BY103" s="58">
        <f t="shared" si="208"/>
        <v>448.81</v>
      </c>
      <c r="BZ103" s="58">
        <f t="shared" si="209"/>
        <v>4936.9100000000008</v>
      </c>
      <c r="CA103" s="60">
        <f t="shared" si="210"/>
        <v>200</v>
      </c>
      <c r="CB103" s="58">
        <f t="shared" si="211"/>
        <v>89762.000000000015</v>
      </c>
      <c r="CC103" s="58">
        <f t="shared" si="212"/>
        <v>8976.1999999999989</v>
      </c>
      <c r="CD103" s="58">
        <f t="shared" si="213"/>
        <v>98738.200000000012</v>
      </c>
      <c r="CE103" s="52">
        <f t="shared" si="214"/>
        <v>0</v>
      </c>
      <c r="CF103" s="52">
        <f t="shared" si="215"/>
        <v>0</v>
      </c>
      <c r="CG103" s="53" t="s">
        <v>675</v>
      </c>
      <c r="CH103" s="53" t="s">
        <v>676</v>
      </c>
      <c r="CI103" s="53" t="s">
        <v>49</v>
      </c>
      <c r="CJ103" s="53" t="s">
        <v>677</v>
      </c>
      <c r="CK103" s="53" t="s">
        <v>676</v>
      </c>
      <c r="CL103" s="53" t="s">
        <v>678</v>
      </c>
      <c r="CM103" s="54">
        <v>46164</v>
      </c>
      <c r="CN103" s="55" t="s">
        <v>677</v>
      </c>
      <c r="CO103" s="55"/>
      <c r="CP103" s="55"/>
    </row>
    <row r="104" spans="1:94" ht="40.049999999999997" customHeight="1" thickTop="1" x14ac:dyDescent="0.25">
      <c r="A104" s="68">
        <v>153</v>
      </c>
      <c r="B104" s="69">
        <v>107</v>
      </c>
      <c r="C104" s="36" t="s">
        <v>258</v>
      </c>
      <c r="D104" s="37" t="s">
        <v>730</v>
      </c>
      <c r="E104" s="37" t="s">
        <v>731</v>
      </c>
      <c r="F104" s="37" t="s">
        <v>732</v>
      </c>
      <c r="G104" s="37" t="s">
        <v>733</v>
      </c>
      <c r="H104" s="70">
        <v>43.841999999999999</v>
      </c>
      <c r="I104" s="36" t="s">
        <v>46</v>
      </c>
      <c r="J104" s="38">
        <v>810</v>
      </c>
      <c r="K104" s="36">
        <v>240</v>
      </c>
      <c r="L104" s="39">
        <v>284097</v>
      </c>
      <c r="M104" s="39">
        <v>28409</v>
      </c>
      <c r="N104" s="39">
        <v>312506</v>
      </c>
      <c r="O104" s="43" t="s">
        <v>734</v>
      </c>
      <c r="P104" s="43" t="s">
        <v>735</v>
      </c>
      <c r="Q104" s="61">
        <f t="shared" si="162"/>
        <v>240</v>
      </c>
      <c r="R104" s="40">
        <v>46113</v>
      </c>
      <c r="S104" s="40">
        <f t="shared" si="163"/>
        <v>46352</v>
      </c>
      <c r="T104" s="56">
        <v>269892.15000000002</v>
      </c>
      <c r="U104" s="56">
        <f t="shared" si="164"/>
        <v>26989.22</v>
      </c>
      <c r="V104" s="56">
        <f t="shared" si="165"/>
        <v>296881.37</v>
      </c>
      <c r="W104" s="61"/>
      <c r="X104" s="40">
        <f t="shared" si="166"/>
        <v>46113</v>
      </c>
      <c r="Y104" s="40" t="str">
        <f t="shared" si="167"/>
        <v/>
      </c>
      <c r="Z104" s="56"/>
      <c r="AA104" s="56">
        <f t="shared" si="168"/>
        <v>0</v>
      </c>
      <c r="AB104" s="56">
        <f t="shared" si="169"/>
        <v>0</v>
      </c>
      <c r="AC104" s="41"/>
      <c r="AD104" s="61">
        <f t="shared" si="170"/>
        <v>0</v>
      </c>
      <c r="AE104" s="56">
        <f t="shared" si="171"/>
        <v>0</v>
      </c>
      <c r="AF104" s="56">
        <f t="shared" si="172"/>
        <v>0</v>
      </c>
      <c r="AG104" s="56">
        <f t="shared" si="173"/>
        <v>0</v>
      </c>
      <c r="AH104" s="41"/>
      <c r="AI104" s="61">
        <f t="shared" si="174"/>
        <v>30</v>
      </c>
      <c r="AJ104" s="56">
        <f t="shared" si="175"/>
        <v>33736.519999999997</v>
      </c>
      <c r="AK104" s="56">
        <f t="shared" si="176"/>
        <v>3373.65</v>
      </c>
      <c r="AL104" s="56">
        <f t="shared" si="177"/>
        <v>37110.17</v>
      </c>
      <c r="AM104" s="41"/>
      <c r="AN104" s="61">
        <f t="shared" si="178"/>
        <v>31</v>
      </c>
      <c r="AO104" s="56">
        <f t="shared" si="179"/>
        <v>34861.07</v>
      </c>
      <c r="AP104" s="56">
        <f t="shared" si="180"/>
        <v>3486.11</v>
      </c>
      <c r="AQ104" s="56">
        <f t="shared" si="181"/>
        <v>38347.18</v>
      </c>
      <c r="AR104" s="41"/>
      <c r="AS104" s="61">
        <f t="shared" si="182"/>
        <v>30</v>
      </c>
      <c r="AT104" s="56">
        <f t="shared" si="183"/>
        <v>33736.519999999997</v>
      </c>
      <c r="AU104" s="56">
        <f t="shared" si="184"/>
        <v>3373.65</v>
      </c>
      <c r="AV104" s="56">
        <f t="shared" si="185"/>
        <v>37110.17</v>
      </c>
      <c r="AW104" s="41"/>
      <c r="AX104" s="61">
        <f t="shared" si="186"/>
        <v>31</v>
      </c>
      <c r="AY104" s="56">
        <f t="shared" si="187"/>
        <v>34861.07</v>
      </c>
      <c r="AZ104" s="56">
        <f t="shared" si="188"/>
        <v>3486.11</v>
      </c>
      <c r="BA104" s="56">
        <f t="shared" si="189"/>
        <v>38347.18</v>
      </c>
      <c r="BB104" s="41"/>
      <c r="BC104" s="61">
        <f t="shared" si="190"/>
        <v>31</v>
      </c>
      <c r="BD104" s="56">
        <f t="shared" si="191"/>
        <v>34861.07</v>
      </c>
      <c r="BE104" s="56">
        <f t="shared" si="192"/>
        <v>3486.11</v>
      </c>
      <c r="BF104" s="56">
        <f t="shared" si="193"/>
        <v>38347.18</v>
      </c>
      <c r="BG104" s="41"/>
      <c r="BH104" s="61">
        <f t="shared" si="194"/>
        <v>30</v>
      </c>
      <c r="BI104" s="56">
        <f t="shared" si="195"/>
        <v>33736.519999999997</v>
      </c>
      <c r="BJ104" s="56">
        <f t="shared" si="196"/>
        <v>3373.65</v>
      </c>
      <c r="BK104" s="56">
        <f t="shared" si="197"/>
        <v>37110.17</v>
      </c>
      <c r="BL104" s="41"/>
      <c r="BM104" s="61">
        <f t="shared" si="198"/>
        <v>31</v>
      </c>
      <c r="BN104" s="56">
        <f t="shared" si="199"/>
        <v>34861.07</v>
      </c>
      <c r="BO104" s="56">
        <f t="shared" si="200"/>
        <v>3486.11</v>
      </c>
      <c r="BP104" s="56">
        <f t="shared" si="201"/>
        <v>38347.18</v>
      </c>
      <c r="BQ104" s="41"/>
      <c r="BR104" s="61">
        <f t="shared" si="202"/>
        <v>26</v>
      </c>
      <c r="BS104" s="56">
        <f t="shared" si="203"/>
        <v>29238.32</v>
      </c>
      <c r="BT104" s="56">
        <f t="shared" si="204"/>
        <v>2923.83</v>
      </c>
      <c r="BU104" s="56">
        <f t="shared" si="205"/>
        <v>32162.15</v>
      </c>
      <c r="BV104" s="41"/>
      <c r="BW104" s="61">
        <f t="shared" si="206"/>
        <v>0</v>
      </c>
      <c r="BX104" s="56">
        <f t="shared" si="207"/>
        <v>0</v>
      </c>
      <c r="BY104" s="56">
        <f t="shared" si="208"/>
        <v>0</v>
      </c>
      <c r="BZ104" s="56">
        <f t="shared" si="209"/>
        <v>0</v>
      </c>
      <c r="CA104" s="61">
        <f t="shared" si="210"/>
        <v>240</v>
      </c>
      <c r="CB104" s="56">
        <f t="shared" si="211"/>
        <v>269892.15999999997</v>
      </c>
      <c r="CC104" s="56">
        <f t="shared" si="212"/>
        <v>26989.22</v>
      </c>
      <c r="CD104" s="56">
        <f t="shared" si="213"/>
        <v>296881.38</v>
      </c>
      <c r="CE104" s="42">
        <f t="shared" si="214"/>
        <v>-0.01</v>
      </c>
      <c r="CF104" s="42">
        <f t="shared" si="215"/>
        <v>0</v>
      </c>
      <c r="CG104" s="43" t="s">
        <v>736</v>
      </c>
      <c r="CH104" s="43" t="s">
        <v>737</v>
      </c>
      <c r="CI104" s="43" t="s">
        <v>49</v>
      </c>
      <c r="CJ104" s="43" t="s">
        <v>738</v>
      </c>
      <c r="CK104" s="43" t="s">
        <v>739</v>
      </c>
      <c r="CL104" s="43" t="s">
        <v>740</v>
      </c>
      <c r="CM104" s="44">
        <v>46121</v>
      </c>
      <c r="CN104" s="45" t="s">
        <v>741</v>
      </c>
      <c r="CO104" s="45"/>
      <c r="CP104" s="45"/>
    </row>
    <row r="105" spans="1:94" ht="40.049999999999997" customHeight="1" x14ac:dyDescent="0.25">
      <c r="A105" s="62">
        <v>154</v>
      </c>
      <c r="B105" s="63">
        <v>107</v>
      </c>
      <c r="C105" s="1" t="s">
        <v>258</v>
      </c>
      <c r="D105" s="2" t="s">
        <v>730</v>
      </c>
      <c r="E105" s="2" t="s">
        <v>742</v>
      </c>
      <c r="F105" s="2" t="s">
        <v>743</v>
      </c>
      <c r="G105" s="2" t="s">
        <v>744</v>
      </c>
      <c r="H105" s="64">
        <v>34.35</v>
      </c>
      <c r="I105" s="1" t="s">
        <v>46</v>
      </c>
      <c r="J105" s="3">
        <v>804</v>
      </c>
      <c r="K105" s="1">
        <v>240</v>
      </c>
      <c r="L105" s="4">
        <v>220940</v>
      </c>
      <c r="M105" s="4">
        <v>22094</v>
      </c>
      <c r="N105" s="4">
        <v>243034</v>
      </c>
      <c r="O105" s="31" t="s">
        <v>745</v>
      </c>
      <c r="P105" s="31" t="s">
        <v>746</v>
      </c>
      <c r="Q105" s="35">
        <f t="shared" si="162"/>
        <v>240</v>
      </c>
      <c r="R105" s="14">
        <v>46141</v>
      </c>
      <c r="S105" s="14">
        <f t="shared" si="163"/>
        <v>46380</v>
      </c>
      <c r="T105" s="34">
        <v>209893</v>
      </c>
      <c r="U105" s="34">
        <f t="shared" si="164"/>
        <v>20989.3</v>
      </c>
      <c r="V105" s="34">
        <f t="shared" si="165"/>
        <v>230882.3</v>
      </c>
      <c r="W105" s="35">
        <v>225</v>
      </c>
      <c r="X105" s="14">
        <f t="shared" si="166"/>
        <v>46141</v>
      </c>
      <c r="Y105" s="14">
        <f t="shared" si="167"/>
        <v>46365</v>
      </c>
      <c r="Z105" s="34">
        <v>196774</v>
      </c>
      <c r="AA105" s="34">
        <f t="shared" si="168"/>
        <v>19677.400000000001</v>
      </c>
      <c r="AB105" s="34">
        <f t="shared" si="169"/>
        <v>216451.4</v>
      </c>
      <c r="AC105" s="15"/>
      <c r="AD105" s="35">
        <f t="shared" si="170"/>
        <v>0</v>
      </c>
      <c r="AE105" s="34">
        <f t="shared" si="171"/>
        <v>0</v>
      </c>
      <c r="AF105" s="34">
        <f t="shared" si="172"/>
        <v>0</v>
      </c>
      <c r="AG105" s="34">
        <f t="shared" si="173"/>
        <v>0</v>
      </c>
      <c r="AH105" s="15"/>
      <c r="AI105" s="35">
        <f t="shared" si="174"/>
        <v>2</v>
      </c>
      <c r="AJ105" s="34">
        <f t="shared" si="175"/>
        <v>1749.1</v>
      </c>
      <c r="AK105" s="34">
        <f t="shared" si="176"/>
        <v>174.91</v>
      </c>
      <c r="AL105" s="34">
        <f t="shared" si="177"/>
        <v>1924.01</v>
      </c>
      <c r="AM105" s="15"/>
      <c r="AN105" s="35">
        <f t="shared" si="178"/>
        <v>31</v>
      </c>
      <c r="AO105" s="34">
        <f t="shared" si="179"/>
        <v>27111.08</v>
      </c>
      <c r="AP105" s="34">
        <f t="shared" si="180"/>
        <v>2711.11</v>
      </c>
      <c r="AQ105" s="34">
        <f t="shared" si="181"/>
        <v>29822.190000000002</v>
      </c>
      <c r="AR105" s="15"/>
      <c r="AS105" s="35">
        <f t="shared" si="182"/>
        <v>30</v>
      </c>
      <c r="AT105" s="34">
        <f t="shared" si="183"/>
        <v>26236.53</v>
      </c>
      <c r="AU105" s="34">
        <f t="shared" si="184"/>
        <v>2623.65</v>
      </c>
      <c r="AV105" s="34">
        <f t="shared" si="185"/>
        <v>28860.18</v>
      </c>
      <c r="AW105" s="15"/>
      <c r="AX105" s="35">
        <f t="shared" si="186"/>
        <v>31</v>
      </c>
      <c r="AY105" s="34">
        <f t="shared" si="187"/>
        <v>27111.08</v>
      </c>
      <c r="AZ105" s="34">
        <f t="shared" si="188"/>
        <v>2711.11</v>
      </c>
      <c r="BA105" s="34">
        <f t="shared" si="189"/>
        <v>29822.190000000002</v>
      </c>
      <c r="BB105" s="15"/>
      <c r="BC105" s="35">
        <f t="shared" si="190"/>
        <v>31</v>
      </c>
      <c r="BD105" s="34">
        <f t="shared" si="191"/>
        <v>27111.08</v>
      </c>
      <c r="BE105" s="34">
        <f t="shared" si="192"/>
        <v>2711.11</v>
      </c>
      <c r="BF105" s="34">
        <f t="shared" si="193"/>
        <v>29822.190000000002</v>
      </c>
      <c r="BG105" s="15"/>
      <c r="BH105" s="35">
        <f t="shared" si="194"/>
        <v>30</v>
      </c>
      <c r="BI105" s="34">
        <f t="shared" si="195"/>
        <v>26236.53</v>
      </c>
      <c r="BJ105" s="34">
        <f t="shared" si="196"/>
        <v>2623.65</v>
      </c>
      <c r="BK105" s="34">
        <f t="shared" si="197"/>
        <v>28860.18</v>
      </c>
      <c r="BL105" s="15"/>
      <c r="BM105" s="35">
        <f t="shared" si="198"/>
        <v>31</v>
      </c>
      <c r="BN105" s="34">
        <f t="shared" si="199"/>
        <v>27111.08</v>
      </c>
      <c r="BO105" s="34">
        <f t="shared" si="200"/>
        <v>2711.11</v>
      </c>
      <c r="BP105" s="34">
        <f t="shared" si="201"/>
        <v>29822.190000000002</v>
      </c>
      <c r="BQ105" s="15"/>
      <c r="BR105" s="35">
        <f t="shared" si="202"/>
        <v>30</v>
      </c>
      <c r="BS105" s="34">
        <f t="shared" si="203"/>
        <v>26236.53</v>
      </c>
      <c r="BT105" s="34">
        <f t="shared" si="204"/>
        <v>2623.65</v>
      </c>
      <c r="BU105" s="34">
        <f t="shared" si="205"/>
        <v>28860.18</v>
      </c>
      <c r="BV105" s="15"/>
      <c r="BW105" s="35">
        <f t="shared" si="206"/>
        <v>9</v>
      </c>
      <c r="BX105" s="34">
        <f t="shared" si="207"/>
        <v>7870.96</v>
      </c>
      <c r="BY105" s="34">
        <f t="shared" si="208"/>
        <v>787.1</v>
      </c>
      <c r="BZ105" s="34">
        <f t="shared" si="209"/>
        <v>8658.06</v>
      </c>
      <c r="CA105" s="35">
        <f t="shared" si="210"/>
        <v>225</v>
      </c>
      <c r="CB105" s="34">
        <f t="shared" si="211"/>
        <v>196773.97000000003</v>
      </c>
      <c r="CC105" s="34">
        <f t="shared" si="212"/>
        <v>19677.400000000001</v>
      </c>
      <c r="CD105" s="34">
        <f t="shared" si="213"/>
        <v>216451.37000000002</v>
      </c>
      <c r="CE105" s="16">
        <f t="shared" si="214"/>
        <v>0.03</v>
      </c>
      <c r="CF105" s="16">
        <f t="shared" si="215"/>
        <v>0</v>
      </c>
      <c r="CG105" s="31" t="s">
        <v>736</v>
      </c>
      <c r="CH105" s="31" t="s">
        <v>737</v>
      </c>
      <c r="CI105" s="31" t="s">
        <v>49</v>
      </c>
      <c r="CJ105" s="31" t="s">
        <v>738</v>
      </c>
      <c r="CK105" s="31" t="s">
        <v>739</v>
      </c>
      <c r="CL105" s="31" t="s">
        <v>740</v>
      </c>
      <c r="CM105" s="29">
        <v>46121</v>
      </c>
      <c r="CN105" s="28" t="s">
        <v>741</v>
      </c>
      <c r="CO105" s="28"/>
      <c r="CP105" s="28"/>
    </row>
    <row r="106" spans="1:94" ht="40.049999999999997" customHeight="1" x14ac:dyDescent="0.25">
      <c r="A106" s="62">
        <v>155</v>
      </c>
      <c r="B106" s="63">
        <v>107</v>
      </c>
      <c r="C106" s="1" t="s">
        <v>258</v>
      </c>
      <c r="D106" s="2" t="s">
        <v>730</v>
      </c>
      <c r="E106" s="2" t="s">
        <v>747</v>
      </c>
      <c r="F106" s="2" t="s">
        <v>748</v>
      </c>
      <c r="G106" s="2" t="s">
        <v>749</v>
      </c>
      <c r="H106" s="64">
        <v>32.380000000000003</v>
      </c>
      <c r="I106" s="1" t="s">
        <v>46</v>
      </c>
      <c r="J106" s="3">
        <v>851</v>
      </c>
      <c r="K106" s="1">
        <v>240</v>
      </c>
      <c r="L106" s="4">
        <v>220444</v>
      </c>
      <c r="M106" s="4">
        <v>22044</v>
      </c>
      <c r="N106" s="4">
        <v>242488</v>
      </c>
      <c r="O106" s="31" t="s">
        <v>750</v>
      </c>
      <c r="P106" s="31" t="s">
        <v>751</v>
      </c>
      <c r="Q106" s="35">
        <f t="shared" si="162"/>
        <v>240</v>
      </c>
      <c r="R106" s="14">
        <v>46118</v>
      </c>
      <c r="S106" s="14">
        <f t="shared" si="163"/>
        <v>46357</v>
      </c>
      <c r="T106" s="34">
        <v>209421.8</v>
      </c>
      <c r="U106" s="34">
        <f t="shared" si="164"/>
        <v>20942.18</v>
      </c>
      <c r="V106" s="34">
        <f t="shared" si="165"/>
        <v>230363.97999999998</v>
      </c>
      <c r="W106" s="35"/>
      <c r="X106" s="14">
        <f t="shared" si="166"/>
        <v>46118</v>
      </c>
      <c r="Y106" s="14" t="str">
        <f t="shared" si="167"/>
        <v/>
      </c>
      <c r="Z106" s="34"/>
      <c r="AA106" s="34">
        <f t="shared" si="168"/>
        <v>0</v>
      </c>
      <c r="AB106" s="34">
        <f t="shared" si="169"/>
        <v>0</v>
      </c>
      <c r="AC106" s="15"/>
      <c r="AD106" s="35">
        <f t="shared" si="170"/>
        <v>0</v>
      </c>
      <c r="AE106" s="34">
        <f t="shared" si="171"/>
        <v>0</v>
      </c>
      <c r="AF106" s="34">
        <f t="shared" si="172"/>
        <v>0</v>
      </c>
      <c r="AG106" s="34">
        <f t="shared" si="173"/>
        <v>0</v>
      </c>
      <c r="AH106" s="15"/>
      <c r="AI106" s="35">
        <f t="shared" si="174"/>
        <v>25</v>
      </c>
      <c r="AJ106" s="34">
        <f t="shared" si="175"/>
        <v>21814.77</v>
      </c>
      <c r="AK106" s="34">
        <f t="shared" si="176"/>
        <v>2181.48</v>
      </c>
      <c r="AL106" s="34">
        <f t="shared" si="177"/>
        <v>23996.25</v>
      </c>
      <c r="AM106" s="15"/>
      <c r="AN106" s="35">
        <f t="shared" si="178"/>
        <v>31</v>
      </c>
      <c r="AO106" s="34">
        <f t="shared" si="179"/>
        <v>27050.32</v>
      </c>
      <c r="AP106" s="34">
        <f t="shared" si="180"/>
        <v>2705.03</v>
      </c>
      <c r="AQ106" s="34">
        <f t="shared" si="181"/>
        <v>29755.35</v>
      </c>
      <c r="AR106" s="15"/>
      <c r="AS106" s="35">
        <f t="shared" si="182"/>
        <v>30</v>
      </c>
      <c r="AT106" s="34">
        <f t="shared" si="183"/>
        <v>26177.73</v>
      </c>
      <c r="AU106" s="34">
        <f t="shared" si="184"/>
        <v>2617.77</v>
      </c>
      <c r="AV106" s="34">
        <f t="shared" si="185"/>
        <v>28795.5</v>
      </c>
      <c r="AW106" s="15"/>
      <c r="AX106" s="35">
        <f t="shared" si="186"/>
        <v>31</v>
      </c>
      <c r="AY106" s="34">
        <f t="shared" si="187"/>
        <v>27050.32</v>
      </c>
      <c r="AZ106" s="34">
        <f t="shared" si="188"/>
        <v>2705.03</v>
      </c>
      <c r="BA106" s="34">
        <f t="shared" si="189"/>
        <v>29755.35</v>
      </c>
      <c r="BB106" s="15"/>
      <c r="BC106" s="35">
        <f t="shared" si="190"/>
        <v>31</v>
      </c>
      <c r="BD106" s="34">
        <f t="shared" si="191"/>
        <v>27050.32</v>
      </c>
      <c r="BE106" s="34">
        <f t="shared" si="192"/>
        <v>2705.03</v>
      </c>
      <c r="BF106" s="34">
        <f t="shared" si="193"/>
        <v>29755.35</v>
      </c>
      <c r="BG106" s="15"/>
      <c r="BH106" s="35">
        <f t="shared" si="194"/>
        <v>30</v>
      </c>
      <c r="BI106" s="34">
        <f t="shared" si="195"/>
        <v>26177.73</v>
      </c>
      <c r="BJ106" s="34">
        <f t="shared" si="196"/>
        <v>2617.77</v>
      </c>
      <c r="BK106" s="34">
        <f t="shared" si="197"/>
        <v>28795.5</v>
      </c>
      <c r="BL106" s="15"/>
      <c r="BM106" s="35">
        <f t="shared" si="198"/>
        <v>31</v>
      </c>
      <c r="BN106" s="34">
        <f t="shared" si="199"/>
        <v>27050.32</v>
      </c>
      <c r="BO106" s="34">
        <f t="shared" si="200"/>
        <v>2705.03</v>
      </c>
      <c r="BP106" s="34">
        <f t="shared" si="201"/>
        <v>29755.35</v>
      </c>
      <c r="BQ106" s="15"/>
      <c r="BR106" s="35">
        <f t="shared" si="202"/>
        <v>30</v>
      </c>
      <c r="BS106" s="34">
        <f t="shared" si="203"/>
        <v>26177.73</v>
      </c>
      <c r="BT106" s="34">
        <f t="shared" si="204"/>
        <v>2617.77</v>
      </c>
      <c r="BU106" s="34">
        <f t="shared" si="205"/>
        <v>28795.5</v>
      </c>
      <c r="BV106" s="15"/>
      <c r="BW106" s="35">
        <f t="shared" si="206"/>
        <v>1</v>
      </c>
      <c r="BX106" s="34">
        <f t="shared" si="207"/>
        <v>872.59</v>
      </c>
      <c r="BY106" s="34">
        <f t="shared" si="208"/>
        <v>87.26</v>
      </c>
      <c r="BZ106" s="34">
        <f t="shared" si="209"/>
        <v>959.85</v>
      </c>
      <c r="CA106" s="35">
        <f t="shared" si="210"/>
        <v>240</v>
      </c>
      <c r="CB106" s="34">
        <f t="shared" si="211"/>
        <v>209421.83000000002</v>
      </c>
      <c r="CC106" s="34">
        <f t="shared" si="212"/>
        <v>20942.170000000002</v>
      </c>
      <c r="CD106" s="34">
        <f t="shared" si="213"/>
        <v>230364.00000000003</v>
      </c>
      <c r="CE106" s="16">
        <f t="shared" si="214"/>
        <v>-0.03</v>
      </c>
      <c r="CF106" s="16">
        <f t="shared" si="215"/>
        <v>0.01</v>
      </c>
      <c r="CG106" s="31" t="s">
        <v>736</v>
      </c>
      <c r="CH106" s="31" t="s">
        <v>737</v>
      </c>
      <c r="CI106" s="31" t="s">
        <v>49</v>
      </c>
      <c r="CJ106" s="31" t="s">
        <v>738</v>
      </c>
      <c r="CK106" s="31" t="s">
        <v>739</v>
      </c>
      <c r="CL106" s="31" t="s">
        <v>740</v>
      </c>
      <c r="CM106" s="29">
        <v>46121</v>
      </c>
      <c r="CN106" s="28" t="s">
        <v>741</v>
      </c>
      <c r="CO106" s="28"/>
      <c r="CP106" s="28"/>
    </row>
    <row r="107" spans="1:94" ht="40.049999999999997" customHeight="1" x14ac:dyDescent="0.25">
      <c r="A107" s="62">
        <v>156</v>
      </c>
      <c r="B107" s="63">
        <v>107</v>
      </c>
      <c r="C107" s="1" t="s">
        <v>258</v>
      </c>
      <c r="D107" s="2" t="s">
        <v>730</v>
      </c>
      <c r="E107" s="2" t="s">
        <v>752</v>
      </c>
      <c r="F107" s="2" t="s">
        <v>753</v>
      </c>
      <c r="G107" s="2" t="s">
        <v>754</v>
      </c>
      <c r="H107" s="64">
        <v>31.3</v>
      </c>
      <c r="I107" s="1" t="s">
        <v>46</v>
      </c>
      <c r="J107" s="3">
        <v>940</v>
      </c>
      <c r="K107" s="1">
        <v>240</v>
      </c>
      <c r="L107" s="4">
        <v>235376</v>
      </c>
      <c r="M107" s="4">
        <v>23537</v>
      </c>
      <c r="N107" s="4">
        <v>258913</v>
      </c>
      <c r="O107" s="31" t="s">
        <v>755</v>
      </c>
      <c r="P107" s="31" t="s">
        <v>756</v>
      </c>
      <c r="Q107" s="35">
        <f t="shared" si="162"/>
        <v>240</v>
      </c>
      <c r="R107" s="14">
        <v>46113</v>
      </c>
      <c r="S107" s="14">
        <f t="shared" si="163"/>
        <v>46352</v>
      </c>
      <c r="T107" s="34">
        <v>223607.2</v>
      </c>
      <c r="U107" s="34">
        <f t="shared" si="164"/>
        <v>22360.720000000001</v>
      </c>
      <c r="V107" s="34">
        <f t="shared" si="165"/>
        <v>245967.92</v>
      </c>
      <c r="W107" s="35"/>
      <c r="X107" s="14">
        <f t="shared" si="166"/>
        <v>46113</v>
      </c>
      <c r="Y107" s="14" t="str">
        <f t="shared" si="167"/>
        <v/>
      </c>
      <c r="Z107" s="34"/>
      <c r="AA107" s="34">
        <f t="shared" si="168"/>
        <v>0</v>
      </c>
      <c r="AB107" s="34">
        <f t="shared" si="169"/>
        <v>0</v>
      </c>
      <c r="AC107" s="15"/>
      <c r="AD107" s="35">
        <f t="shared" si="170"/>
        <v>0</v>
      </c>
      <c r="AE107" s="34">
        <f t="shared" si="171"/>
        <v>0</v>
      </c>
      <c r="AF107" s="34">
        <f t="shared" si="172"/>
        <v>0</v>
      </c>
      <c r="AG107" s="34">
        <f t="shared" si="173"/>
        <v>0</v>
      </c>
      <c r="AH107" s="15"/>
      <c r="AI107" s="35">
        <f t="shared" si="174"/>
        <v>30</v>
      </c>
      <c r="AJ107" s="34">
        <f t="shared" si="175"/>
        <v>27950.9</v>
      </c>
      <c r="AK107" s="34">
        <f t="shared" si="176"/>
        <v>2795.09</v>
      </c>
      <c r="AL107" s="34">
        <f t="shared" si="177"/>
        <v>30745.99</v>
      </c>
      <c r="AM107" s="15"/>
      <c r="AN107" s="35">
        <f t="shared" si="178"/>
        <v>31</v>
      </c>
      <c r="AO107" s="34">
        <f t="shared" si="179"/>
        <v>28882.6</v>
      </c>
      <c r="AP107" s="34">
        <f t="shared" si="180"/>
        <v>2888.26</v>
      </c>
      <c r="AQ107" s="34">
        <f t="shared" si="181"/>
        <v>31770.86</v>
      </c>
      <c r="AR107" s="15"/>
      <c r="AS107" s="35">
        <f t="shared" si="182"/>
        <v>30</v>
      </c>
      <c r="AT107" s="34">
        <f t="shared" si="183"/>
        <v>27950.9</v>
      </c>
      <c r="AU107" s="34">
        <f t="shared" si="184"/>
        <v>2795.09</v>
      </c>
      <c r="AV107" s="34">
        <f t="shared" si="185"/>
        <v>30745.99</v>
      </c>
      <c r="AW107" s="15"/>
      <c r="AX107" s="35">
        <f t="shared" si="186"/>
        <v>31</v>
      </c>
      <c r="AY107" s="34">
        <f t="shared" si="187"/>
        <v>28882.6</v>
      </c>
      <c r="AZ107" s="34">
        <f t="shared" si="188"/>
        <v>2888.26</v>
      </c>
      <c r="BA107" s="34">
        <f t="shared" si="189"/>
        <v>31770.86</v>
      </c>
      <c r="BB107" s="15"/>
      <c r="BC107" s="35">
        <f t="shared" si="190"/>
        <v>31</v>
      </c>
      <c r="BD107" s="34">
        <f t="shared" si="191"/>
        <v>28882.6</v>
      </c>
      <c r="BE107" s="34">
        <f t="shared" si="192"/>
        <v>2888.26</v>
      </c>
      <c r="BF107" s="34">
        <f t="shared" si="193"/>
        <v>31770.86</v>
      </c>
      <c r="BG107" s="15"/>
      <c r="BH107" s="35">
        <f t="shared" si="194"/>
        <v>30</v>
      </c>
      <c r="BI107" s="34">
        <f t="shared" si="195"/>
        <v>27950.9</v>
      </c>
      <c r="BJ107" s="34">
        <f t="shared" si="196"/>
        <v>2795.09</v>
      </c>
      <c r="BK107" s="34">
        <f t="shared" si="197"/>
        <v>30745.99</v>
      </c>
      <c r="BL107" s="15"/>
      <c r="BM107" s="35">
        <f t="shared" si="198"/>
        <v>31</v>
      </c>
      <c r="BN107" s="34">
        <f t="shared" si="199"/>
        <v>28882.6</v>
      </c>
      <c r="BO107" s="34">
        <f t="shared" si="200"/>
        <v>2888.26</v>
      </c>
      <c r="BP107" s="34">
        <f t="shared" si="201"/>
        <v>31770.86</v>
      </c>
      <c r="BQ107" s="15"/>
      <c r="BR107" s="35">
        <f t="shared" si="202"/>
        <v>26</v>
      </c>
      <c r="BS107" s="34">
        <f t="shared" si="203"/>
        <v>24224.11</v>
      </c>
      <c r="BT107" s="34">
        <f t="shared" si="204"/>
        <v>2422.41</v>
      </c>
      <c r="BU107" s="34">
        <f t="shared" si="205"/>
        <v>26646.52</v>
      </c>
      <c r="BV107" s="15"/>
      <c r="BW107" s="35">
        <f t="shared" si="206"/>
        <v>0</v>
      </c>
      <c r="BX107" s="34">
        <f t="shared" si="207"/>
        <v>0</v>
      </c>
      <c r="BY107" s="34">
        <f t="shared" si="208"/>
        <v>0</v>
      </c>
      <c r="BZ107" s="34">
        <f t="shared" si="209"/>
        <v>0</v>
      </c>
      <c r="CA107" s="35">
        <f t="shared" si="210"/>
        <v>240</v>
      </c>
      <c r="CB107" s="34">
        <f t="shared" si="211"/>
        <v>223607.21000000002</v>
      </c>
      <c r="CC107" s="34">
        <f t="shared" si="212"/>
        <v>22360.720000000005</v>
      </c>
      <c r="CD107" s="34">
        <f t="shared" si="213"/>
        <v>245967.93000000002</v>
      </c>
      <c r="CE107" s="16">
        <f t="shared" si="214"/>
        <v>-0.01</v>
      </c>
      <c r="CF107" s="16">
        <f t="shared" si="215"/>
        <v>0</v>
      </c>
      <c r="CG107" s="31" t="s">
        <v>736</v>
      </c>
      <c r="CH107" s="31" t="s">
        <v>737</v>
      </c>
      <c r="CI107" s="31" t="s">
        <v>49</v>
      </c>
      <c r="CJ107" s="31" t="s">
        <v>738</v>
      </c>
      <c r="CK107" s="31" t="s">
        <v>739</v>
      </c>
      <c r="CL107" s="31" t="s">
        <v>740</v>
      </c>
      <c r="CM107" s="29">
        <v>46121</v>
      </c>
      <c r="CN107" s="28" t="s">
        <v>741</v>
      </c>
      <c r="CO107" s="28"/>
      <c r="CP107" s="28"/>
    </row>
    <row r="108" spans="1:94" ht="40.049999999999997" customHeight="1" x14ac:dyDescent="0.25">
      <c r="A108" s="62">
        <v>157</v>
      </c>
      <c r="B108" s="63">
        <v>107</v>
      </c>
      <c r="C108" s="1" t="s">
        <v>258</v>
      </c>
      <c r="D108" s="2" t="s">
        <v>730</v>
      </c>
      <c r="E108" s="2" t="s">
        <v>757</v>
      </c>
      <c r="F108" s="2" t="s">
        <v>758</v>
      </c>
      <c r="G108" s="2" t="s">
        <v>759</v>
      </c>
      <c r="H108" s="64">
        <v>22.37</v>
      </c>
      <c r="I108" s="1" t="s">
        <v>46</v>
      </c>
      <c r="J108" s="3">
        <v>786</v>
      </c>
      <c r="K108" s="1">
        <v>240</v>
      </c>
      <c r="L108" s="4">
        <v>140663</v>
      </c>
      <c r="M108" s="4">
        <v>14066</v>
      </c>
      <c r="N108" s="4">
        <v>154729</v>
      </c>
      <c r="O108" s="31" t="s">
        <v>760</v>
      </c>
      <c r="P108" s="31" t="s">
        <v>761</v>
      </c>
      <c r="Q108" s="35">
        <f t="shared" si="162"/>
        <v>240</v>
      </c>
      <c r="R108" s="14">
        <v>46113</v>
      </c>
      <c r="S108" s="14">
        <f t="shared" si="163"/>
        <v>46352</v>
      </c>
      <c r="T108" s="34">
        <v>133629.85</v>
      </c>
      <c r="U108" s="34">
        <f t="shared" si="164"/>
        <v>13362.99</v>
      </c>
      <c r="V108" s="34">
        <f t="shared" si="165"/>
        <v>146992.84</v>
      </c>
      <c r="W108" s="35"/>
      <c r="X108" s="14">
        <f t="shared" si="166"/>
        <v>46113</v>
      </c>
      <c r="Y108" s="14" t="str">
        <f t="shared" si="167"/>
        <v/>
      </c>
      <c r="Z108" s="34"/>
      <c r="AA108" s="34">
        <f t="shared" si="168"/>
        <v>0</v>
      </c>
      <c r="AB108" s="34">
        <f t="shared" si="169"/>
        <v>0</v>
      </c>
      <c r="AC108" s="15"/>
      <c r="AD108" s="35">
        <f t="shared" si="170"/>
        <v>0</v>
      </c>
      <c r="AE108" s="34">
        <f t="shared" si="171"/>
        <v>0</v>
      </c>
      <c r="AF108" s="34">
        <f t="shared" si="172"/>
        <v>0</v>
      </c>
      <c r="AG108" s="34">
        <f t="shared" si="173"/>
        <v>0</v>
      </c>
      <c r="AH108" s="15"/>
      <c r="AI108" s="35">
        <f t="shared" si="174"/>
        <v>30</v>
      </c>
      <c r="AJ108" s="34">
        <f t="shared" si="175"/>
        <v>16703.73</v>
      </c>
      <c r="AK108" s="34">
        <f t="shared" si="176"/>
        <v>1670.37</v>
      </c>
      <c r="AL108" s="34">
        <f t="shared" si="177"/>
        <v>18374.099999999999</v>
      </c>
      <c r="AM108" s="15"/>
      <c r="AN108" s="35">
        <f t="shared" si="178"/>
        <v>31</v>
      </c>
      <c r="AO108" s="34">
        <f t="shared" si="179"/>
        <v>17260.52</v>
      </c>
      <c r="AP108" s="34">
        <f t="shared" si="180"/>
        <v>1726.05</v>
      </c>
      <c r="AQ108" s="34">
        <f t="shared" si="181"/>
        <v>18986.57</v>
      </c>
      <c r="AR108" s="15"/>
      <c r="AS108" s="35">
        <f t="shared" si="182"/>
        <v>30</v>
      </c>
      <c r="AT108" s="34">
        <f t="shared" si="183"/>
        <v>16703.73</v>
      </c>
      <c r="AU108" s="34">
        <f t="shared" si="184"/>
        <v>1670.37</v>
      </c>
      <c r="AV108" s="34">
        <f t="shared" si="185"/>
        <v>18374.099999999999</v>
      </c>
      <c r="AW108" s="15"/>
      <c r="AX108" s="35">
        <f t="shared" si="186"/>
        <v>31</v>
      </c>
      <c r="AY108" s="34">
        <f t="shared" si="187"/>
        <v>17260.52</v>
      </c>
      <c r="AZ108" s="34">
        <f t="shared" si="188"/>
        <v>1726.05</v>
      </c>
      <c r="BA108" s="34">
        <f t="shared" si="189"/>
        <v>18986.57</v>
      </c>
      <c r="BB108" s="15"/>
      <c r="BC108" s="35">
        <f t="shared" si="190"/>
        <v>31</v>
      </c>
      <c r="BD108" s="34">
        <f t="shared" si="191"/>
        <v>17260.52</v>
      </c>
      <c r="BE108" s="34">
        <f t="shared" si="192"/>
        <v>1726.05</v>
      </c>
      <c r="BF108" s="34">
        <f t="shared" si="193"/>
        <v>18986.57</v>
      </c>
      <c r="BG108" s="15"/>
      <c r="BH108" s="35">
        <f t="shared" si="194"/>
        <v>30</v>
      </c>
      <c r="BI108" s="34">
        <f t="shared" si="195"/>
        <v>16703.73</v>
      </c>
      <c r="BJ108" s="34">
        <f t="shared" si="196"/>
        <v>1670.37</v>
      </c>
      <c r="BK108" s="34">
        <f t="shared" si="197"/>
        <v>18374.099999999999</v>
      </c>
      <c r="BL108" s="15"/>
      <c r="BM108" s="35">
        <f t="shared" si="198"/>
        <v>31</v>
      </c>
      <c r="BN108" s="34">
        <f t="shared" si="199"/>
        <v>17260.52</v>
      </c>
      <c r="BO108" s="34">
        <f t="shared" si="200"/>
        <v>1726.05</v>
      </c>
      <c r="BP108" s="34">
        <f t="shared" si="201"/>
        <v>18986.57</v>
      </c>
      <c r="BQ108" s="15"/>
      <c r="BR108" s="35">
        <f t="shared" si="202"/>
        <v>26</v>
      </c>
      <c r="BS108" s="34">
        <f t="shared" si="203"/>
        <v>14476.57</v>
      </c>
      <c r="BT108" s="34">
        <f t="shared" si="204"/>
        <v>1447.66</v>
      </c>
      <c r="BU108" s="34">
        <f t="shared" si="205"/>
        <v>15924.23</v>
      </c>
      <c r="BV108" s="15"/>
      <c r="BW108" s="35">
        <f t="shared" si="206"/>
        <v>0</v>
      </c>
      <c r="BX108" s="34">
        <f t="shared" si="207"/>
        <v>0</v>
      </c>
      <c r="BY108" s="34">
        <f t="shared" si="208"/>
        <v>0</v>
      </c>
      <c r="BZ108" s="34">
        <f t="shared" si="209"/>
        <v>0</v>
      </c>
      <c r="CA108" s="35">
        <f t="shared" si="210"/>
        <v>240</v>
      </c>
      <c r="CB108" s="34">
        <f t="shared" si="211"/>
        <v>133629.84</v>
      </c>
      <c r="CC108" s="34">
        <f t="shared" si="212"/>
        <v>13362.969999999998</v>
      </c>
      <c r="CD108" s="34">
        <f t="shared" si="213"/>
        <v>146992.81</v>
      </c>
      <c r="CE108" s="16">
        <f t="shared" si="214"/>
        <v>0.01</v>
      </c>
      <c r="CF108" s="16">
        <f t="shared" si="215"/>
        <v>0.02</v>
      </c>
      <c r="CG108" s="31" t="s">
        <v>736</v>
      </c>
      <c r="CH108" s="31" t="s">
        <v>737</v>
      </c>
      <c r="CI108" s="31" t="s">
        <v>49</v>
      </c>
      <c r="CJ108" s="31" t="s">
        <v>738</v>
      </c>
      <c r="CK108" s="31" t="s">
        <v>739</v>
      </c>
      <c r="CL108" s="31" t="s">
        <v>740</v>
      </c>
      <c r="CM108" s="29">
        <v>46121</v>
      </c>
      <c r="CN108" s="28" t="s">
        <v>741</v>
      </c>
      <c r="CO108" s="28"/>
      <c r="CP108" s="28"/>
    </row>
    <row r="109" spans="1:94" ht="40.049999999999997" customHeight="1" x14ac:dyDescent="0.25">
      <c r="A109" s="62">
        <v>158</v>
      </c>
      <c r="B109" s="63">
        <v>107</v>
      </c>
      <c r="C109" s="1" t="s">
        <v>258</v>
      </c>
      <c r="D109" s="2" t="s">
        <v>730</v>
      </c>
      <c r="E109" s="2" t="s">
        <v>762</v>
      </c>
      <c r="F109" s="2" t="s">
        <v>763</v>
      </c>
      <c r="G109" s="2" t="s">
        <v>764</v>
      </c>
      <c r="H109" s="64">
        <v>20.49</v>
      </c>
      <c r="I109" s="1" t="s">
        <v>46</v>
      </c>
      <c r="J109" s="3">
        <v>821</v>
      </c>
      <c r="K109" s="1">
        <v>240</v>
      </c>
      <c r="L109" s="4">
        <v>134579</v>
      </c>
      <c r="M109" s="4">
        <v>13457</v>
      </c>
      <c r="N109" s="4">
        <v>148036</v>
      </c>
      <c r="O109" s="31" t="s">
        <v>765</v>
      </c>
      <c r="P109" s="31" t="s">
        <v>766</v>
      </c>
      <c r="Q109" s="35">
        <f t="shared" si="162"/>
        <v>240</v>
      </c>
      <c r="R109" s="14">
        <v>46113</v>
      </c>
      <c r="S109" s="14">
        <f t="shared" si="163"/>
        <v>46352</v>
      </c>
      <c r="T109" s="34">
        <v>127850.06</v>
      </c>
      <c r="U109" s="34">
        <f t="shared" si="164"/>
        <v>12785.01</v>
      </c>
      <c r="V109" s="34">
        <f t="shared" si="165"/>
        <v>140635.07</v>
      </c>
      <c r="W109" s="35"/>
      <c r="X109" s="14">
        <f t="shared" si="166"/>
        <v>46113</v>
      </c>
      <c r="Y109" s="14" t="str">
        <f t="shared" si="167"/>
        <v/>
      </c>
      <c r="Z109" s="34"/>
      <c r="AA109" s="34">
        <f t="shared" si="168"/>
        <v>0</v>
      </c>
      <c r="AB109" s="34">
        <f t="shared" si="169"/>
        <v>0</v>
      </c>
      <c r="AC109" s="15"/>
      <c r="AD109" s="35">
        <f t="shared" si="170"/>
        <v>0</v>
      </c>
      <c r="AE109" s="34">
        <f t="shared" si="171"/>
        <v>0</v>
      </c>
      <c r="AF109" s="34">
        <f t="shared" si="172"/>
        <v>0</v>
      </c>
      <c r="AG109" s="34">
        <f t="shared" si="173"/>
        <v>0</v>
      </c>
      <c r="AH109" s="15"/>
      <c r="AI109" s="35">
        <f t="shared" si="174"/>
        <v>30</v>
      </c>
      <c r="AJ109" s="34">
        <f t="shared" si="175"/>
        <v>15981.26</v>
      </c>
      <c r="AK109" s="34">
        <f t="shared" si="176"/>
        <v>1598.13</v>
      </c>
      <c r="AL109" s="34">
        <f t="shared" si="177"/>
        <v>17579.39</v>
      </c>
      <c r="AM109" s="15"/>
      <c r="AN109" s="35">
        <f t="shared" si="178"/>
        <v>31</v>
      </c>
      <c r="AO109" s="34">
        <f t="shared" si="179"/>
        <v>16513.97</v>
      </c>
      <c r="AP109" s="34">
        <f t="shared" si="180"/>
        <v>1651.4</v>
      </c>
      <c r="AQ109" s="34">
        <f t="shared" si="181"/>
        <v>18165.370000000003</v>
      </c>
      <c r="AR109" s="15"/>
      <c r="AS109" s="35">
        <f t="shared" si="182"/>
        <v>30</v>
      </c>
      <c r="AT109" s="34">
        <f t="shared" si="183"/>
        <v>15981.26</v>
      </c>
      <c r="AU109" s="34">
        <f t="shared" si="184"/>
        <v>1598.13</v>
      </c>
      <c r="AV109" s="34">
        <f t="shared" si="185"/>
        <v>17579.39</v>
      </c>
      <c r="AW109" s="15"/>
      <c r="AX109" s="35">
        <f t="shared" si="186"/>
        <v>31</v>
      </c>
      <c r="AY109" s="34">
        <f t="shared" si="187"/>
        <v>16513.97</v>
      </c>
      <c r="AZ109" s="34">
        <f t="shared" si="188"/>
        <v>1651.4</v>
      </c>
      <c r="BA109" s="34">
        <f t="shared" si="189"/>
        <v>18165.370000000003</v>
      </c>
      <c r="BB109" s="15"/>
      <c r="BC109" s="35">
        <f t="shared" si="190"/>
        <v>31</v>
      </c>
      <c r="BD109" s="34">
        <f t="shared" si="191"/>
        <v>16513.97</v>
      </c>
      <c r="BE109" s="34">
        <f t="shared" si="192"/>
        <v>1651.4</v>
      </c>
      <c r="BF109" s="34">
        <f t="shared" si="193"/>
        <v>18165.370000000003</v>
      </c>
      <c r="BG109" s="15"/>
      <c r="BH109" s="35">
        <f t="shared" si="194"/>
        <v>30</v>
      </c>
      <c r="BI109" s="34">
        <f t="shared" si="195"/>
        <v>15981.26</v>
      </c>
      <c r="BJ109" s="34">
        <f t="shared" si="196"/>
        <v>1598.13</v>
      </c>
      <c r="BK109" s="34">
        <f t="shared" si="197"/>
        <v>17579.39</v>
      </c>
      <c r="BL109" s="15"/>
      <c r="BM109" s="35">
        <f t="shared" si="198"/>
        <v>31</v>
      </c>
      <c r="BN109" s="34">
        <f t="shared" si="199"/>
        <v>16513.97</v>
      </c>
      <c r="BO109" s="34">
        <f t="shared" si="200"/>
        <v>1651.4</v>
      </c>
      <c r="BP109" s="34">
        <f t="shared" si="201"/>
        <v>18165.370000000003</v>
      </c>
      <c r="BQ109" s="15"/>
      <c r="BR109" s="35">
        <f t="shared" si="202"/>
        <v>26</v>
      </c>
      <c r="BS109" s="34">
        <f t="shared" si="203"/>
        <v>13850.42</v>
      </c>
      <c r="BT109" s="34">
        <f t="shared" si="204"/>
        <v>1385.04</v>
      </c>
      <c r="BU109" s="34">
        <f t="shared" si="205"/>
        <v>15235.46</v>
      </c>
      <c r="BV109" s="15"/>
      <c r="BW109" s="35">
        <f t="shared" si="206"/>
        <v>0</v>
      </c>
      <c r="BX109" s="34">
        <f t="shared" si="207"/>
        <v>0</v>
      </c>
      <c r="BY109" s="34">
        <f t="shared" si="208"/>
        <v>0</v>
      </c>
      <c r="BZ109" s="34">
        <f t="shared" si="209"/>
        <v>0</v>
      </c>
      <c r="CA109" s="35">
        <f t="shared" si="210"/>
        <v>240</v>
      </c>
      <c r="CB109" s="34">
        <f t="shared" si="211"/>
        <v>127850.08</v>
      </c>
      <c r="CC109" s="34">
        <f t="shared" si="212"/>
        <v>12785.029999999999</v>
      </c>
      <c r="CD109" s="34">
        <f t="shared" si="213"/>
        <v>140635.10999999999</v>
      </c>
      <c r="CE109" s="16">
        <f t="shared" si="214"/>
        <v>-0.02</v>
      </c>
      <c r="CF109" s="16">
        <f t="shared" si="215"/>
        <v>-0.02</v>
      </c>
      <c r="CG109" s="31" t="s">
        <v>736</v>
      </c>
      <c r="CH109" s="31" t="s">
        <v>737</v>
      </c>
      <c r="CI109" s="31" t="s">
        <v>49</v>
      </c>
      <c r="CJ109" s="31" t="s">
        <v>738</v>
      </c>
      <c r="CK109" s="31" t="s">
        <v>739</v>
      </c>
      <c r="CL109" s="31" t="s">
        <v>740</v>
      </c>
      <c r="CM109" s="29">
        <v>46121</v>
      </c>
      <c r="CN109" s="28" t="s">
        <v>741</v>
      </c>
      <c r="CO109" s="28"/>
      <c r="CP109" s="28"/>
    </row>
    <row r="110" spans="1:94" ht="40.049999999999997" customHeight="1" x14ac:dyDescent="0.25">
      <c r="A110" s="62">
        <v>159</v>
      </c>
      <c r="B110" s="63">
        <v>107</v>
      </c>
      <c r="C110" s="1" t="s">
        <v>258</v>
      </c>
      <c r="D110" s="2" t="s">
        <v>730</v>
      </c>
      <c r="E110" s="2" t="s">
        <v>767</v>
      </c>
      <c r="F110" s="2" t="s">
        <v>768</v>
      </c>
      <c r="G110" s="2" t="s">
        <v>769</v>
      </c>
      <c r="H110" s="64">
        <v>19.57</v>
      </c>
      <c r="I110" s="1" t="s">
        <v>46</v>
      </c>
      <c r="J110" s="3">
        <v>796</v>
      </c>
      <c r="K110" s="1">
        <v>240</v>
      </c>
      <c r="L110" s="4">
        <v>124622</v>
      </c>
      <c r="M110" s="4">
        <v>12462</v>
      </c>
      <c r="N110" s="4">
        <v>137084</v>
      </c>
      <c r="O110" s="31" t="s">
        <v>770</v>
      </c>
      <c r="P110" s="31" t="s">
        <v>771</v>
      </c>
      <c r="Q110" s="35">
        <f t="shared" si="162"/>
        <v>240</v>
      </c>
      <c r="R110" s="14">
        <v>46113</v>
      </c>
      <c r="S110" s="14">
        <f t="shared" si="163"/>
        <v>46352</v>
      </c>
      <c r="T110" s="34">
        <v>118390.9</v>
      </c>
      <c r="U110" s="34">
        <f t="shared" si="164"/>
        <v>11839.09</v>
      </c>
      <c r="V110" s="34">
        <f t="shared" si="165"/>
        <v>130229.98999999999</v>
      </c>
      <c r="W110" s="35"/>
      <c r="X110" s="14">
        <f t="shared" si="166"/>
        <v>46113</v>
      </c>
      <c r="Y110" s="14" t="str">
        <f t="shared" si="167"/>
        <v/>
      </c>
      <c r="Z110" s="34"/>
      <c r="AA110" s="34">
        <f t="shared" si="168"/>
        <v>0</v>
      </c>
      <c r="AB110" s="34">
        <f t="shared" si="169"/>
        <v>0</v>
      </c>
      <c r="AC110" s="15"/>
      <c r="AD110" s="35">
        <f t="shared" si="170"/>
        <v>0</v>
      </c>
      <c r="AE110" s="34">
        <f t="shared" si="171"/>
        <v>0</v>
      </c>
      <c r="AF110" s="34">
        <f t="shared" si="172"/>
        <v>0</v>
      </c>
      <c r="AG110" s="34">
        <f t="shared" si="173"/>
        <v>0</v>
      </c>
      <c r="AH110" s="15"/>
      <c r="AI110" s="35">
        <f t="shared" si="174"/>
        <v>30</v>
      </c>
      <c r="AJ110" s="34">
        <f t="shared" si="175"/>
        <v>14798.86</v>
      </c>
      <c r="AK110" s="34">
        <f t="shared" si="176"/>
        <v>1479.89</v>
      </c>
      <c r="AL110" s="34">
        <f t="shared" si="177"/>
        <v>16278.75</v>
      </c>
      <c r="AM110" s="15"/>
      <c r="AN110" s="35">
        <f t="shared" si="178"/>
        <v>31</v>
      </c>
      <c r="AO110" s="34">
        <f t="shared" si="179"/>
        <v>15292.16</v>
      </c>
      <c r="AP110" s="34">
        <f t="shared" si="180"/>
        <v>1529.22</v>
      </c>
      <c r="AQ110" s="34">
        <f t="shared" si="181"/>
        <v>16821.38</v>
      </c>
      <c r="AR110" s="15"/>
      <c r="AS110" s="35">
        <f t="shared" si="182"/>
        <v>30</v>
      </c>
      <c r="AT110" s="34">
        <f t="shared" si="183"/>
        <v>14798.86</v>
      </c>
      <c r="AU110" s="34">
        <f t="shared" si="184"/>
        <v>1479.89</v>
      </c>
      <c r="AV110" s="34">
        <f t="shared" si="185"/>
        <v>16278.75</v>
      </c>
      <c r="AW110" s="15"/>
      <c r="AX110" s="35">
        <f t="shared" si="186"/>
        <v>31</v>
      </c>
      <c r="AY110" s="34">
        <f t="shared" si="187"/>
        <v>15292.16</v>
      </c>
      <c r="AZ110" s="34">
        <f t="shared" si="188"/>
        <v>1529.22</v>
      </c>
      <c r="BA110" s="34">
        <f t="shared" si="189"/>
        <v>16821.38</v>
      </c>
      <c r="BB110" s="15"/>
      <c r="BC110" s="35">
        <f t="shared" si="190"/>
        <v>31</v>
      </c>
      <c r="BD110" s="34">
        <f t="shared" si="191"/>
        <v>15292.16</v>
      </c>
      <c r="BE110" s="34">
        <f t="shared" si="192"/>
        <v>1529.22</v>
      </c>
      <c r="BF110" s="34">
        <f t="shared" si="193"/>
        <v>16821.38</v>
      </c>
      <c r="BG110" s="15"/>
      <c r="BH110" s="35">
        <f t="shared" si="194"/>
        <v>30</v>
      </c>
      <c r="BI110" s="34">
        <f t="shared" si="195"/>
        <v>14798.86</v>
      </c>
      <c r="BJ110" s="34">
        <f t="shared" si="196"/>
        <v>1479.89</v>
      </c>
      <c r="BK110" s="34">
        <f t="shared" si="197"/>
        <v>16278.75</v>
      </c>
      <c r="BL110" s="15"/>
      <c r="BM110" s="35">
        <f t="shared" si="198"/>
        <v>31</v>
      </c>
      <c r="BN110" s="34">
        <f t="shared" si="199"/>
        <v>15292.16</v>
      </c>
      <c r="BO110" s="34">
        <f t="shared" si="200"/>
        <v>1529.22</v>
      </c>
      <c r="BP110" s="34">
        <f t="shared" si="201"/>
        <v>16821.38</v>
      </c>
      <c r="BQ110" s="15"/>
      <c r="BR110" s="35">
        <f t="shared" si="202"/>
        <v>26</v>
      </c>
      <c r="BS110" s="34">
        <f t="shared" si="203"/>
        <v>12825.68</v>
      </c>
      <c r="BT110" s="34">
        <f t="shared" si="204"/>
        <v>1282.57</v>
      </c>
      <c r="BU110" s="34">
        <f t="shared" si="205"/>
        <v>14108.25</v>
      </c>
      <c r="BV110" s="15"/>
      <c r="BW110" s="35">
        <f t="shared" si="206"/>
        <v>0</v>
      </c>
      <c r="BX110" s="34">
        <f t="shared" si="207"/>
        <v>0</v>
      </c>
      <c r="BY110" s="34">
        <f t="shared" si="208"/>
        <v>0</v>
      </c>
      <c r="BZ110" s="34">
        <f t="shared" si="209"/>
        <v>0</v>
      </c>
      <c r="CA110" s="35">
        <f t="shared" si="210"/>
        <v>240</v>
      </c>
      <c r="CB110" s="34">
        <f t="shared" si="211"/>
        <v>118390.90000000002</v>
      </c>
      <c r="CC110" s="34">
        <f t="shared" si="212"/>
        <v>11839.119999999999</v>
      </c>
      <c r="CD110" s="34">
        <f t="shared" si="213"/>
        <v>130230.02000000002</v>
      </c>
      <c r="CE110" s="16">
        <f t="shared" si="214"/>
        <v>0</v>
      </c>
      <c r="CF110" s="16">
        <f t="shared" si="215"/>
        <v>-0.03</v>
      </c>
      <c r="CG110" s="31" t="s">
        <v>736</v>
      </c>
      <c r="CH110" s="31" t="s">
        <v>737</v>
      </c>
      <c r="CI110" s="31" t="s">
        <v>49</v>
      </c>
      <c r="CJ110" s="31" t="s">
        <v>738</v>
      </c>
      <c r="CK110" s="31" t="s">
        <v>739</v>
      </c>
      <c r="CL110" s="31" t="s">
        <v>740</v>
      </c>
      <c r="CM110" s="29">
        <v>46121</v>
      </c>
      <c r="CN110" s="28" t="s">
        <v>741</v>
      </c>
      <c r="CO110" s="28"/>
      <c r="CP110" s="28"/>
    </row>
    <row r="111" spans="1:94" ht="40.049999999999997" customHeight="1" x14ac:dyDescent="0.25">
      <c r="A111" s="62">
        <v>160</v>
      </c>
      <c r="B111" s="63">
        <v>107</v>
      </c>
      <c r="C111" s="1" t="s">
        <v>258</v>
      </c>
      <c r="D111" s="2" t="s">
        <v>730</v>
      </c>
      <c r="E111" s="2" t="s">
        <v>772</v>
      </c>
      <c r="F111" s="2" t="s">
        <v>773</v>
      </c>
      <c r="G111" s="2" t="s">
        <v>774</v>
      </c>
      <c r="H111" s="64">
        <v>18.48</v>
      </c>
      <c r="I111" s="1" t="s">
        <v>46</v>
      </c>
      <c r="J111" s="3">
        <v>854</v>
      </c>
      <c r="K111" s="1">
        <v>240</v>
      </c>
      <c r="L111" s="4">
        <v>126256</v>
      </c>
      <c r="M111" s="4">
        <v>12625</v>
      </c>
      <c r="N111" s="4">
        <v>138881</v>
      </c>
      <c r="O111" s="31" t="s">
        <v>775</v>
      </c>
      <c r="P111" s="31" t="s">
        <v>776</v>
      </c>
      <c r="Q111" s="35">
        <f t="shared" si="162"/>
        <v>240</v>
      </c>
      <c r="R111" s="14">
        <v>46113</v>
      </c>
      <c r="S111" s="14">
        <f t="shared" si="163"/>
        <v>46352</v>
      </c>
      <c r="T111" s="34">
        <v>119943.2</v>
      </c>
      <c r="U111" s="34">
        <f t="shared" si="164"/>
        <v>11994.32</v>
      </c>
      <c r="V111" s="34">
        <f t="shared" si="165"/>
        <v>131937.51999999999</v>
      </c>
      <c r="W111" s="35"/>
      <c r="X111" s="14">
        <f t="shared" si="166"/>
        <v>46113</v>
      </c>
      <c r="Y111" s="14" t="str">
        <f t="shared" si="167"/>
        <v/>
      </c>
      <c r="Z111" s="34"/>
      <c r="AA111" s="34">
        <f t="shared" si="168"/>
        <v>0</v>
      </c>
      <c r="AB111" s="34">
        <f t="shared" si="169"/>
        <v>0</v>
      </c>
      <c r="AC111" s="15"/>
      <c r="AD111" s="35">
        <f t="shared" si="170"/>
        <v>0</v>
      </c>
      <c r="AE111" s="34">
        <f t="shared" si="171"/>
        <v>0</v>
      </c>
      <c r="AF111" s="34">
        <f t="shared" si="172"/>
        <v>0</v>
      </c>
      <c r="AG111" s="34">
        <f t="shared" si="173"/>
        <v>0</v>
      </c>
      <c r="AH111" s="15"/>
      <c r="AI111" s="35">
        <f t="shared" si="174"/>
        <v>30</v>
      </c>
      <c r="AJ111" s="34">
        <f t="shared" si="175"/>
        <v>14992.9</v>
      </c>
      <c r="AK111" s="34">
        <f t="shared" si="176"/>
        <v>1499.29</v>
      </c>
      <c r="AL111" s="34">
        <f t="shared" si="177"/>
        <v>16492.189999999999</v>
      </c>
      <c r="AM111" s="15"/>
      <c r="AN111" s="35">
        <f t="shared" si="178"/>
        <v>31</v>
      </c>
      <c r="AO111" s="34">
        <f t="shared" si="179"/>
        <v>15492.66</v>
      </c>
      <c r="AP111" s="34">
        <f t="shared" si="180"/>
        <v>1549.27</v>
      </c>
      <c r="AQ111" s="34">
        <f t="shared" si="181"/>
        <v>17041.93</v>
      </c>
      <c r="AR111" s="15"/>
      <c r="AS111" s="35">
        <f t="shared" si="182"/>
        <v>30</v>
      </c>
      <c r="AT111" s="34">
        <f t="shared" si="183"/>
        <v>14992.9</v>
      </c>
      <c r="AU111" s="34">
        <f t="shared" si="184"/>
        <v>1499.29</v>
      </c>
      <c r="AV111" s="34">
        <f t="shared" si="185"/>
        <v>16492.189999999999</v>
      </c>
      <c r="AW111" s="15"/>
      <c r="AX111" s="35">
        <f t="shared" si="186"/>
        <v>31</v>
      </c>
      <c r="AY111" s="34">
        <f t="shared" si="187"/>
        <v>15492.66</v>
      </c>
      <c r="AZ111" s="34">
        <f t="shared" si="188"/>
        <v>1549.27</v>
      </c>
      <c r="BA111" s="34">
        <f t="shared" si="189"/>
        <v>17041.93</v>
      </c>
      <c r="BB111" s="15"/>
      <c r="BC111" s="35">
        <f t="shared" si="190"/>
        <v>31</v>
      </c>
      <c r="BD111" s="34">
        <f t="shared" si="191"/>
        <v>15492.66</v>
      </c>
      <c r="BE111" s="34">
        <f t="shared" si="192"/>
        <v>1549.27</v>
      </c>
      <c r="BF111" s="34">
        <f t="shared" si="193"/>
        <v>17041.93</v>
      </c>
      <c r="BG111" s="15"/>
      <c r="BH111" s="35">
        <f t="shared" si="194"/>
        <v>30</v>
      </c>
      <c r="BI111" s="34">
        <f t="shared" si="195"/>
        <v>14992.9</v>
      </c>
      <c r="BJ111" s="34">
        <f t="shared" si="196"/>
        <v>1499.29</v>
      </c>
      <c r="BK111" s="34">
        <f t="shared" si="197"/>
        <v>16492.189999999999</v>
      </c>
      <c r="BL111" s="15"/>
      <c r="BM111" s="35">
        <f t="shared" si="198"/>
        <v>31</v>
      </c>
      <c r="BN111" s="34">
        <f t="shared" si="199"/>
        <v>15492.66</v>
      </c>
      <c r="BO111" s="34">
        <f t="shared" si="200"/>
        <v>1549.27</v>
      </c>
      <c r="BP111" s="34">
        <f t="shared" si="201"/>
        <v>17041.93</v>
      </c>
      <c r="BQ111" s="15"/>
      <c r="BR111" s="35">
        <f t="shared" si="202"/>
        <v>26</v>
      </c>
      <c r="BS111" s="34">
        <f t="shared" si="203"/>
        <v>12993.85</v>
      </c>
      <c r="BT111" s="34">
        <f t="shared" si="204"/>
        <v>1299.3900000000001</v>
      </c>
      <c r="BU111" s="34">
        <f t="shared" si="205"/>
        <v>14293.24</v>
      </c>
      <c r="BV111" s="15"/>
      <c r="BW111" s="35">
        <f t="shared" si="206"/>
        <v>0</v>
      </c>
      <c r="BX111" s="34">
        <f t="shared" si="207"/>
        <v>0</v>
      </c>
      <c r="BY111" s="34">
        <f t="shared" si="208"/>
        <v>0</v>
      </c>
      <c r="BZ111" s="34">
        <f t="shared" si="209"/>
        <v>0</v>
      </c>
      <c r="CA111" s="35">
        <f t="shared" si="210"/>
        <v>240</v>
      </c>
      <c r="CB111" s="34">
        <f t="shared" si="211"/>
        <v>119943.19</v>
      </c>
      <c r="CC111" s="34">
        <f t="shared" si="212"/>
        <v>11994.34</v>
      </c>
      <c r="CD111" s="34">
        <f t="shared" si="213"/>
        <v>131937.53</v>
      </c>
      <c r="CE111" s="16">
        <f t="shared" si="214"/>
        <v>0.01</v>
      </c>
      <c r="CF111" s="16">
        <f t="shared" si="215"/>
        <v>-0.02</v>
      </c>
      <c r="CG111" s="31" t="s">
        <v>736</v>
      </c>
      <c r="CH111" s="31" t="s">
        <v>737</v>
      </c>
      <c r="CI111" s="31" t="s">
        <v>49</v>
      </c>
      <c r="CJ111" s="31" t="s">
        <v>738</v>
      </c>
      <c r="CK111" s="31" t="s">
        <v>739</v>
      </c>
      <c r="CL111" s="31" t="s">
        <v>740</v>
      </c>
      <c r="CM111" s="29">
        <v>46121</v>
      </c>
      <c r="CN111" s="28" t="s">
        <v>741</v>
      </c>
      <c r="CO111" s="28"/>
      <c r="CP111" s="28"/>
    </row>
    <row r="112" spans="1:94" ht="40.049999999999997" customHeight="1" x14ac:dyDescent="0.25">
      <c r="A112" s="62">
        <v>161</v>
      </c>
      <c r="B112" s="63">
        <v>107</v>
      </c>
      <c r="C112" s="1" t="s">
        <v>258</v>
      </c>
      <c r="D112" s="2" t="s">
        <v>730</v>
      </c>
      <c r="E112" s="2" t="s">
        <v>777</v>
      </c>
      <c r="F112" s="2" t="s">
        <v>778</v>
      </c>
      <c r="G112" s="2" t="s">
        <v>779</v>
      </c>
      <c r="H112" s="64">
        <v>17.736999999999998</v>
      </c>
      <c r="I112" s="1" t="s">
        <v>46</v>
      </c>
      <c r="J112" s="3">
        <v>903.22</v>
      </c>
      <c r="K112" s="1">
        <v>240</v>
      </c>
      <c r="L112" s="4">
        <v>128164</v>
      </c>
      <c r="M112" s="4">
        <v>12816</v>
      </c>
      <c r="N112" s="4">
        <v>140980</v>
      </c>
      <c r="O112" s="31" t="s">
        <v>780</v>
      </c>
      <c r="P112" s="31" t="s">
        <v>781</v>
      </c>
      <c r="Q112" s="35">
        <f t="shared" si="162"/>
        <v>240</v>
      </c>
      <c r="R112" s="14">
        <v>46119</v>
      </c>
      <c r="S112" s="14">
        <f t="shared" si="163"/>
        <v>46358</v>
      </c>
      <c r="T112" s="34">
        <v>121755.8</v>
      </c>
      <c r="U112" s="34">
        <f t="shared" si="164"/>
        <v>12175.58</v>
      </c>
      <c r="V112" s="34">
        <f t="shared" si="165"/>
        <v>133931.38</v>
      </c>
      <c r="W112" s="35"/>
      <c r="X112" s="14">
        <f t="shared" si="166"/>
        <v>46119</v>
      </c>
      <c r="Y112" s="14" t="str">
        <f t="shared" si="167"/>
        <v/>
      </c>
      <c r="Z112" s="34"/>
      <c r="AA112" s="34">
        <f t="shared" si="168"/>
        <v>0</v>
      </c>
      <c r="AB112" s="34">
        <f t="shared" si="169"/>
        <v>0</v>
      </c>
      <c r="AC112" s="15"/>
      <c r="AD112" s="35">
        <f t="shared" si="170"/>
        <v>0</v>
      </c>
      <c r="AE112" s="34">
        <f t="shared" si="171"/>
        <v>0</v>
      </c>
      <c r="AF112" s="34">
        <f t="shared" si="172"/>
        <v>0</v>
      </c>
      <c r="AG112" s="34">
        <f t="shared" si="173"/>
        <v>0</v>
      </c>
      <c r="AH112" s="15"/>
      <c r="AI112" s="35">
        <f t="shared" si="174"/>
        <v>24</v>
      </c>
      <c r="AJ112" s="34">
        <f t="shared" si="175"/>
        <v>12175.58</v>
      </c>
      <c r="AK112" s="34">
        <f t="shared" si="176"/>
        <v>1217.56</v>
      </c>
      <c r="AL112" s="34">
        <f t="shared" si="177"/>
        <v>13393.14</v>
      </c>
      <c r="AM112" s="15"/>
      <c r="AN112" s="35">
        <f t="shared" si="178"/>
        <v>31</v>
      </c>
      <c r="AO112" s="34">
        <f t="shared" si="179"/>
        <v>15726.79</v>
      </c>
      <c r="AP112" s="34">
        <f t="shared" si="180"/>
        <v>1572.68</v>
      </c>
      <c r="AQ112" s="34">
        <f t="shared" si="181"/>
        <v>17299.47</v>
      </c>
      <c r="AR112" s="15"/>
      <c r="AS112" s="35">
        <f t="shared" si="182"/>
        <v>30</v>
      </c>
      <c r="AT112" s="34">
        <f t="shared" si="183"/>
        <v>15219.48</v>
      </c>
      <c r="AU112" s="34">
        <f t="shared" si="184"/>
        <v>1521.95</v>
      </c>
      <c r="AV112" s="34">
        <f t="shared" si="185"/>
        <v>16741.43</v>
      </c>
      <c r="AW112" s="15"/>
      <c r="AX112" s="35">
        <f t="shared" si="186"/>
        <v>31</v>
      </c>
      <c r="AY112" s="34">
        <f t="shared" si="187"/>
        <v>15726.79</v>
      </c>
      <c r="AZ112" s="34">
        <f t="shared" si="188"/>
        <v>1572.68</v>
      </c>
      <c r="BA112" s="34">
        <f t="shared" si="189"/>
        <v>17299.47</v>
      </c>
      <c r="BB112" s="15"/>
      <c r="BC112" s="35">
        <f t="shared" si="190"/>
        <v>31</v>
      </c>
      <c r="BD112" s="34">
        <f t="shared" si="191"/>
        <v>15726.79</v>
      </c>
      <c r="BE112" s="34">
        <f t="shared" si="192"/>
        <v>1572.68</v>
      </c>
      <c r="BF112" s="34">
        <f t="shared" si="193"/>
        <v>17299.47</v>
      </c>
      <c r="BG112" s="15"/>
      <c r="BH112" s="35">
        <f t="shared" si="194"/>
        <v>30</v>
      </c>
      <c r="BI112" s="34">
        <f t="shared" si="195"/>
        <v>15219.48</v>
      </c>
      <c r="BJ112" s="34">
        <f t="shared" si="196"/>
        <v>1521.95</v>
      </c>
      <c r="BK112" s="34">
        <f t="shared" si="197"/>
        <v>16741.43</v>
      </c>
      <c r="BL112" s="15"/>
      <c r="BM112" s="35">
        <f t="shared" si="198"/>
        <v>31</v>
      </c>
      <c r="BN112" s="34">
        <f t="shared" si="199"/>
        <v>15726.79</v>
      </c>
      <c r="BO112" s="34">
        <f t="shared" si="200"/>
        <v>1572.68</v>
      </c>
      <c r="BP112" s="34">
        <f t="shared" si="201"/>
        <v>17299.47</v>
      </c>
      <c r="BQ112" s="15"/>
      <c r="BR112" s="35">
        <f t="shared" si="202"/>
        <v>30</v>
      </c>
      <c r="BS112" s="34">
        <f t="shared" si="203"/>
        <v>15219.48</v>
      </c>
      <c r="BT112" s="34">
        <f t="shared" si="204"/>
        <v>1521.95</v>
      </c>
      <c r="BU112" s="34">
        <f t="shared" si="205"/>
        <v>16741.43</v>
      </c>
      <c r="BV112" s="15"/>
      <c r="BW112" s="35">
        <f t="shared" si="206"/>
        <v>2</v>
      </c>
      <c r="BX112" s="34">
        <f t="shared" si="207"/>
        <v>1014.63</v>
      </c>
      <c r="BY112" s="34">
        <f t="shared" si="208"/>
        <v>101.46</v>
      </c>
      <c r="BZ112" s="34">
        <f t="shared" si="209"/>
        <v>1116.0899999999999</v>
      </c>
      <c r="CA112" s="35">
        <f t="shared" si="210"/>
        <v>240</v>
      </c>
      <c r="CB112" s="34">
        <f t="shared" si="211"/>
        <v>121755.81000000001</v>
      </c>
      <c r="CC112" s="34">
        <f t="shared" si="212"/>
        <v>12175.59</v>
      </c>
      <c r="CD112" s="34">
        <f t="shared" si="213"/>
        <v>133931.40000000002</v>
      </c>
      <c r="CE112" s="16">
        <f t="shared" si="214"/>
        <v>-0.01</v>
      </c>
      <c r="CF112" s="16">
        <f t="shared" si="215"/>
        <v>-0.01</v>
      </c>
      <c r="CG112" s="31" t="s">
        <v>736</v>
      </c>
      <c r="CH112" s="31" t="s">
        <v>737</v>
      </c>
      <c r="CI112" s="31" t="s">
        <v>49</v>
      </c>
      <c r="CJ112" s="31" t="s">
        <v>738</v>
      </c>
      <c r="CK112" s="31" t="s">
        <v>739</v>
      </c>
      <c r="CL112" s="31" t="s">
        <v>740</v>
      </c>
      <c r="CM112" s="29">
        <v>46121</v>
      </c>
      <c r="CN112" s="28" t="s">
        <v>741</v>
      </c>
      <c r="CO112" s="28"/>
      <c r="CP112" s="28"/>
    </row>
    <row r="113" spans="1:94" ht="40.049999999999997" customHeight="1" x14ac:dyDescent="0.25">
      <c r="A113" s="62">
        <v>162</v>
      </c>
      <c r="B113" s="63">
        <v>107</v>
      </c>
      <c r="C113" s="1" t="s">
        <v>258</v>
      </c>
      <c r="D113" s="2" t="s">
        <v>730</v>
      </c>
      <c r="E113" s="2" t="s">
        <v>782</v>
      </c>
      <c r="F113" s="2" t="s">
        <v>783</v>
      </c>
      <c r="G113" s="2" t="s">
        <v>784</v>
      </c>
      <c r="H113" s="64">
        <v>16.13</v>
      </c>
      <c r="I113" s="1" t="s">
        <v>46</v>
      </c>
      <c r="J113" s="3">
        <v>879</v>
      </c>
      <c r="K113" s="1">
        <v>243</v>
      </c>
      <c r="L113" s="4">
        <v>114844</v>
      </c>
      <c r="M113" s="4">
        <v>11484</v>
      </c>
      <c r="N113" s="4">
        <v>126328</v>
      </c>
      <c r="O113" s="31" t="s">
        <v>785</v>
      </c>
      <c r="P113" s="31" t="s">
        <v>786</v>
      </c>
      <c r="Q113" s="35">
        <f t="shared" si="162"/>
        <v>243</v>
      </c>
      <c r="R113" s="14">
        <v>46113</v>
      </c>
      <c r="S113" s="14">
        <f t="shared" si="163"/>
        <v>46355</v>
      </c>
      <c r="T113" s="34">
        <v>109101.8</v>
      </c>
      <c r="U113" s="34">
        <f t="shared" si="164"/>
        <v>10910.18</v>
      </c>
      <c r="V113" s="34">
        <f t="shared" si="165"/>
        <v>120011.98000000001</v>
      </c>
      <c r="W113" s="35"/>
      <c r="X113" s="14">
        <f t="shared" si="166"/>
        <v>46113</v>
      </c>
      <c r="Y113" s="14" t="str">
        <f t="shared" si="167"/>
        <v/>
      </c>
      <c r="Z113" s="34"/>
      <c r="AA113" s="34">
        <f t="shared" si="168"/>
        <v>0</v>
      </c>
      <c r="AB113" s="34">
        <f t="shared" si="169"/>
        <v>0</v>
      </c>
      <c r="AC113" s="15"/>
      <c r="AD113" s="35">
        <f t="shared" si="170"/>
        <v>0</v>
      </c>
      <c r="AE113" s="34">
        <f t="shared" si="171"/>
        <v>0</v>
      </c>
      <c r="AF113" s="34">
        <f t="shared" si="172"/>
        <v>0</v>
      </c>
      <c r="AG113" s="34">
        <f t="shared" si="173"/>
        <v>0</v>
      </c>
      <c r="AH113" s="15"/>
      <c r="AI113" s="35">
        <f t="shared" si="174"/>
        <v>30</v>
      </c>
      <c r="AJ113" s="34">
        <f t="shared" si="175"/>
        <v>13469.36</v>
      </c>
      <c r="AK113" s="34">
        <f t="shared" si="176"/>
        <v>1346.94</v>
      </c>
      <c r="AL113" s="34">
        <f t="shared" si="177"/>
        <v>14816.300000000001</v>
      </c>
      <c r="AM113" s="15"/>
      <c r="AN113" s="35">
        <f t="shared" si="178"/>
        <v>31</v>
      </c>
      <c r="AO113" s="34">
        <f t="shared" si="179"/>
        <v>13918.34</v>
      </c>
      <c r="AP113" s="34">
        <f t="shared" si="180"/>
        <v>1391.83</v>
      </c>
      <c r="AQ113" s="34">
        <f t="shared" si="181"/>
        <v>15310.17</v>
      </c>
      <c r="AR113" s="15"/>
      <c r="AS113" s="35">
        <f t="shared" si="182"/>
        <v>30</v>
      </c>
      <c r="AT113" s="34">
        <f t="shared" si="183"/>
        <v>13469.36</v>
      </c>
      <c r="AU113" s="34">
        <f t="shared" si="184"/>
        <v>1346.94</v>
      </c>
      <c r="AV113" s="34">
        <f t="shared" si="185"/>
        <v>14816.300000000001</v>
      </c>
      <c r="AW113" s="15"/>
      <c r="AX113" s="35">
        <f t="shared" si="186"/>
        <v>31</v>
      </c>
      <c r="AY113" s="34">
        <f t="shared" si="187"/>
        <v>13918.34</v>
      </c>
      <c r="AZ113" s="34">
        <f t="shared" si="188"/>
        <v>1391.83</v>
      </c>
      <c r="BA113" s="34">
        <f t="shared" si="189"/>
        <v>15310.17</v>
      </c>
      <c r="BB113" s="15"/>
      <c r="BC113" s="35">
        <f t="shared" si="190"/>
        <v>31</v>
      </c>
      <c r="BD113" s="34">
        <f t="shared" si="191"/>
        <v>13918.34</v>
      </c>
      <c r="BE113" s="34">
        <f t="shared" si="192"/>
        <v>1391.83</v>
      </c>
      <c r="BF113" s="34">
        <f t="shared" si="193"/>
        <v>15310.17</v>
      </c>
      <c r="BG113" s="15"/>
      <c r="BH113" s="35">
        <f t="shared" si="194"/>
        <v>30</v>
      </c>
      <c r="BI113" s="34">
        <f t="shared" si="195"/>
        <v>13469.36</v>
      </c>
      <c r="BJ113" s="34">
        <f t="shared" si="196"/>
        <v>1346.94</v>
      </c>
      <c r="BK113" s="34">
        <f t="shared" si="197"/>
        <v>14816.300000000001</v>
      </c>
      <c r="BL113" s="15"/>
      <c r="BM113" s="35">
        <f t="shared" si="198"/>
        <v>31</v>
      </c>
      <c r="BN113" s="34">
        <f t="shared" si="199"/>
        <v>13918.34</v>
      </c>
      <c r="BO113" s="34">
        <f t="shared" si="200"/>
        <v>1391.83</v>
      </c>
      <c r="BP113" s="34">
        <f t="shared" si="201"/>
        <v>15310.17</v>
      </c>
      <c r="BQ113" s="15"/>
      <c r="BR113" s="35">
        <f t="shared" si="202"/>
        <v>29</v>
      </c>
      <c r="BS113" s="34">
        <f t="shared" si="203"/>
        <v>13020.38</v>
      </c>
      <c r="BT113" s="34">
        <f t="shared" si="204"/>
        <v>1302.04</v>
      </c>
      <c r="BU113" s="34">
        <f t="shared" si="205"/>
        <v>14322.419999999998</v>
      </c>
      <c r="BV113" s="15"/>
      <c r="BW113" s="35">
        <f t="shared" si="206"/>
        <v>0</v>
      </c>
      <c r="BX113" s="34">
        <f t="shared" si="207"/>
        <v>0</v>
      </c>
      <c r="BY113" s="34">
        <f t="shared" si="208"/>
        <v>0</v>
      </c>
      <c r="BZ113" s="34">
        <f t="shared" si="209"/>
        <v>0</v>
      </c>
      <c r="CA113" s="35">
        <f t="shared" si="210"/>
        <v>243</v>
      </c>
      <c r="CB113" s="34">
        <f t="shared" si="211"/>
        <v>109101.81999999999</v>
      </c>
      <c r="CC113" s="34">
        <f t="shared" si="212"/>
        <v>10910.18</v>
      </c>
      <c r="CD113" s="34">
        <f t="shared" si="213"/>
        <v>120012</v>
      </c>
      <c r="CE113" s="16">
        <f t="shared" si="214"/>
        <v>-0.02</v>
      </c>
      <c r="CF113" s="16">
        <f t="shared" si="215"/>
        <v>0</v>
      </c>
      <c r="CG113" s="31" t="s">
        <v>736</v>
      </c>
      <c r="CH113" s="31" t="s">
        <v>737</v>
      </c>
      <c r="CI113" s="31" t="s">
        <v>49</v>
      </c>
      <c r="CJ113" s="31" t="s">
        <v>738</v>
      </c>
      <c r="CK113" s="31" t="s">
        <v>739</v>
      </c>
      <c r="CL113" s="31" t="s">
        <v>740</v>
      </c>
      <c r="CM113" s="29">
        <v>46121</v>
      </c>
      <c r="CN113" s="28" t="s">
        <v>741</v>
      </c>
      <c r="CO113" s="28"/>
      <c r="CP113" s="28"/>
    </row>
    <row r="114" spans="1:94" ht="40.049999999999997" customHeight="1" x14ac:dyDescent="0.25">
      <c r="A114" s="62">
        <v>163</v>
      </c>
      <c r="B114" s="63">
        <v>107</v>
      </c>
      <c r="C114" s="1" t="s">
        <v>258</v>
      </c>
      <c r="D114" s="2" t="s">
        <v>730</v>
      </c>
      <c r="E114" s="2" t="s">
        <v>787</v>
      </c>
      <c r="F114" s="2" t="s">
        <v>788</v>
      </c>
      <c r="G114" s="2" t="s">
        <v>789</v>
      </c>
      <c r="H114" s="64">
        <v>13.417999999999999</v>
      </c>
      <c r="I114" s="1" t="s">
        <v>46</v>
      </c>
      <c r="J114" s="3">
        <v>908.88</v>
      </c>
      <c r="K114" s="1">
        <v>240</v>
      </c>
      <c r="L114" s="4">
        <v>97563</v>
      </c>
      <c r="M114" s="4">
        <v>9756</v>
      </c>
      <c r="N114" s="4">
        <v>107319</v>
      </c>
      <c r="O114" s="31" t="s">
        <v>790</v>
      </c>
      <c r="P114" s="31" t="s">
        <v>791</v>
      </c>
      <c r="Q114" s="35">
        <f t="shared" si="162"/>
        <v>240</v>
      </c>
      <c r="R114" s="14">
        <v>46113</v>
      </c>
      <c r="S114" s="14">
        <f t="shared" si="163"/>
        <v>46352</v>
      </c>
      <c r="T114" s="34">
        <v>92684.85</v>
      </c>
      <c r="U114" s="34">
        <f t="shared" si="164"/>
        <v>9268.49</v>
      </c>
      <c r="V114" s="34">
        <f t="shared" si="165"/>
        <v>101953.34000000001</v>
      </c>
      <c r="W114" s="35"/>
      <c r="X114" s="14">
        <f t="shared" si="166"/>
        <v>46113</v>
      </c>
      <c r="Y114" s="14" t="str">
        <f t="shared" si="167"/>
        <v/>
      </c>
      <c r="Z114" s="34"/>
      <c r="AA114" s="34">
        <f t="shared" si="168"/>
        <v>0</v>
      </c>
      <c r="AB114" s="34">
        <f t="shared" si="169"/>
        <v>0</v>
      </c>
      <c r="AC114" s="15"/>
      <c r="AD114" s="35">
        <f t="shared" si="170"/>
        <v>0</v>
      </c>
      <c r="AE114" s="34">
        <f t="shared" si="171"/>
        <v>0</v>
      </c>
      <c r="AF114" s="34">
        <f t="shared" si="172"/>
        <v>0</v>
      </c>
      <c r="AG114" s="34">
        <f t="shared" si="173"/>
        <v>0</v>
      </c>
      <c r="AH114" s="15"/>
      <c r="AI114" s="35">
        <f t="shared" si="174"/>
        <v>30</v>
      </c>
      <c r="AJ114" s="34">
        <f t="shared" si="175"/>
        <v>11585.61</v>
      </c>
      <c r="AK114" s="34">
        <f t="shared" si="176"/>
        <v>1158.56</v>
      </c>
      <c r="AL114" s="34">
        <f t="shared" si="177"/>
        <v>12744.17</v>
      </c>
      <c r="AM114" s="15"/>
      <c r="AN114" s="35">
        <f t="shared" si="178"/>
        <v>31</v>
      </c>
      <c r="AO114" s="34">
        <f t="shared" si="179"/>
        <v>11971.79</v>
      </c>
      <c r="AP114" s="34">
        <f t="shared" si="180"/>
        <v>1197.18</v>
      </c>
      <c r="AQ114" s="34">
        <f t="shared" si="181"/>
        <v>13168.970000000001</v>
      </c>
      <c r="AR114" s="15"/>
      <c r="AS114" s="35">
        <f t="shared" si="182"/>
        <v>30</v>
      </c>
      <c r="AT114" s="34">
        <f t="shared" si="183"/>
        <v>11585.61</v>
      </c>
      <c r="AU114" s="34">
        <f t="shared" si="184"/>
        <v>1158.56</v>
      </c>
      <c r="AV114" s="34">
        <f t="shared" si="185"/>
        <v>12744.17</v>
      </c>
      <c r="AW114" s="15"/>
      <c r="AX114" s="35">
        <f t="shared" si="186"/>
        <v>31</v>
      </c>
      <c r="AY114" s="34">
        <f t="shared" si="187"/>
        <v>11971.79</v>
      </c>
      <c r="AZ114" s="34">
        <f t="shared" si="188"/>
        <v>1197.18</v>
      </c>
      <c r="BA114" s="34">
        <f t="shared" si="189"/>
        <v>13168.970000000001</v>
      </c>
      <c r="BB114" s="15"/>
      <c r="BC114" s="35">
        <f t="shared" si="190"/>
        <v>31</v>
      </c>
      <c r="BD114" s="34">
        <f t="shared" si="191"/>
        <v>11971.79</v>
      </c>
      <c r="BE114" s="34">
        <f t="shared" si="192"/>
        <v>1197.18</v>
      </c>
      <c r="BF114" s="34">
        <f t="shared" si="193"/>
        <v>13168.970000000001</v>
      </c>
      <c r="BG114" s="15"/>
      <c r="BH114" s="35">
        <f t="shared" si="194"/>
        <v>30</v>
      </c>
      <c r="BI114" s="34">
        <f t="shared" si="195"/>
        <v>11585.61</v>
      </c>
      <c r="BJ114" s="34">
        <f t="shared" si="196"/>
        <v>1158.56</v>
      </c>
      <c r="BK114" s="34">
        <f t="shared" si="197"/>
        <v>12744.17</v>
      </c>
      <c r="BL114" s="15"/>
      <c r="BM114" s="35">
        <f t="shared" si="198"/>
        <v>31</v>
      </c>
      <c r="BN114" s="34">
        <f t="shared" si="199"/>
        <v>11971.79</v>
      </c>
      <c r="BO114" s="34">
        <f t="shared" si="200"/>
        <v>1197.18</v>
      </c>
      <c r="BP114" s="34">
        <f t="shared" si="201"/>
        <v>13168.970000000001</v>
      </c>
      <c r="BQ114" s="15"/>
      <c r="BR114" s="35">
        <f t="shared" si="202"/>
        <v>26</v>
      </c>
      <c r="BS114" s="34">
        <f t="shared" si="203"/>
        <v>10040.86</v>
      </c>
      <c r="BT114" s="34">
        <f t="shared" si="204"/>
        <v>1004.09</v>
      </c>
      <c r="BU114" s="34">
        <f t="shared" si="205"/>
        <v>11044.95</v>
      </c>
      <c r="BV114" s="15"/>
      <c r="BW114" s="35">
        <f t="shared" si="206"/>
        <v>0</v>
      </c>
      <c r="BX114" s="34">
        <f t="shared" si="207"/>
        <v>0</v>
      </c>
      <c r="BY114" s="34">
        <f t="shared" si="208"/>
        <v>0</v>
      </c>
      <c r="BZ114" s="34">
        <f t="shared" si="209"/>
        <v>0</v>
      </c>
      <c r="CA114" s="35">
        <f t="shared" si="210"/>
        <v>240</v>
      </c>
      <c r="CB114" s="34">
        <f t="shared" si="211"/>
        <v>92684.85000000002</v>
      </c>
      <c r="CC114" s="34">
        <f t="shared" si="212"/>
        <v>9268.49</v>
      </c>
      <c r="CD114" s="34">
        <f t="shared" si="213"/>
        <v>101953.34000000003</v>
      </c>
      <c r="CE114" s="16">
        <f t="shared" si="214"/>
        <v>0</v>
      </c>
      <c r="CF114" s="16">
        <f t="shared" si="215"/>
        <v>0</v>
      </c>
      <c r="CG114" s="31" t="s">
        <v>736</v>
      </c>
      <c r="CH114" s="31" t="s">
        <v>737</v>
      </c>
      <c r="CI114" s="31" t="s">
        <v>49</v>
      </c>
      <c r="CJ114" s="31" t="s">
        <v>738</v>
      </c>
      <c r="CK114" s="31" t="s">
        <v>739</v>
      </c>
      <c r="CL114" s="31" t="s">
        <v>740</v>
      </c>
      <c r="CM114" s="29">
        <v>46121</v>
      </c>
      <c r="CN114" s="28" t="s">
        <v>741</v>
      </c>
      <c r="CO114" s="28"/>
      <c r="CP114" s="28"/>
    </row>
    <row r="115" spans="1:94" ht="40.049999999999997" customHeight="1" x14ac:dyDescent="0.25">
      <c r="A115" s="62">
        <v>164</v>
      </c>
      <c r="B115" s="63">
        <v>107</v>
      </c>
      <c r="C115" s="1" t="s">
        <v>258</v>
      </c>
      <c r="D115" s="2" t="s">
        <v>730</v>
      </c>
      <c r="E115" s="2" t="s">
        <v>792</v>
      </c>
      <c r="F115" s="2" t="s">
        <v>793</v>
      </c>
      <c r="G115" s="2" t="s">
        <v>794</v>
      </c>
      <c r="H115" s="64">
        <v>12.97</v>
      </c>
      <c r="I115" s="1" t="s">
        <v>46</v>
      </c>
      <c r="J115" s="3">
        <v>770</v>
      </c>
      <c r="K115" s="1">
        <v>240</v>
      </c>
      <c r="L115" s="4">
        <v>79896</v>
      </c>
      <c r="M115" s="4">
        <v>7989</v>
      </c>
      <c r="N115" s="4">
        <v>87885</v>
      </c>
      <c r="O115" s="31" t="s">
        <v>795</v>
      </c>
      <c r="P115" s="31" t="s">
        <v>796</v>
      </c>
      <c r="Q115" s="35">
        <f t="shared" si="162"/>
        <v>240</v>
      </c>
      <c r="R115" s="14">
        <v>46120</v>
      </c>
      <c r="S115" s="14">
        <f t="shared" si="163"/>
        <v>46359</v>
      </c>
      <c r="T115" s="34">
        <v>75901</v>
      </c>
      <c r="U115" s="34">
        <f t="shared" si="164"/>
        <v>7590.1</v>
      </c>
      <c r="V115" s="34">
        <f t="shared" si="165"/>
        <v>83491.100000000006</v>
      </c>
      <c r="W115" s="35"/>
      <c r="X115" s="14">
        <f t="shared" si="166"/>
        <v>46120</v>
      </c>
      <c r="Y115" s="14" t="str">
        <f t="shared" si="167"/>
        <v/>
      </c>
      <c r="Z115" s="34"/>
      <c r="AA115" s="34">
        <f t="shared" si="168"/>
        <v>0</v>
      </c>
      <c r="AB115" s="34">
        <f t="shared" si="169"/>
        <v>0</v>
      </c>
      <c r="AC115" s="15"/>
      <c r="AD115" s="35">
        <f t="shared" si="170"/>
        <v>0</v>
      </c>
      <c r="AE115" s="34">
        <f t="shared" si="171"/>
        <v>0</v>
      </c>
      <c r="AF115" s="34">
        <f t="shared" si="172"/>
        <v>0</v>
      </c>
      <c r="AG115" s="34">
        <f t="shared" si="173"/>
        <v>0</v>
      </c>
      <c r="AH115" s="15"/>
      <c r="AI115" s="35">
        <f t="shared" si="174"/>
        <v>23</v>
      </c>
      <c r="AJ115" s="34">
        <f t="shared" si="175"/>
        <v>7273.85</v>
      </c>
      <c r="AK115" s="34">
        <f t="shared" si="176"/>
        <v>727.39</v>
      </c>
      <c r="AL115" s="34">
        <f t="shared" si="177"/>
        <v>8001.2400000000007</v>
      </c>
      <c r="AM115" s="15"/>
      <c r="AN115" s="35">
        <f t="shared" si="178"/>
        <v>31</v>
      </c>
      <c r="AO115" s="34">
        <f t="shared" si="179"/>
        <v>9803.8799999999992</v>
      </c>
      <c r="AP115" s="34">
        <f t="shared" si="180"/>
        <v>980.39</v>
      </c>
      <c r="AQ115" s="34">
        <f t="shared" si="181"/>
        <v>10784.269999999999</v>
      </c>
      <c r="AR115" s="15"/>
      <c r="AS115" s="35">
        <f t="shared" si="182"/>
        <v>30</v>
      </c>
      <c r="AT115" s="34">
        <f t="shared" si="183"/>
        <v>9487.6299999999992</v>
      </c>
      <c r="AU115" s="34">
        <f t="shared" si="184"/>
        <v>948.76</v>
      </c>
      <c r="AV115" s="34">
        <f t="shared" si="185"/>
        <v>10436.39</v>
      </c>
      <c r="AW115" s="15"/>
      <c r="AX115" s="35">
        <f t="shared" si="186"/>
        <v>31</v>
      </c>
      <c r="AY115" s="34">
        <f t="shared" si="187"/>
        <v>9803.8799999999992</v>
      </c>
      <c r="AZ115" s="34">
        <f t="shared" si="188"/>
        <v>980.39</v>
      </c>
      <c r="BA115" s="34">
        <f t="shared" si="189"/>
        <v>10784.269999999999</v>
      </c>
      <c r="BB115" s="15"/>
      <c r="BC115" s="35">
        <f t="shared" si="190"/>
        <v>31</v>
      </c>
      <c r="BD115" s="34">
        <f t="shared" si="191"/>
        <v>9803.8799999999992</v>
      </c>
      <c r="BE115" s="34">
        <f t="shared" si="192"/>
        <v>980.39</v>
      </c>
      <c r="BF115" s="34">
        <f t="shared" si="193"/>
        <v>10784.269999999999</v>
      </c>
      <c r="BG115" s="15"/>
      <c r="BH115" s="35">
        <f t="shared" si="194"/>
        <v>30</v>
      </c>
      <c r="BI115" s="34">
        <f t="shared" si="195"/>
        <v>9487.6299999999992</v>
      </c>
      <c r="BJ115" s="34">
        <f t="shared" si="196"/>
        <v>948.76</v>
      </c>
      <c r="BK115" s="34">
        <f t="shared" si="197"/>
        <v>10436.39</v>
      </c>
      <c r="BL115" s="15"/>
      <c r="BM115" s="35">
        <f t="shared" si="198"/>
        <v>31</v>
      </c>
      <c r="BN115" s="34">
        <f t="shared" si="199"/>
        <v>9803.8799999999992</v>
      </c>
      <c r="BO115" s="34">
        <f t="shared" si="200"/>
        <v>980.39</v>
      </c>
      <c r="BP115" s="34">
        <f t="shared" si="201"/>
        <v>10784.269999999999</v>
      </c>
      <c r="BQ115" s="15"/>
      <c r="BR115" s="35">
        <f t="shared" si="202"/>
        <v>30</v>
      </c>
      <c r="BS115" s="34">
        <f t="shared" si="203"/>
        <v>9487.6299999999992</v>
      </c>
      <c r="BT115" s="34">
        <f t="shared" si="204"/>
        <v>948.76</v>
      </c>
      <c r="BU115" s="34">
        <f t="shared" si="205"/>
        <v>10436.39</v>
      </c>
      <c r="BV115" s="15"/>
      <c r="BW115" s="35">
        <f t="shared" si="206"/>
        <v>3</v>
      </c>
      <c r="BX115" s="34">
        <f t="shared" si="207"/>
        <v>948.76</v>
      </c>
      <c r="BY115" s="34">
        <f t="shared" si="208"/>
        <v>94.88</v>
      </c>
      <c r="BZ115" s="34">
        <f t="shared" si="209"/>
        <v>1043.6399999999999</v>
      </c>
      <c r="CA115" s="35">
        <f t="shared" si="210"/>
        <v>240</v>
      </c>
      <c r="CB115" s="34">
        <f t="shared" si="211"/>
        <v>75901.01999999999</v>
      </c>
      <c r="CC115" s="34">
        <f t="shared" si="212"/>
        <v>7590.1100000000006</v>
      </c>
      <c r="CD115" s="34">
        <f t="shared" si="213"/>
        <v>83491.12999999999</v>
      </c>
      <c r="CE115" s="16">
        <f t="shared" si="214"/>
        <v>-0.02</v>
      </c>
      <c r="CF115" s="16">
        <f t="shared" si="215"/>
        <v>-0.01</v>
      </c>
      <c r="CG115" s="31" t="s">
        <v>736</v>
      </c>
      <c r="CH115" s="31" t="s">
        <v>737</v>
      </c>
      <c r="CI115" s="31" t="s">
        <v>49</v>
      </c>
      <c r="CJ115" s="31" t="s">
        <v>738</v>
      </c>
      <c r="CK115" s="31" t="s">
        <v>739</v>
      </c>
      <c r="CL115" s="31" t="s">
        <v>740</v>
      </c>
      <c r="CM115" s="29">
        <v>46121</v>
      </c>
      <c r="CN115" s="28" t="s">
        <v>741</v>
      </c>
      <c r="CO115" s="28"/>
      <c r="CP115" s="28"/>
    </row>
    <row r="116" spans="1:94" ht="40.049999999999997" customHeight="1" x14ac:dyDescent="0.25">
      <c r="A116" s="62">
        <v>165</v>
      </c>
      <c r="B116" s="63">
        <v>107</v>
      </c>
      <c r="C116" s="1" t="s">
        <v>258</v>
      </c>
      <c r="D116" s="2" t="s">
        <v>730</v>
      </c>
      <c r="E116" s="2" t="s">
        <v>797</v>
      </c>
      <c r="F116" s="2" t="s">
        <v>798</v>
      </c>
      <c r="G116" s="2" t="s">
        <v>799</v>
      </c>
      <c r="H116" s="64">
        <v>12.5</v>
      </c>
      <c r="I116" s="1" t="s">
        <v>46</v>
      </c>
      <c r="J116" s="3">
        <v>905</v>
      </c>
      <c r="K116" s="1">
        <v>240</v>
      </c>
      <c r="L116" s="4">
        <v>90500</v>
      </c>
      <c r="M116" s="4">
        <v>9050</v>
      </c>
      <c r="N116" s="4">
        <v>99550</v>
      </c>
      <c r="O116" s="31" t="s">
        <v>800</v>
      </c>
      <c r="P116" s="31" t="s">
        <v>801</v>
      </c>
      <c r="Q116" s="35">
        <f t="shared" si="162"/>
        <v>240</v>
      </c>
      <c r="R116" s="14">
        <v>46113</v>
      </c>
      <c r="S116" s="14">
        <f t="shared" si="163"/>
        <v>46352</v>
      </c>
      <c r="T116" s="34">
        <v>90500</v>
      </c>
      <c r="U116" s="34">
        <f t="shared" si="164"/>
        <v>9050</v>
      </c>
      <c r="V116" s="34">
        <f t="shared" si="165"/>
        <v>99550</v>
      </c>
      <c r="W116" s="35"/>
      <c r="X116" s="14">
        <f t="shared" si="166"/>
        <v>46113</v>
      </c>
      <c r="Y116" s="14" t="str">
        <f t="shared" si="167"/>
        <v/>
      </c>
      <c r="Z116" s="34"/>
      <c r="AA116" s="34">
        <f t="shared" si="168"/>
        <v>0</v>
      </c>
      <c r="AB116" s="34">
        <f t="shared" si="169"/>
        <v>0</v>
      </c>
      <c r="AC116" s="15"/>
      <c r="AD116" s="35">
        <f t="shared" si="170"/>
        <v>0</v>
      </c>
      <c r="AE116" s="34">
        <f t="shared" si="171"/>
        <v>0</v>
      </c>
      <c r="AF116" s="34">
        <f t="shared" si="172"/>
        <v>0</v>
      </c>
      <c r="AG116" s="34">
        <f t="shared" si="173"/>
        <v>0</v>
      </c>
      <c r="AH116" s="15"/>
      <c r="AI116" s="35">
        <f t="shared" si="174"/>
        <v>30</v>
      </c>
      <c r="AJ116" s="34">
        <f t="shared" si="175"/>
        <v>11312.5</v>
      </c>
      <c r="AK116" s="34">
        <f t="shared" si="176"/>
        <v>1131.25</v>
      </c>
      <c r="AL116" s="34">
        <f t="shared" si="177"/>
        <v>12443.75</v>
      </c>
      <c r="AM116" s="15"/>
      <c r="AN116" s="35">
        <f t="shared" si="178"/>
        <v>31</v>
      </c>
      <c r="AO116" s="34">
        <f t="shared" si="179"/>
        <v>11689.58</v>
      </c>
      <c r="AP116" s="34">
        <f t="shared" si="180"/>
        <v>1168.96</v>
      </c>
      <c r="AQ116" s="34">
        <f t="shared" si="181"/>
        <v>12858.54</v>
      </c>
      <c r="AR116" s="15"/>
      <c r="AS116" s="35">
        <f t="shared" si="182"/>
        <v>30</v>
      </c>
      <c r="AT116" s="34">
        <f t="shared" si="183"/>
        <v>11312.5</v>
      </c>
      <c r="AU116" s="34">
        <f t="shared" si="184"/>
        <v>1131.25</v>
      </c>
      <c r="AV116" s="34">
        <f t="shared" si="185"/>
        <v>12443.75</v>
      </c>
      <c r="AW116" s="15"/>
      <c r="AX116" s="35">
        <f t="shared" si="186"/>
        <v>31</v>
      </c>
      <c r="AY116" s="34">
        <f t="shared" si="187"/>
        <v>11689.58</v>
      </c>
      <c r="AZ116" s="34">
        <f t="shared" si="188"/>
        <v>1168.96</v>
      </c>
      <c r="BA116" s="34">
        <f t="shared" si="189"/>
        <v>12858.54</v>
      </c>
      <c r="BB116" s="15"/>
      <c r="BC116" s="35">
        <f t="shared" si="190"/>
        <v>31</v>
      </c>
      <c r="BD116" s="34">
        <f t="shared" si="191"/>
        <v>11689.58</v>
      </c>
      <c r="BE116" s="34">
        <f t="shared" si="192"/>
        <v>1168.96</v>
      </c>
      <c r="BF116" s="34">
        <f t="shared" si="193"/>
        <v>12858.54</v>
      </c>
      <c r="BG116" s="15"/>
      <c r="BH116" s="35">
        <f t="shared" si="194"/>
        <v>30</v>
      </c>
      <c r="BI116" s="34">
        <f t="shared" si="195"/>
        <v>11312.5</v>
      </c>
      <c r="BJ116" s="34">
        <f t="shared" si="196"/>
        <v>1131.25</v>
      </c>
      <c r="BK116" s="34">
        <f t="shared" si="197"/>
        <v>12443.75</v>
      </c>
      <c r="BL116" s="15"/>
      <c r="BM116" s="35">
        <f t="shared" si="198"/>
        <v>31</v>
      </c>
      <c r="BN116" s="34">
        <f t="shared" si="199"/>
        <v>11689.58</v>
      </c>
      <c r="BO116" s="34">
        <f t="shared" si="200"/>
        <v>1168.96</v>
      </c>
      <c r="BP116" s="34">
        <f t="shared" si="201"/>
        <v>12858.54</v>
      </c>
      <c r="BQ116" s="15"/>
      <c r="BR116" s="35">
        <f t="shared" si="202"/>
        <v>26</v>
      </c>
      <c r="BS116" s="34">
        <f t="shared" si="203"/>
        <v>9804.17</v>
      </c>
      <c r="BT116" s="34">
        <f t="shared" si="204"/>
        <v>980.42</v>
      </c>
      <c r="BU116" s="34">
        <f t="shared" si="205"/>
        <v>10784.59</v>
      </c>
      <c r="BV116" s="15"/>
      <c r="BW116" s="35">
        <f t="shared" si="206"/>
        <v>0</v>
      </c>
      <c r="BX116" s="34">
        <f t="shared" si="207"/>
        <v>0</v>
      </c>
      <c r="BY116" s="34">
        <f t="shared" si="208"/>
        <v>0</v>
      </c>
      <c r="BZ116" s="34">
        <f t="shared" si="209"/>
        <v>0</v>
      </c>
      <c r="CA116" s="35">
        <f t="shared" si="210"/>
        <v>240</v>
      </c>
      <c r="CB116" s="34">
        <f t="shared" si="211"/>
        <v>90499.99</v>
      </c>
      <c r="CC116" s="34">
        <f t="shared" si="212"/>
        <v>9050.01</v>
      </c>
      <c r="CD116" s="34">
        <f t="shared" si="213"/>
        <v>99550</v>
      </c>
      <c r="CE116" s="16">
        <f t="shared" si="214"/>
        <v>0.01</v>
      </c>
      <c r="CF116" s="16">
        <f t="shared" si="215"/>
        <v>-0.01</v>
      </c>
      <c r="CG116" s="31" t="s">
        <v>736</v>
      </c>
      <c r="CH116" s="31" t="s">
        <v>737</v>
      </c>
      <c r="CI116" s="31" t="s">
        <v>49</v>
      </c>
      <c r="CJ116" s="31" t="s">
        <v>738</v>
      </c>
      <c r="CK116" s="31" t="s">
        <v>739</v>
      </c>
      <c r="CL116" s="31" t="s">
        <v>740</v>
      </c>
      <c r="CM116" s="29">
        <v>46121</v>
      </c>
      <c r="CN116" s="28" t="s">
        <v>741</v>
      </c>
      <c r="CO116" s="28"/>
      <c r="CP116" s="28"/>
    </row>
    <row r="117" spans="1:94" ht="40.049999999999997" customHeight="1" x14ac:dyDescent="0.25">
      <c r="A117" s="62">
        <v>166</v>
      </c>
      <c r="B117" s="63">
        <v>107</v>
      </c>
      <c r="C117" s="1" t="s">
        <v>258</v>
      </c>
      <c r="D117" s="2" t="s">
        <v>730</v>
      </c>
      <c r="E117" s="2" t="s">
        <v>792</v>
      </c>
      <c r="F117" s="2" t="s">
        <v>802</v>
      </c>
      <c r="G117" s="2" t="s">
        <v>803</v>
      </c>
      <c r="H117" s="64">
        <v>12.5</v>
      </c>
      <c r="I117" s="1" t="s">
        <v>46</v>
      </c>
      <c r="J117" s="3">
        <v>848</v>
      </c>
      <c r="K117" s="1">
        <v>246</v>
      </c>
      <c r="L117" s="4">
        <v>86920</v>
      </c>
      <c r="M117" s="4">
        <v>8692</v>
      </c>
      <c r="N117" s="4">
        <v>95612</v>
      </c>
      <c r="O117" s="31" t="s">
        <v>804</v>
      </c>
      <c r="P117" s="31" t="s">
        <v>791</v>
      </c>
      <c r="Q117" s="35">
        <f t="shared" si="162"/>
        <v>246</v>
      </c>
      <c r="R117" s="14">
        <v>46113</v>
      </c>
      <c r="S117" s="14">
        <f t="shared" si="163"/>
        <v>46358</v>
      </c>
      <c r="T117" s="34">
        <v>82574</v>
      </c>
      <c r="U117" s="34">
        <f t="shared" si="164"/>
        <v>8257.4</v>
      </c>
      <c r="V117" s="34">
        <f t="shared" si="165"/>
        <v>90831.4</v>
      </c>
      <c r="W117" s="35"/>
      <c r="X117" s="14">
        <f t="shared" si="166"/>
        <v>46113</v>
      </c>
      <c r="Y117" s="14" t="str">
        <f t="shared" si="167"/>
        <v/>
      </c>
      <c r="Z117" s="34"/>
      <c r="AA117" s="34">
        <f t="shared" si="168"/>
        <v>0</v>
      </c>
      <c r="AB117" s="34">
        <f t="shared" si="169"/>
        <v>0</v>
      </c>
      <c r="AC117" s="15"/>
      <c r="AD117" s="35">
        <f t="shared" si="170"/>
        <v>0</v>
      </c>
      <c r="AE117" s="34">
        <f t="shared" si="171"/>
        <v>0</v>
      </c>
      <c r="AF117" s="34">
        <f t="shared" si="172"/>
        <v>0</v>
      </c>
      <c r="AG117" s="34">
        <f t="shared" si="173"/>
        <v>0</v>
      </c>
      <c r="AH117" s="15"/>
      <c r="AI117" s="35">
        <f t="shared" si="174"/>
        <v>30</v>
      </c>
      <c r="AJ117" s="34">
        <f t="shared" si="175"/>
        <v>10070</v>
      </c>
      <c r="AK117" s="34">
        <f t="shared" si="176"/>
        <v>1007</v>
      </c>
      <c r="AL117" s="34">
        <f t="shared" si="177"/>
        <v>11077</v>
      </c>
      <c r="AM117" s="15"/>
      <c r="AN117" s="35">
        <f t="shared" si="178"/>
        <v>31</v>
      </c>
      <c r="AO117" s="34">
        <f t="shared" si="179"/>
        <v>10405.67</v>
      </c>
      <c r="AP117" s="34">
        <f t="shared" si="180"/>
        <v>1040.57</v>
      </c>
      <c r="AQ117" s="34">
        <f t="shared" si="181"/>
        <v>11446.24</v>
      </c>
      <c r="AR117" s="15"/>
      <c r="AS117" s="35">
        <f t="shared" si="182"/>
        <v>30</v>
      </c>
      <c r="AT117" s="34">
        <f t="shared" si="183"/>
        <v>10070</v>
      </c>
      <c r="AU117" s="34">
        <f t="shared" si="184"/>
        <v>1007</v>
      </c>
      <c r="AV117" s="34">
        <f t="shared" si="185"/>
        <v>11077</v>
      </c>
      <c r="AW117" s="15"/>
      <c r="AX117" s="35">
        <f t="shared" si="186"/>
        <v>31</v>
      </c>
      <c r="AY117" s="34">
        <f t="shared" si="187"/>
        <v>10405.67</v>
      </c>
      <c r="AZ117" s="34">
        <f t="shared" si="188"/>
        <v>1040.57</v>
      </c>
      <c r="BA117" s="34">
        <f t="shared" si="189"/>
        <v>11446.24</v>
      </c>
      <c r="BB117" s="15"/>
      <c r="BC117" s="35">
        <f t="shared" si="190"/>
        <v>31</v>
      </c>
      <c r="BD117" s="34">
        <f t="shared" si="191"/>
        <v>10405.67</v>
      </c>
      <c r="BE117" s="34">
        <f t="shared" si="192"/>
        <v>1040.57</v>
      </c>
      <c r="BF117" s="34">
        <f t="shared" si="193"/>
        <v>11446.24</v>
      </c>
      <c r="BG117" s="15"/>
      <c r="BH117" s="35">
        <f t="shared" si="194"/>
        <v>30</v>
      </c>
      <c r="BI117" s="34">
        <f t="shared" si="195"/>
        <v>10070</v>
      </c>
      <c r="BJ117" s="34">
        <f t="shared" si="196"/>
        <v>1007</v>
      </c>
      <c r="BK117" s="34">
        <f t="shared" si="197"/>
        <v>11077</v>
      </c>
      <c r="BL117" s="15"/>
      <c r="BM117" s="35">
        <f t="shared" si="198"/>
        <v>31</v>
      </c>
      <c r="BN117" s="34">
        <f t="shared" si="199"/>
        <v>10405.67</v>
      </c>
      <c r="BO117" s="34">
        <f t="shared" si="200"/>
        <v>1040.57</v>
      </c>
      <c r="BP117" s="34">
        <f t="shared" si="201"/>
        <v>11446.24</v>
      </c>
      <c r="BQ117" s="15"/>
      <c r="BR117" s="35">
        <f t="shared" si="202"/>
        <v>30</v>
      </c>
      <c r="BS117" s="34">
        <f t="shared" si="203"/>
        <v>10070</v>
      </c>
      <c r="BT117" s="34">
        <f t="shared" si="204"/>
        <v>1007</v>
      </c>
      <c r="BU117" s="34">
        <f t="shared" si="205"/>
        <v>11077</v>
      </c>
      <c r="BV117" s="15"/>
      <c r="BW117" s="35">
        <f t="shared" si="206"/>
        <v>2</v>
      </c>
      <c r="BX117" s="34">
        <f t="shared" si="207"/>
        <v>671.33</v>
      </c>
      <c r="BY117" s="34">
        <f t="shared" si="208"/>
        <v>67.13</v>
      </c>
      <c r="BZ117" s="34">
        <f t="shared" si="209"/>
        <v>738.46</v>
      </c>
      <c r="CA117" s="35">
        <f t="shared" si="210"/>
        <v>246</v>
      </c>
      <c r="CB117" s="34">
        <f t="shared" si="211"/>
        <v>82574.009999999995</v>
      </c>
      <c r="CC117" s="34">
        <f t="shared" si="212"/>
        <v>8257.409999999998</v>
      </c>
      <c r="CD117" s="34">
        <f t="shared" si="213"/>
        <v>90831.42</v>
      </c>
      <c r="CE117" s="16">
        <f t="shared" si="214"/>
        <v>-0.01</v>
      </c>
      <c r="CF117" s="16">
        <f t="shared" si="215"/>
        <v>-0.01</v>
      </c>
      <c r="CG117" s="31" t="s">
        <v>736</v>
      </c>
      <c r="CH117" s="31" t="s">
        <v>737</v>
      </c>
      <c r="CI117" s="31" t="s">
        <v>49</v>
      </c>
      <c r="CJ117" s="31" t="s">
        <v>738</v>
      </c>
      <c r="CK117" s="31" t="s">
        <v>739</v>
      </c>
      <c r="CL117" s="31" t="s">
        <v>740</v>
      </c>
      <c r="CM117" s="29">
        <v>46121</v>
      </c>
      <c r="CN117" s="28" t="s">
        <v>741</v>
      </c>
      <c r="CO117" s="28"/>
      <c r="CP117" s="28"/>
    </row>
    <row r="118" spans="1:94" ht="40.049999999999997" customHeight="1" x14ac:dyDescent="0.25">
      <c r="A118" s="62">
        <v>167</v>
      </c>
      <c r="B118" s="63">
        <v>107</v>
      </c>
      <c r="C118" s="1" t="s">
        <v>258</v>
      </c>
      <c r="D118" s="2" t="s">
        <v>730</v>
      </c>
      <c r="E118" s="2" t="s">
        <v>805</v>
      </c>
      <c r="F118" s="2" t="s">
        <v>806</v>
      </c>
      <c r="G118" s="2" t="s">
        <v>807</v>
      </c>
      <c r="H118" s="64">
        <v>11.718999999999999</v>
      </c>
      <c r="I118" s="1" t="s">
        <v>46</v>
      </c>
      <c r="J118" s="3">
        <v>827.98</v>
      </c>
      <c r="K118" s="1">
        <v>246</v>
      </c>
      <c r="L118" s="4">
        <v>79566</v>
      </c>
      <c r="M118" s="4">
        <v>7956</v>
      </c>
      <c r="N118" s="4">
        <v>87522</v>
      </c>
      <c r="O118" s="31" t="s">
        <v>808</v>
      </c>
      <c r="P118" s="31" t="s">
        <v>796</v>
      </c>
      <c r="Q118" s="35">
        <f t="shared" si="162"/>
        <v>246</v>
      </c>
      <c r="R118" s="14">
        <v>46113</v>
      </c>
      <c r="S118" s="14">
        <f t="shared" si="163"/>
        <v>46358</v>
      </c>
      <c r="T118" s="34">
        <v>79566</v>
      </c>
      <c r="U118" s="34">
        <f t="shared" si="164"/>
        <v>7956.6</v>
      </c>
      <c r="V118" s="34">
        <f t="shared" si="165"/>
        <v>87522.6</v>
      </c>
      <c r="W118" s="35"/>
      <c r="X118" s="14">
        <f t="shared" si="166"/>
        <v>46113</v>
      </c>
      <c r="Y118" s="14" t="str">
        <f t="shared" si="167"/>
        <v/>
      </c>
      <c r="Z118" s="34"/>
      <c r="AA118" s="34">
        <f t="shared" si="168"/>
        <v>0</v>
      </c>
      <c r="AB118" s="34">
        <f t="shared" si="169"/>
        <v>0</v>
      </c>
      <c r="AC118" s="15"/>
      <c r="AD118" s="35">
        <f t="shared" si="170"/>
        <v>0</v>
      </c>
      <c r="AE118" s="34">
        <f t="shared" si="171"/>
        <v>0</v>
      </c>
      <c r="AF118" s="34">
        <f t="shared" si="172"/>
        <v>0</v>
      </c>
      <c r="AG118" s="34">
        <f t="shared" si="173"/>
        <v>0</v>
      </c>
      <c r="AH118" s="15"/>
      <c r="AI118" s="35">
        <f t="shared" si="174"/>
        <v>30</v>
      </c>
      <c r="AJ118" s="34">
        <f t="shared" si="175"/>
        <v>9703.17</v>
      </c>
      <c r="AK118" s="34">
        <f t="shared" si="176"/>
        <v>970.32</v>
      </c>
      <c r="AL118" s="34">
        <f t="shared" si="177"/>
        <v>10673.49</v>
      </c>
      <c r="AM118" s="15"/>
      <c r="AN118" s="35">
        <f t="shared" si="178"/>
        <v>31</v>
      </c>
      <c r="AO118" s="34">
        <f t="shared" si="179"/>
        <v>10026.61</v>
      </c>
      <c r="AP118" s="34">
        <f t="shared" si="180"/>
        <v>1002.66</v>
      </c>
      <c r="AQ118" s="34">
        <f t="shared" si="181"/>
        <v>11029.27</v>
      </c>
      <c r="AR118" s="15"/>
      <c r="AS118" s="35">
        <f t="shared" si="182"/>
        <v>30</v>
      </c>
      <c r="AT118" s="34">
        <f t="shared" si="183"/>
        <v>9703.17</v>
      </c>
      <c r="AU118" s="34">
        <f t="shared" si="184"/>
        <v>970.32</v>
      </c>
      <c r="AV118" s="34">
        <f t="shared" si="185"/>
        <v>10673.49</v>
      </c>
      <c r="AW118" s="15"/>
      <c r="AX118" s="35">
        <f t="shared" si="186"/>
        <v>31</v>
      </c>
      <c r="AY118" s="34">
        <f t="shared" si="187"/>
        <v>10026.61</v>
      </c>
      <c r="AZ118" s="34">
        <f t="shared" si="188"/>
        <v>1002.66</v>
      </c>
      <c r="BA118" s="34">
        <f t="shared" si="189"/>
        <v>11029.27</v>
      </c>
      <c r="BB118" s="15"/>
      <c r="BC118" s="35">
        <f t="shared" si="190"/>
        <v>31</v>
      </c>
      <c r="BD118" s="34">
        <f t="shared" si="191"/>
        <v>10026.61</v>
      </c>
      <c r="BE118" s="34">
        <f t="shared" si="192"/>
        <v>1002.66</v>
      </c>
      <c r="BF118" s="34">
        <f t="shared" si="193"/>
        <v>11029.27</v>
      </c>
      <c r="BG118" s="15"/>
      <c r="BH118" s="35">
        <f t="shared" si="194"/>
        <v>30</v>
      </c>
      <c r="BI118" s="34">
        <f t="shared" si="195"/>
        <v>9703.17</v>
      </c>
      <c r="BJ118" s="34">
        <f t="shared" si="196"/>
        <v>970.32</v>
      </c>
      <c r="BK118" s="34">
        <f t="shared" si="197"/>
        <v>10673.49</v>
      </c>
      <c r="BL118" s="15"/>
      <c r="BM118" s="35">
        <f t="shared" si="198"/>
        <v>31</v>
      </c>
      <c r="BN118" s="34">
        <f t="shared" si="199"/>
        <v>10026.61</v>
      </c>
      <c r="BO118" s="34">
        <f t="shared" si="200"/>
        <v>1002.66</v>
      </c>
      <c r="BP118" s="34">
        <f t="shared" si="201"/>
        <v>11029.27</v>
      </c>
      <c r="BQ118" s="15"/>
      <c r="BR118" s="35">
        <f t="shared" si="202"/>
        <v>30</v>
      </c>
      <c r="BS118" s="34">
        <f t="shared" si="203"/>
        <v>9703.17</v>
      </c>
      <c r="BT118" s="34">
        <f t="shared" si="204"/>
        <v>970.32</v>
      </c>
      <c r="BU118" s="34">
        <f t="shared" si="205"/>
        <v>10673.49</v>
      </c>
      <c r="BV118" s="15"/>
      <c r="BW118" s="35">
        <f t="shared" si="206"/>
        <v>2</v>
      </c>
      <c r="BX118" s="34">
        <f t="shared" si="207"/>
        <v>646.88</v>
      </c>
      <c r="BY118" s="34">
        <f t="shared" si="208"/>
        <v>64.69</v>
      </c>
      <c r="BZ118" s="34">
        <f t="shared" si="209"/>
        <v>711.56999999999994</v>
      </c>
      <c r="CA118" s="35">
        <f t="shared" si="210"/>
        <v>246</v>
      </c>
      <c r="CB118" s="34">
        <f t="shared" si="211"/>
        <v>79566</v>
      </c>
      <c r="CC118" s="34">
        <f t="shared" si="212"/>
        <v>7956.6099999999988</v>
      </c>
      <c r="CD118" s="34">
        <f t="shared" si="213"/>
        <v>87522.61</v>
      </c>
      <c r="CE118" s="16">
        <f t="shared" si="214"/>
        <v>0</v>
      </c>
      <c r="CF118" s="16">
        <f t="shared" si="215"/>
        <v>-0.01</v>
      </c>
      <c r="CG118" s="31" t="s">
        <v>736</v>
      </c>
      <c r="CH118" s="31" t="s">
        <v>737</v>
      </c>
      <c r="CI118" s="31" t="s">
        <v>49</v>
      </c>
      <c r="CJ118" s="31" t="s">
        <v>738</v>
      </c>
      <c r="CK118" s="31" t="s">
        <v>739</v>
      </c>
      <c r="CL118" s="31" t="s">
        <v>740</v>
      </c>
      <c r="CM118" s="29">
        <v>46121</v>
      </c>
      <c r="CN118" s="28" t="s">
        <v>741</v>
      </c>
      <c r="CO118" s="28"/>
      <c r="CP118" s="28"/>
    </row>
    <row r="119" spans="1:94" ht="40.049999999999997" customHeight="1" x14ac:dyDescent="0.25">
      <c r="A119" s="62">
        <v>168</v>
      </c>
      <c r="B119" s="63">
        <v>107</v>
      </c>
      <c r="C119" s="1" t="s">
        <v>258</v>
      </c>
      <c r="D119" s="2" t="s">
        <v>730</v>
      </c>
      <c r="E119" s="2" t="s">
        <v>809</v>
      </c>
      <c r="F119" s="2" t="s">
        <v>810</v>
      </c>
      <c r="G119" s="2" t="s">
        <v>811</v>
      </c>
      <c r="H119" s="64">
        <v>11.2</v>
      </c>
      <c r="I119" s="1" t="s">
        <v>46</v>
      </c>
      <c r="J119" s="3">
        <v>913.87</v>
      </c>
      <c r="K119" s="1">
        <v>240</v>
      </c>
      <c r="L119" s="4">
        <v>81883</v>
      </c>
      <c r="M119" s="4">
        <v>8188</v>
      </c>
      <c r="N119" s="4">
        <v>90071</v>
      </c>
      <c r="O119" s="31" t="s">
        <v>812</v>
      </c>
      <c r="P119" s="31" t="s">
        <v>813</v>
      </c>
      <c r="Q119" s="35">
        <f t="shared" si="162"/>
        <v>240</v>
      </c>
      <c r="R119" s="14">
        <v>46113</v>
      </c>
      <c r="S119" s="14">
        <f t="shared" si="163"/>
        <v>46352</v>
      </c>
      <c r="T119" s="34">
        <v>81883</v>
      </c>
      <c r="U119" s="34">
        <f t="shared" si="164"/>
        <v>8188.3</v>
      </c>
      <c r="V119" s="34">
        <f t="shared" si="165"/>
        <v>90071.3</v>
      </c>
      <c r="W119" s="35"/>
      <c r="X119" s="14">
        <f t="shared" si="166"/>
        <v>46113</v>
      </c>
      <c r="Y119" s="14" t="str">
        <f t="shared" si="167"/>
        <v/>
      </c>
      <c r="Z119" s="34"/>
      <c r="AA119" s="34">
        <f t="shared" si="168"/>
        <v>0</v>
      </c>
      <c r="AB119" s="34">
        <f t="shared" si="169"/>
        <v>0</v>
      </c>
      <c r="AC119" s="15"/>
      <c r="AD119" s="35">
        <f t="shared" si="170"/>
        <v>0</v>
      </c>
      <c r="AE119" s="34">
        <f t="shared" si="171"/>
        <v>0</v>
      </c>
      <c r="AF119" s="34">
        <f t="shared" si="172"/>
        <v>0</v>
      </c>
      <c r="AG119" s="34">
        <f t="shared" si="173"/>
        <v>0</v>
      </c>
      <c r="AH119" s="15"/>
      <c r="AI119" s="35">
        <f t="shared" si="174"/>
        <v>30</v>
      </c>
      <c r="AJ119" s="34">
        <f t="shared" si="175"/>
        <v>10235.379999999999</v>
      </c>
      <c r="AK119" s="34">
        <f t="shared" si="176"/>
        <v>1023.54</v>
      </c>
      <c r="AL119" s="34">
        <f t="shared" si="177"/>
        <v>11258.919999999998</v>
      </c>
      <c r="AM119" s="15"/>
      <c r="AN119" s="35">
        <f t="shared" si="178"/>
        <v>31</v>
      </c>
      <c r="AO119" s="34">
        <f t="shared" si="179"/>
        <v>10576.55</v>
      </c>
      <c r="AP119" s="34">
        <f t="shared" si="180"/>
        <v>1057.6600000000001</v>
      </c>
      <c r="AQ119" s="34">
        <f t="shared" si="181"/>
        <v>11634.21</v>
      </c>
      <c r="AR119" s="15"/>
      <c r="AS119" s="35">
        <f t="shared" si="182"/>
        <v>30</v>
      </c>
      <c r="AT119" s="34">
        <f t="shared" si="183"/>
        <v>10235.379999999999</v>
      </c>
      <c r="AU119" s="34">
        <f t="shared" si="184"/>
        <v>1023.54</v>
      </c>
      <c r="AV119" s="34">
        <f t="shared" si="185"/>
        <v>11258.919999999998</v>
      </c>
      <c r="AW119" s="15"/>
      <c r="AX119" s="35">
        <f t="shared" si="186"/>
        <v>31</v>
      </c>
      <c r="AY119" s="34">
        <f t="shared" si="187"/>
        <v>10576.55</v>
      </c>
      <c r="AZ119" s="34">
        <f t="shared" si="188"/>
        <v>1057.6600000000001</v>
      </c>
      <c r="BA119" s="34">
        <f t="shared" si="189"/>
        <v>11634.21</v>
      </c>
      <c r="BB119" s="15"/>
      <c r="BC119" s="35">
        <f t="shared" si="190"/>
        <v>31</v>
      </c>
      <c r="BD119" s="34">
        <f t="shared" si="191"/>
        <v>10576.55</v>
      </c>
      <c r="BE119" s="34">
        <f t="shared" si="192"/>
        <v>1057.6600000000001</v>
      </c>
      <c r="BF119" s="34">
        <f t="shared" si="193"/>
        <v>11634.21</v>
      </c>
      <c r="BG119" s="15"/>
      <c r="BH119" s="35">
        <f t="shared" si="194"/>
        <v>30</v>
      </c>
      <c r="BI119" s="34">
        <f t="shared" si="195"/>
        <v>10235.379999999999</v>
      </c>
      <c r="BJ119" s="34">
        <f t="shared" si="196"/>
        <v>1023.54</v>
      </c>
      <c r="BK119" s="34">
        <f t="shared" si="197"/>
        <v>11258.919999999998</v>
      </c>
      <c r="BL119" s="15"/>
      <c r="BM119" s="35">
        <f t="shared" si="198"/>
        <v>31</v>
      </c>
      <c r="BN119" s="34">
        <f t="shared" si="199"/>
        <v>10576.55</v>
      </c>
      <c r="BO119" s="34">
        <f t="shared" si="200"/>
        <v>1057.6600000000001</v>
      </c>
      <c r="BP119" s="34">
        <f t="shared" si="201"/>
        <v>11634.21</v>
      </c>
      <c r="BQ119" s="15"/>
      <c r="BR119" s="35">
        <f t="shared" si="202"/>
        <v>26</v>
      </c>
      <c r="BS119" s="34">
        <f t="shared" si="203"/>
        <v>8870.66</v>
      </c>
      <c r="BT119" s="34">
        <f t="shared" si="204"/>
        <v>887.07</v>
      </c>
      <c r="BU119" s="34">
        <f t="shared" si="205"/>
        <v>9757.73</v>
      </c>
      <c r="BV119" s="15"/>
      <c r="BW119" s="35">
        <f t="shared" si="206"/>
        <v>0</v>
      </c>
      <c r="BX119" s="34">
        <f t="shared" si="207"/>
        <v>0</v>
      </c>
      <c r="BY119" s="34">
        <f t="shared" si="208"/>
        <v>0</v>
      </c>
      <c r="BZ119" s="34">
        <f t="shared" si="209"/>
        <v>0</v>
      </c>
      <c r="CA119" s="35">
        <f t="shared" si="210"/>
        <v>240</v>
      </c>
      <c r="CB119" s="34">
        <f t="shared" si="211"/>
        <v>81883</v>
      </c>
      <c r="CC119" s="34">
        <f t="shared" si="212"/>
        <v>8188.329999999999</v>
      </c>
      <c r="CD119" s="34">
        <f t="shared" si="213"/>
        <v>90071.33</v>
      </c>
      <c r="CE119" s="16">
        <f t="shared" si="214"/>
        <v>0</v>
      </c>
      <c r="CF119" s="16">
        <f t="shared" si="215"/>
        <v>-0.03</v>
      </c>
      <c r="CG119" s="31" t="s">
        <v>736</v>
      </c>
      <c r="CH119" s="31" t="s">
        <v>737</v>
      </c>
      <c r="CI119" s="31" t="s">
        <v>49</v>
      </c>
      <c r="CJ119" s="31" t="s">
        <v>738</v>
      </c>
      <c r="CK119" s="31" t="s">
        <v>739</v>
      </c>
      <c r="CL119" s="31" t="s">
        <v>740</v>
      </c>
      <c r="CM119" s="29">
        <v>46121</v>
      </c>
      <c r="CN119" s="28" t="s">
        <v>741</v>
      </c>
      <c r="CO119" s="28"/>
      <c r="CP119" s="28"/>
    </row>
    <row r="120" spans="1:94" ht="40.049999999999997" customHeight="1" x14ac:dyDescent="0.25">
      <c r="A120" s="62">
        <v>169</v>
      </c>
      <c r="B120" s="63">
        <v>107</v>
      </c>
      <c r="C120" s="1" t="s">
        <v>258</v>
      </c>
      <c r="D120" s="2" t="s">
        <v>730</v>
      </c>
      <c r="E120" s="2" t="s">
        <v>814</v>
      </c>
      <c r="F120" s="2" t="s">
        <v>815</v>
      </c>
      <c r="G120" s="2" t="s">
        <v>816</v>
      </c>
      <c r="H120" s="64">
        <v>10.936</v>
      </c>
      <c r="I120" s="1" t="s">
        <v>46</v>
      </c>
      <c r="J120" s="3">
        <v>784.27</v>
      </c>
      <c r="K120" s="1">
        <v>249</v>
      </c>
      <c r="L120" s="4">
        <v>71188</v>
      </c>
      <c r="M120" s="4">
        <v>7118</v>
      </c>
      <c r="N120" s="4">
        <v>78306</v>
      </c>
      <c r="O120" s="31" t="s">
        <v>817</v>
      </c>
      <c r="P120" s="31" t="s">
        <v>818</v>
      </c>
      <c r="Q120" s="35">
        <f t="shared" si="162"/>
        <v>249</v>
      </c>
      <c r="R120" s="14">
        <v>46113</v>
      </c>
      <c r="S120" s="14">
        <f t="shared" si="163"/>
        <v>46361</v>
      </c>
      <c r="T120" s="34">
        <v>71188</v>
      </c>
      <c r="U120" s="34">
        <f t="shared" si="164"/>
        <v>7118.8</v>
      </c>
      <c r="V120" s="34">
        <f t="shared" si="165"/>
        <v>78306.8</v>
      </c>
      <c r="W120" s="35"/>
      <c r="X120" s="14">
        <f t="shared" si="166"/>
        <v>46113</v>
      </c>
      <c r="Y120" s="14" t="str">
        <f t="shared" si="167"/>
        <v/>
      </c>
      <c r="Z120" s="34"/>
      <c r="AA120" s="34">
        <f t="shared" si="168"/>
        <v>0</v>
      </c>
      <c r="AB120" s="34">
        <f t="shared" si="169"/>
        <v>0</v>
      </c>
      <c r="AC120" s="15"/>
      <c r="AD120" s="35">
        <f t="shared" si="170"/>
        <v>0</v>
      </c>
      <c r="AE120" s="34">
        <f t="shared" si="171"/>
        <v>0</v>
      </c>
      <c r="AF120" s="34">
        <f t="shared" si="172"/>
        <v>0</v>
      </c>
      <c r="AG120" s="34">
        <f t="shared" si="173"/>
        <v>0</v>
      </c>
      <c r="AH120" s="15"/>
      <c r="AI120" s="35">
        <f t="shared" si="174"/>
        <v>30</v>
      </c>
      <c r="AJ120" s="34">
        <f t="shared" si="175"/>
        <v>8576.8700000000008</v>
      </c>
      <c r="AK120" s="34">
        <f t="shared" si="176"/>
        <v>857.69</v>
      </c>
      <c r="AL120" s="34">
        <f t="shared" si="177"/>
        <v>9434.5600000000013</v>
      </c>
      <c r="AM120" s="15"/>
      <c r="AN120" s="35">
        <f t="shared" si="178"/>
        <v>31</v>
      </c>
      <c r="AO120" s="34">
        <f t="shared" si="179"/>
        <v>8862.76</v>
      </c>
      <c r="AP120" s="34">
        <f t="shared" si="180"/>
        <v>886.28</v>
      </c>
      <c r="AQ120" s="34">
        <f t="shared" si="181"/>
        <v>9749.0400000000009</v>
      </c>
      <c r="AR120" s="15"/>
      <c r="AS120" s="35">
        <f t="shared" si="182"/>
        <v>30</v>
      </c>
      <c r="AT120" s="34">
        <f t="shared" si="183"/>
        <v>8576.8700000000008</v>
      </c>
      <c r="AU120" s="34">
        <f t="shared" si="184"/>
        <v>857.69</v>
      </c>
      <c r="AV120" s="34">
        <f t="shared" si="185"/>
        <v>9434.5600000000013</v>
      </c>
      <c r="AW120" s="15"/>
      <c r="AX120" s="35">
        <f t="shared" si="186"/>
        <v>31</v>
      </c>
      <c r="AY120" s="34">
        <f t="shared" si="187"/>
        <v>8862.76</v>
      </c>
      <c r="AZ120" s="34">
        <f t="shared" si="188"/>
        <v>886.28</v>
      </c>
      <c r="BA120" s="34">
        <f t="shared" si="189"/>
        <v>9749.0400000000009</v>
      </c>
      <c r="BB120" s="15"/>
      <c r="BC120" s="35">
        <f t="shared" si="190"/>
        <v>31</v>
      </c>
      <c r="BD120" s="34">
        <f t="shared" si="191"/>
        <v>8862.76</v>
      </c>
      <c r="BE120" s="34">
        <f t="shared" si="192"/>
        <v>886.28</v>
      </c>
      <c r="BF120" s="34">
        <f t="shared" si="193"/>
        <v>9749.0400000000009</v>
      </c>
      <c r="BG120" s="15"/>
      <c r="BH120" s="35">
        <f t="shared" si="194"/>
        <v>30</v>
      </c>
      <c r="BI120" s="34">
        <f t="shared" si="195"/>
        <v>8576.8700000000008</v>
      </c>
      <c r="BJ120" s="34">
        <f t="shared" si="196"/>
        <v>857.69</v>
      </c>
      <c r="BK120" s="34">
        <f t="shared" si="197"/>
        <v>9434.5600000000013</v>
      </c>
      <c r="BL120" s="15"/>
      <c r="BM120" s="35">
        <f t="shared" si="198"/>
        <v>31</v>
      </c>
      <c r="BN120" s="34">
        <f t="shared" si="199"/>
        <v>8862.76</v>
      </c>
      <c r="BO120" s="34">
        <f t="shared" si="200"/>
        <v>886.28</v>
      </c>
      <c r="BP120" s="34">
        <f t="shared" si="201"/>
        <v>9749.0400000000009</v>
      </c>
      <c r="BQ120" s="15"/>
      <c r="BR120" s="35">
        <f t="shared" si="202"/>
        <v>30</v>
      </c>
      <c r="BS120" s="34">
        <f t="shared" si="203"/>
        <v>8576.8700000000008</v>
      </c>
      <c r="BT120" s="34">
        <f t="shared" si="204"/>
        <v>857.69</v>
      </c>
      <c r="BU120" s="34">
        <f t="shared" si="205"/>
        <v>9434.5600000000013</v>
      </c>
      <c r="BV120" s="15"/>
      <c r="BW120" s="35">
        <f t="shared" si="206"/>
        <v>5</v>
      </c>
      <c r="BX120" s="34">
        <f t="shared" si="207"/>
        <v>1429.48</v>
      </c>
      <c r="BY120" s="34">
        <f t="shared" si="208"/>
        <v>142.94999999999999</v>
      </c>
      <c r="BZ120" s="34">
        <f t="shared" si="209"/>
        <v>1572.43</v>
      </c>
      <c r="CA120" s="35">
        <f t="shared" si="210"/>
        <v>249</v>
      </c>
      <c r="CB120" s="34">
        <f t="shared" si="211"/>
        <v>71188</v>
      </c>
      <c r="CC120" s="34">
        <f t="shared" si="212"/>
        <v>7118.829999999999</v>
      </c>
      <c r="CD120" s="34">
        <f t="shared" si="213"/>
        <v>78306.83</v>
      </c>
      <c r="CE120" s="16">
        <f t="shared" si="214"/>
        <v>0</v>
      </c>
      <c r="CF120" s="16">
        <f t="shared" si="215"/>
        <v>-0.03</v>
      </c>
      <c r="CG120" s="31" t="s">
        <v>736</v>
      </c>
      <c r="CH120" s="31" t="s">
        <v>737</v>
      </c>
      <c r="CI120" s="31" t="s">
        <v>49</v>
      </c>
      <c r="CJ120" s="31" t="s">
        <v>738</v>
      </c>
      <c r="CK120" s="31" t="s">
        <v>739</v>
      </c>
      <c r="CL120" s="31" t="s">
        <v>740</v>
      </c>
      <c r="CM120" s="29">
        <v>46121</v>
      </c>
      <c r="CN120" s="28" t="s">
        <v>741</v>
      </c>
      <c r="CO120" s="28"/>
      <c r="CP120" s="28"/>
    </row>
    <row r="121" spans="1:94" ht="40.049999999999997" customHeight="1" x14ac:dyDescent="0.25">
      <c r="A121" s="62">
        <v>170</v>
      </c>
      <c r="B121" s="63">
        <v>107</v>
      </c>
      <c r="C121" s="1" t="s">
        <v>258</v>
      </c>
      <c r="D121" s="2" t="s">
        <v>730</v>
      </c>
      <c r="E121" s="2" t="s">
        <v>819</v>
      </c>
      <c r="F121" s="2" t="s">
        <v>820</v>
      </c>
      <c r="G121" s="2" t="s">
        <v>821</v>
      </c>
      <c r="H121" s="64">
        <v>10.175000000000001</v>
      </c>
      <c r="I121" s="1" t="s">
        <v>46</v>
      </c>
      <c r="J121" s="3">
        <v>832.88</v>
      </c>
      <c r="K121" s="1">
        <v>249</v>
      </c>
      <c r="L121" s="4">
        <v>70339</v>
      </c>
      <c r="M121" s="4">
        <v>7033</v>
      </c>
      <c r="N121" s="4">
        <v>77372</v>
      </c>
      <c r="O121" s="31" t="s">
        <v>822</v>
      </c>
      <c r="P121" s="31" t="s">
        <v>823</v>
      </c>
      <c r="Q121" s="35">
        <f t="shared" si="162"/>
        <v>249</v>
      </c>
      <c r="R121" s="14">
        <v>46113</v>
      </c>
      <c r="S121" s="14">
        <f t="shared" si="163"/>
        <v>46361</v>
      </c>
      <c r="T121" s="34">
        <v>70338.990000000005</v>
      </c>
      <c r="U121" s="34">
        <f t="shared" si="164"/>
        <v>7033.9</v>
      </c>
      <c r="V121" s="34">
        <f t="shared" si="165"/>
        <v>77372.89</v>
      </c>
      <c r="W121" s="35"/>
      <c r="X121" s="14">
        <f t="shared" si="166"/>
        <v>46113</v>
      </c>
      <c r="Y121" s="14" t="str">
        <f t="shared" si="167"/>
        <v/>
      </c>
      <c r="Z121" s="34"/>
      <c r="AA121" s="34">
        <f t="shared" si="168"/>
        <v>0</v>
      </c>
      <c r="AB121" s="34">
        <f t="shared" si="169"/>
        <v>0</v>
      </c>
      <c r="AC121" s="15"/>
      <c r="AD121" s="35">
        <f t="shared" si="170"/>
        <v>0</v>
      </c>
      <c r="AE121" s="34">
        <f t="shared" si="171"/>
        <v>0</v>
      </c>
      <c r="AF121" s="34">
        <f t="shared" si="172"/>
        <v>0</v>
      </c>
      <c r="AG121" s="34">
        <f t="shared" si="173"/>
        <v>0</v>
      </c>
      <c r="AH121" s="15"/>
      <c r="AI121" s="35">
        <f t="shared" si="174"/>
        <v>30</v>
      </c>
      <c r="AJ121" s="34">
        <f t="shared" si="175"/>
        <v>8474.58</v>
      </c>
      <c r="AK121" s="34">
        <f t="shared" si="176"/>
        <v>847.46</v>
      </c>
      <c r="AL121" s="34">
        <f t="shared" si="177"/>
        <v>9322.0400000000009</v>
      </c>
      <c r="AM121" s="15"/>
      <c r="AN121" s="35">
        <f t="shared" si="178"/>
        <v>31</v>
      </c>
      <c r="AO121" s="34">
        <f t="shared" si="179"/>
        <v>8757.06</v>
      </c>
      <c r="AP121" s="34">
        <f t="shared" si="180"/>
        <v>875.71</v>
      </c>
      <c r="AQ121" s="34">
        <f t="shared" si="181"/>
        <v>9632.77</v>
      </c>
      <c r="AR121" s="15"/>
      <c r="AS121" s="35">
        <f t="shared" si="182"/>
        <v>30</v>
      </c>
      <c r="AT121" s="34">
        <f t="shared" si="183"/>
        <v>8474.58</v>
      </c>
      <c r="AU121" s="34">
        <f t="shared" si="184"/>
        <v>847.46</v>
      </c>
      <c r="AV121" s="34">
        <f t="shared" si="185"/>
        <v>9322.0400000000009</v>
      </c>
      <c r="AW121" s="15"/>
      <c r="AX121" s="35">
        <f t="shared" si="186"/>
        <v>31</v>
      </c>
      <c r="AY121" s="34">
        <f t="shared" si="187"/>
        <v>8757.06</v>
      </c>
      <c r="AZ121" s="34">
        <f t="shared" si="188"/>
        <v>875.71</v>
      </c>
      <c r="BA121" s="34">
        <f t="shared" si="189"/>
        <v>9632.77</v>
      </c>
      <c r="BB121" s="15"/>
      <c r="BC121" s="35">
        <f t="shared" si="190"/>
        <v>31</v>
      </c>
      <c r="BD121" s="34">
        <f t="shared" si="191"/>
        <v>8757.06</v>
      </c>
      <c r="BE121" s="34">
        <f t="shared" si="192"/>
        <v>875.71</v>
      </c>
      <c r="BF121" s="34">
        <f t="shared" si="193"/>
        <v>9632.77</v>
      </c>
      <c r="BG121" s="15"/>
      <c r="BH121" s="35">
        <f t="shared" si="194"/>
        <v>30</v>
      </c>
      <c r="BI121" s="34">
        <f t="shared" si="195"/>
        <v>8474.58</v>
      </c>
      <c r="BJ121" s="34">
        <f t="shared" si="196"/>
        <v>847.46</v>
      </c>
      <c r="BK121" s="34">
        <f t="shared" si="197"/>
        <v>9322.0400000000009</v>
      </c>
      <c r="BL121" s="15"/>
      <c r="BM121" s="35">
        <f t="shared" si="198"/>
        <v>31</v>
      </c>
      <c r="BN121" s="34">
        <f t="shared" si="199"/>
        <v>8757.06</v>
      </c>
      <c r="BO121" s="34">
        <f t="shared" si="200"/>
        <v>875.71</v>
      </c>
      <c r="BP121" s="34">
        <f t="shared" si="201"/>
        <v>9632.77</v>
      </c>
      <c r="BQ121" s="15"/>
      <c r="BR121" s="35">
        <f t="shared" si="202"/>
        <v>30</v>
      </c>
      <c r="BS121" s="34">
        <f t="shared" si="203"/>
        <v>8474.58</v>
      </c>
      <c r="BT121" s="34">
        <f t="shared" si="204"/>
        <v>847.46</v>
      </c>
      <c r="BU121" s="34">
        <f t="shared" si="205"/>
        <v>9322.0400000000009</v>
      </c>
      <c r="BV121" s="15"/>
      <c r="BW121" s="35">
        <f t="shared" si="206"/>
        <v>5</v>
      </c>
      <c r="BX121" s="34">
        <f t="shared" si="207"/>
        <v>1412.43</v>
      </c>
      <c r="BY121" s="34">
        <f t="shared" si="208"/>
        <v>141.24</v>
      </c>
      <c r="BZ121" s="34">
        <f t="shared" si="209"/>
        <v>1553.67</v>
      </c>
      <c r="CA121" s="35">
        <f t="shared" si="210"/>
        <v>249</v>
      </c>
      <c r="CB121" s="34">
        <f t="shared" si="211"/>
        <v>70338.989999999991</v>
      </c>
      <c r="CC121" s="34">
        <f t="shared" si="212"/>
        <v>7033.92</v>
      </c>
      <c r="CD121" s="34">
        <f t="shared" si="213"/>
        <v>77372.909999999989</v>
      </c>
      <c r="CE121" s="16">
        <f t="shared" si="214"/>
        <v>0</v>
      </c>
      <c r="CF121" s="16">
        <f t="shared" si="215"/>
        <v>-0.02</v>
      </c>
      <c r="CG121" s="31" t="s">
        <v>736</v>
      </c>
      <c r="CH121" s="31" t="s">
        <v>737</v>
      </c>
      <c r="CI121" s="31" t="s">
        <v>49</v>
      </c>
      <c r="CJ121" s="31" t="s">
        <v>738</v>
      </c>
      <c r="CK121" s="31" t="s">
        <v>739</v>
      </c>
      <c r="CL121" s="31" t="s">
        <v>740</v>
      </c>
      <c r="CM121" s="29">
        <v>46121</v>
      </c>
      <c r="CN121" s="28" t="s">
        <v>741</v>
      </c>
      <c r="CO121" s="28"/>
      <c r="CP121" s="28"/>
    </row>
    <row r="122" spans="1:94" ht="40.049999999999997" customHeight="1" x14ac:dyDescent="0.25">
      <c r="A122" s="62">
        <v>171</v>
      </c>
      <c r="B122" s="63">
        <v>107</v>
      </c>
      <c r="C122" s="1" t="s">
        <v>258</v>
      </c>
      <c r="D122" s="2" t="s">
        <v>730</v>
      </c>
      <c r="E122" s="2" t="s">
        <v>824</v>
      </c>
      <c r="F122" s="2" t="s">
        <v>825</v>
      </c>
      <c r="G122" s="2" t="s">
        <v>826</v>
      </c>
      <c r="H122" s="64">
        <v>9.4629999999999992</v>
      </c>
      <c r="I122" s="1" t="s">
        <v>46</v>
      </c>
      <c r="J122" s="3">
        <v>889.67</v>
      </c>
      <c r="K122" s="1">
        <v>246</v>
      </c>
      <c r="L122" s="4">
        <v>69036</v>
      </c>
      <c r="M122" s="4">
        <v>6903</v>
      </c>
      <c r="N122" s="4">
        <v>75939</v>
      </c>
      <c r="O122" s="31" t="s">
        <v>827</v>
      </c>
      <c r="P122" s="31" t="s">
        <v>823</v>
      </c>
      <c r="Q122" s="35">
        <f t="shared" si="162"/>
        <v>246</v>
      </c>
      <c r="R122" s="14">
        <v>46113</v>
      </c>
      <c r="S122" s="14">
        <f t="shared" si="163"/>
        <v>46358</v>
      </c>
      <c r="T122" s="34">
        <v>69035.98</v>
      </c>
      <c r="U122" s="34">
        <f t="shared" si="164"/>
        <v>6903.6</v>
      </c>
      <c r="V122" s="34">
        <f t="shared" si="165"/>
        <v>75939.58</v>
      </c>
      <c r="W122" s="35"/>
      <c r="X122" s="14">
        <f t="shared" si="166"/>
        <v>46113</v>
      </c>
      <c r="Y122" s="14" t="str">
        <f t="shared" si="167"/>
        <v/>
      </c>
      <c r="Z122" s="34"/>
      <c r="AA122" s="34">
        <f t="shared" si="168"/>
        <v>0</v>
      </c>
      <c r="AB122" s="34">
        <f t="shared" si="169"/>
        <v>0</v>
      </c>
      <c r="AC122" s="15"/>
      <c r="AD122" s="35">
        <f t="shared" si="170"/>
        <v>0</v>
      </c>
      <c r="AE122" s="34">
        <f t="shared" si="171"/>
        <v>0</v>
      </c>
      <c r="AF122" s="34">
        <f t="shared" si="172"/>
        <v>0</v>
      </c>
      <c r="AG122" s="34">
        <f t="shared" si="173"/>
        <v>0</v>
      </c>
      <c r="AH122" s="15"/>
      <c r="AI122" s="35">
        <f t="shared" si="174"/>
        <v>30</v>
      </c>
      <c r="AJ122" s="34">
        <f t="shared" si="175"/>
        <v>8419.02</v>
      </c>
      <c r="AK122" s="34">
        <f t="shared" si="176"/>
        <v>841.9</v>
      </c>
      <c r="AL122" s="34">
        <f t="shared" si="177"/>
        <v>9260.92</v>
      </c>
      <c r="AM122" s="15"/>
      <c r="AN122" s="35">
        <f t="shared" si="178"/>
        <v>31</v>
      </c>
      <c r="AO122" s="34">
        <f t="shared" si="179"/>
        <v>8699.66</v>
      </c>
      <c r="AP122" s="34">
        <f t="shared" si="180"/>
        <v>869.97</v>
      </c>
      <c r="AQ122" s="34">
        <f t="shared" si="181"/>
        <v>9569.6299999999992</v>
      </c>
      <c r="AR122" s="15"/>
      <c r="AS122" s="35">
        <f t="shared" si="182"/>
        <v>30</v>
      </c>
      <c r="AT122" s="34">
        <f t="shared" si="183"/>
        <v>8419.02</v>
      </c>
      <c r="AU122" s="34">
        <f t="shared" si="184"/>
        <v>841.9</v>
      </c>
      <c r="AV122" s="34">
        <f t="shared" si="185"/>
        <v>9260.92</v>
      </c>
      <c r="AW122" s="15"/>
      <c r="AX122" s="35">
        <f t="shared" si="186"/>
        <v>31</v>
      </c>
      <c r="AY122" s="34">
        <f t="shared" si="187"/>
        <v>8699.66</v>
      </c>
      <c r="AZ122" s="34">
        <f t="shared" si="188"/>
        <v>869.97</v>
      </c>
      <c r="BA122" s="34">
        <f t="shared" si="189"/>
        <v>9569.6299999999992</v>
      </c>
      <c r="BB122" s="15"/>
      <c r="BC122" s="35">
        <f t="shared" si="190"/>
        <v>31</v>
      </c>
      <c r="BD122" s="34">
        <f t="shared" si="191"/>
        <v>8699.66</v>
      </c>
      <c r="BE122" s="34">
        <f t="shared" si="192"/>
        <v>869.97</v>
      </c>
      <c r="BF122" s="34">
        <f t="shared" si="193"/>
        <v>9569.6299999999992</v>
      </c>
      <c r="BG122" s="15"/>
      <c r="BH122" s="35">
        <f t="shared" si="194"/>
        <v>30</v>
      </c>
      <c r="BI122" s="34">
        <f t="shared" si="195"/>
        <v>8419.02</v>
      </c>
      <c r="BJ122" s="34">
        <f t="shared" si="196"/>
        <v>841.9</v>
      </c>
      <c r="BK122" s="34">
        <f t="shared" si="197"/>
        <v>9260.92</v>
      </c>
      <c r="BL122" s="15"/>
      <c r="BM122" s="35">
        <f t="shared" si="198"/>
        <v>31</v>
      </c>
      <c r="BN122" s="34">
        <f t="shared" si="199"/>
        <v>8699.66</v>
      </c>
      <c r="BO122" s="34">
        <f t="shared" si="200"/>
        <v>869.97</v>
      </c>
      <c r="BP122" s="34">
        <f t="shared" si="201"/>
        <v>9569.6299999999992</v>
      </c>
      <c r="BQ122" s="15"/>
      <c r="BR122" s="35">
        <f t="shared" si="202"/>
        <v>30</v>
      </c>
      <c r="BS122" s="34">
        <f t="shared" si="203"/>
        <v>8419.02</v>
      </c>
      <c r="BT122" s="34">
        <f t="shared" si="204"/>
        <v>841.9</v>
      </c>
      <c r="BU122" s="34">
        <f t="shared" si="205"/>
        <v>9260.92</v>
      </c>
      <c r="BV122" s="15"/>
      <c r="BW122" s="35">
        <f t="shared" si="206"/>
        <v>2</v>
      </c>
      <c r="BX122" s="34">
        <f t="shared" si="207"/>
        <v>561.27</v>
      </c>
      <c r="BY122" s="34">
        <f t="shared" si="208"/>
        <v>56.13</v>
      </c>
      <c r="BZ122" s="34">
        <f t="shared" si="209"/>
        <v>617.4</v>
      </c>
      <c r="CA122" s="35">
        <f t="shared" si="210"/>
        <v>246</v>
      </c>
      <c r="CB122" s="34">
        <f t="shared" si="211"/>
        <v>69035.99000000002</v>
      </c>
      <c r="CC122" s="34">
        <f t="shared" si="212"/>
        <v>6903.61</v>
      </c>
      <c r="CD122" s="34">
        <f t="shared" si="213"/>
        <v>75939.60000000002</v>
      </c>
      <c r="CE122" s="16">
        <f t="shared" si="214"/>
        <v>-0.01</v>
      </c>
      <c r="CF122" s="16">
        <f t="shared" si="215"/>
        <v>-0.01</v>
      </c>
      <c r="CG122" s="31" t="s">
        <v>736</v>
      </c>
      <c r="CH122" s="31" t="s">
        <v>737</v>
      </c>
      <c r="CI122" s="31" t="s">
        <v>49</v>
      </c>
      <c r="CJ122" s="31" t="s">
        <v>738</v>
      </c>
      <c r="CK122" s="31" t="s">
        <v>739</v>
      </c>
      <c r="CL122" s="31" t="s">
        <v>740</v>
      </c>
      <c r="CM122" s="29">
        <v>46121</v>
      </c>
      <c r="CN122" s="28" t="s">
        <v>741</v>
      </c>
      <c r="CO122" s="28"/>
      <c r="CP122" s="28"/>
    </row>
    <row r="123" spans="1:94" ht="40.049999999999997" customHeight="1" x14ac:dyDescent="0.25">
      <c r="A123" s="62">
        <v>172</v>
      </c>
      <c r="B123" s="63">
        <v>107</v>
      </c>
      <c r="C123" s="1" t="s">
        <v>258</v>
      </c>
      <c r="D123" s="2" t="s">
        <v>730</v>
      </c>
      <c r="E123" s="2" t="s">
        <v>814</v>
      </c>
      <c r="F123" s="2" t="s">
        <v>828</v>
      </c>
      <c r="G123" s="2" t="s">
        <v>829</v>
      </c>
      <c r="H123" s="64">
        <v>9.0350000000000001</v>
      </c>
      <c r="I123" s="1" t="s">
        <v>46</v>
      </c>
      <c r="J123" s="3">
        <v>910.63</v>
      </c>
      <c r="K123" s="1">
        <v>249</v>
      </c>
      <c r="L123" s="4">
        <v>68289</v>
      </c>
      <c r="M123" s="4">
        <v>6828</v>
      </c>
      <c r="N123" s="4">
        <v>75117</v>
      </c>
      <c r="O123" s="31" t="s">
        <v>830</v>
      </c>
      <c r="P123" s="31" t="s">
        <v>831</v>
      </c>
      <c r="Q123" s="35">
        <f t="shared" si="162"/>
        <v>249</v>
      </c>
      <c r="R123" s="14">
        <v>46120</v>
      </c>
      <c r="S123" s="14">
        <f t="shared" si="163"/>
        <v>46368</v>
      </c>
      <c r="T123" s="34">
        <v>68289</v>
      </c>
      <c r="U123" s="34">
        <f t="shared" si="164"/>
        <v>6828.9</v>
      </c>
      <c r="V123" s="34">
        <f t="shared" si="165"/>
        <v>75117.899999999994</v>
      </c>
      <c r="W123" s="35"/>
      <c r="X123" s="14">
        <f t="shared" si="166"/>
        <v>46120</v>
      </c>
      <c r="Y123" s="14" t="str">
        <f t="shared" si="167"/>
        <v/>
      </c>
      <c r="Z123" s="34"/>
      <c r="AA123" s="34">
        <f t="shared" si="168"/>
        <v>0</v>
      </c>
      <c r="AB123" s="34">
        <f t="shared" si="169"/>
        <v>0</v>
      </c>
      <c r="AC123" s="15"/>
      <c r="AD123" s="35">
        <f t="shared" si="170"/>
        <v>0</v>
      </c>
      <c r="AE123" s="34">
        <f t="shared" si="171"/>
        <v>0</v>
      </c>
      <c r="AF123" s="34">
        <f t="shared" si="172"/>
        <v>0</v>
      </c>
      <c r="AG123" s="34">
        <f t="shared" si="173"/>
        <v>0</v>
      </c>
      <c r="AH123" s="15"/>
      <c r="AI123" s="35">
        <f t="shared" si="174"/>
        <v>23</v>
      </c>
      <c r="AJ123" s="34">
        <f t="shared" si="175"/>
        <v>6307.82</v>
      </c>
      <c r="AK123" s="34">
        <f t="shared" si="176"/>
        <v>630.78</v>
      </c>
      <c r="AL123" s="34">
        <f t="shared" si="177"/>
        <v>6938.5999999999995</v>
      </c>
      <c r="AM123" s="15"/>
      <c r="AN123" s="35">
        <f t="shared" si="178"/>
        <v>31</v>
      </c>
      <c r="AO123" s="34">
        <f t="shared" si="179"/>
        <v>8501.84</v>
      </c>
      <c r="AP123" s="34">
        <f t="shared" si="180"/>
        <v>850.18</v>
      </c>
      <c r="AQ123" s="34">
        <f t="shared" si="181"/>
        <v>9352.02</v>
      </c>
      <c r="AR123" s="15"/>
      <c r="AS123" s="35">
        <f t="shared" si="182"/>
        <v>30</v>
      </c>
      <c r="AT123" s="34">
        <f t="shared" si="183"/>
        <v>8227.59</v>
      </c>
      <c r="AU123" s="34">
        <f t="shared" si="184"/>
        <v>822.76</v>
      </c>
      <c r="AV123" s="34">
        <f t="shared" si="185"/>
        <v>9050.35</v>
      </c>
      <c r="AW123" s="15"/>
      <c r="AX123" s="35">
        <f t="shared" si="186"/>
        <v>31</v>
      </c>
      <c r="AY123" s="34">
        <f t="shared" si="187"/>
        <v>8501.84</v>
      </c>
      <c r="AZ123" s="34">
        <f t="shared" si="188"/>
        <v>850.18</v>
      </c>
      <c r="BA123" s="34">
        <f t="shared" si="189"/>
        <v>9352.02</v>
      </c>
      <c r="BB123" s="15"/>
      <c r="BC123" s="35">
        <f t="shared" si="190"/>
        <v>31</v>
      </c>
      <c r="BD123" s="34">
        <f t="shared" si="191"/>
        <v>8501.84</v>
      </c>
      <c r="BE123" s="34">
        <f t="shared" si="192"/>
        <v>850.18</v>
      </c>
      <c r="BF123" s="34">
        <f t="shared" si="193"/>
        <v>9352.02</v>
      </c>
      <c r="BG123" s="15"/>
      <c r="BH123" s="35">
        <f t="shared" si="194"/>
        <v>30</v>
      </c>
      <c r="BI123" s="34">
        <f t="shared" si="195"/>
        <v>8227.59</v>
      </c>
      <c r="BJ123" s="34">
        <f t="shared" si="196"/>
        <v>822.76</v>
      </c>
      <c r="BK123" s="34">
        <f t="shared" si="197"/>
        <v>9050.35</v>
      </c>
      <c r="BL123" s="15"/>
      <c r="BM123" s="35">
        <f t="shared" si="198"/>
        <v>31</v>
      </c>
      <c r="BN123" s="34">
        <f t="shared" si="199"/>
        <v>8501.84</v>
      </c>
      <c r="BO123" s="34">
        <f t="shared" si="200"/>
        <v>850.18</v>
      </c>
      <c r="BP123" s="34">
        <f t="shared" si="201"/>
        <v>9352.02</v>
      </c>
      <c r="BQ123" s="15"/>
      <c r="BR123" s="35">
        <f t="shared" si="202"/>
        <v>30</v>
      </c>
      <c r="BS123" s="34">
        <f t="shared" si="203"/>
        <v>8227.59</v>
      </c>
      <c r="BT123" s="34">
        <f t="shared" si="204"/>
        <v>822.76</v>
      </c>
      <c r="BU123" s="34">
        <f t="shared" si="205"/>
        <v>9050.35</v>
      </c>
      <c r="BV123" s="15"/>
      <c r="BW123" s="35">
        <f t="shared" si="206"/>
        <v>12</v>
      </c>
      <c r="BX123" s="34">
        <f t="shared" si="207"/>
        <v>3291.04</v>
      </c>
      <c r="BY123" s="34">
        <f t="shared" si="208"/>
        <v>329.1</v>
      </c>
      <c r="BZ123" s="34">
        <f t="shared" si="209"/>
        <v>3620.14</v>
      </c>
      <c r="CA123" s="35">
        <f t="shared" si="210"/>
        <v>249</v>
      </c>
      <c r="CB123" s="34">
        <f t="shared" si="211"/>
        <v>68288.989999999991</v>
      </c>
      <c r="CC123" s="34">
        <f t="shared" si="212"/>
        <v>6828.880000000001</v>
      </c>
      <c r="CD123" s="34">
        <f t="shared" si="213"/>
        <v>75117.87</v>
      </c>
      <c r="CE123" s="16">
        <f t="shared" si="214"/>
        <v>0.01</v>
      </c>
      <c r="CF123" s="16">
        <f t="shared" si="215"/>
        <v>0.02</v>
      </c>
      <c r="CG123" s="31" t="s">
        <v>736</v>
      </c>
      <c r="CH123" s="31" t="s">
        <v>737</v>
      </c>
      <c r="CI123" s="31" t="s">
        <v>49</v>
      </c>
      <c r="CJ123" s="31" t="s">
        <v>738</v>
      </c>
      <c r="CK123" s="31" t="s">
        <v>739</v>
      </c>
      <c r="CL123" s="31" t="s">
        <v>740</v>
      </c>
      <c r="CM123" s="29">
        <v>46121</v>
      </c>
      <c r="CN123" s="28" t="s">
        <v>741</v>
      </c>
      <c r="CO123" s="28"/>
      <c r="CP123" s="28"/>
    </row>
    <row r="124" spans="1:94" ht="40.049999999999997" customHeight="1" x14ac:dyDescent="0.25">
      <c r="A124" s="62">
        <v>173</v>
      </c>
      <c r="B124" s="63">
        <v>107</v>
      </c>
      <c r="C124" s="1" t="s">
        <v>258</v>
      </c>
      <c r="D124" s="2" t="s">
        <v>730</v>
      </c>
      <c r="E124" s="2" t="s">
        <v>832</v>
      </c>
      <c r="F124" s="2" t="s">
        <v>833</v>
      </c>
      <c r="G124" s="2" t="s">
        <v>834</v>
      </c>
      <c r="H124" s="64">
        <v>9.0129999999999999</v>
      </c>
      <c r="I124" s="1" t="s">
        <v>46</v>
      </c>
      <c r="J124" s="3">
        <v>898.12</v>
      </c>
      <c r="K124" s="1">
        <v>249</v>
      </c>
      <c r="L124" s="4">
        <v>67187</v>
      </c>
      <c r="M124" s="4">
        <v>6718</v>
      </c>
      <c r="N124" s="4">
        <v>73905</v>
      </c>
      <c r="O124" s="31" t="s">
        <v>835</v>
      </c>
      <c r="P124" s="31" t="s">
        <v>836</v>
      </c>
      <c r="Q124" s="35">
        <f t="shared" si="162"/>
        <v>249</v>
      </c>
      <c r="R124" s="14">
        <v>46113</v>
      </c>
      <c r="S124" s="14">
        <f t="shared" si="163"/>
        <v>46361</v>
      </c>
      <c r="T124" s="34">
        <v>67187</v>
      </c>
      <c r="U124" s="34">
        <f t="shared" si="164"/>
        <v>6718.7</v>
      </c>
      <c r="V124" s="34">
        <f t="shared" si="165"/>
        <v>73905.7</v>
      </c>
      <c r="W124" s="35"/>
      <c r="X124" s="14">
        <f t="shared" si="166"/>
        <v>46113</v>
      </c>
      <c r="Y124" s="14" t="str">
        <f t="shared" si="167"/>
        <v/>
      </c>
      <c r="Z124" s="34"/>
      <c r="AA124" s="34">
        <f t="shared" si="168"/>
        <v>0</v>
      </c>
      <c r="AB124" s="34">
        <f t="shared" si="169"/>
        <v>0</v>
      </c>
      <c r="AC124" s="15"/>
      <c r="AD124" s="35">
        <f t="shared" si="170"/>
        <v>0</v>
      </c>
      <c r="AE124" s="34">
        <f t="shared" si="171"/>
        <v>0</v>
      </c>
      <c r="AF124" s="34">
        <f t="shared" si="172"/>
        <v>0</v>
      </c>
      <c r="AG124" s="34">
        <f t="shared" si="173"/>
        <v>0</v>
      </c>
      <c r="AH124" s="15"/>
      <c r="AI124" s="35">
        <f t="shared" si="174"/>
        <v>30</v>
      </c>
      <c r="AJ124" s="34">
        <f t="shared" si="175"/>
        <v>8094.82</v>
      </c>
      <c r="AK124" s="34">
        <f t="shared" si="176"/>
        <v>809.48</v>
      </c>
      <c r="AL124" s="34">
        <f t="shared" si="177"/>
        <v>8904.2999999999993</v>
      </c>
      <c r="AM124" s="15"/>
      <c r="AN124" s="35">
        <f t="shared" si="178"/>
        <v>31</v>
      </c>
      <c r="AO124" s="34">
        <f t="shared" si="179"/>
        <v>8364.65</v>
      </c>
      <c r="AP124" s="34">
        <f t="shared" si="180"/>
        <v>836.47</v>
      </c>
      <c r="AQ124" s="34">
        <f t="shared" si="181"/>
        <v>9201.119999999999</v>
      </c>
      <c r="AR124" s="15"/>
      <c r="AS124" s="35">
        <f t="shared" si="182"/>
        <v>30</v>
      </c>
      <c r="AT124" s="34">
        <f t="shared" si="183"/>
        <v>8094.82</v>
      </c>
      <c r="AU124" s="34">
        <f t="shared" si="184"/>
        <v>809.48</v>
      </c>
      <c r="AV124" s="34">
        <f t="shared" si="185"/>
        <v>8904.2999999999993</v>
      </c>
      <c r="AW124" s="15"/>
      <c r="AX124" s="35">
        <f t="shared" si="186"/>
        <v>31</v>
      </c>
      <c r="AY124" s="34">
        <f t="shared" si="187"/>
        <v>8364.65</v>
      </c>
      <c r="AZ124" s="34">
        <f t="shared" si="188"/>
        <v>836.47</v>
      </c>
      <c r="BA124" s="34">
        <f t="shared" si="189"/>
        <v>9201.119999999999</v>
      </c>
      <c r="BB124" s="15"/>
      <c r="BC124" s="35">
        <f t="shared" si="190"/>
        <v>31</v>
      </c>
      <c r="BD124" s="34">
        <f t="shared" si="191"/>
        <v>8364.65</v>
      </c>
      <c r="BE124" s="34">
        <f t="shared" si="192"/>
        <v>836.47</v>
      </c>
      <c r="BF124" s="34">
        <f t="shared" si="193"/>
        <v>9201.119999999999</v>
      </c>
      <c r="BG124" s="15"/>
      <c r="BH124" s="35">
        <f t="shared" si="194"/>
        <v>30</v>
      </c>
      <c r="BI124" s="34">
        <f t="shared" si="195"/>
        <v>8094.82</v>
      </c>
      <c r="BJ124" s="34">
        <f t="shared" si="196"/>
        <v>809.48</v>
      </c>
      <c r="BK124" s="34">
        <f t="shared" si="197"/>
        <v>8904.2999999999993</v>
      </c>
      <c r="BL124" s="15"/>
      <c r="BM124" s="35">
        <f t="shared" si="198"/>
        <v>31</v>
      </c>
      <c r="BN124" s="34">
        <f t="shared" si="199"/>
        <v>8364.65</v>
      </c>
      <c r="BO124" s="34">
        <f t="shared" si="200"/>
        <v>836.47</v>
      </c>
      <c r="BP124" s="34">
        <f t="shared" si="201"/>
        <v>9201.119999999999</v>
      </c>
      <c r="BQ124" s="15"/>
      <c r="BR124" s="35">
        <f t="shared" si="202"/>
        <v>30</v>
      </c>
      <c r="BS124" s="34">
        <f t="shared" si="203"/>
        <v>8094.82</v>
      </c>
      <c r="BT124" s="34">
        <f t="shared" si="204"/>
        <v>809.48</v>
      </c>
      <c r="BU124" s="34">
        <f t="shared" si="205"/>
        <v>8904.2999999999993</v>
      </c>
      <c r="BV124" s="15"/>
      <c r="BW124" s="35">
        <f t="shared" si="206"/>
        <v>5</v>
      </c>
      <c r="BX124" s="34">
        <f t="shared" si="207"/>
        <v>1349.14</v>
      </c>
      <c r="BY124" s="34">
        <f t="shared" si="208"/>
        <v>134.91</v>
      </c>
      <c r="BZ124" s="34">
        <f t="shared" si="209"/>
        <v>1484.0500000000002</v>
      </c>
      <c r="CA124" s="35">
        <f t="shared" si="210"/>
        <v>249</v>
      </c>
      <c r="CB124" s="34">
        <f t="shared" si="211"/>
        <v>67187.02</v>
      </c>
      <c r="CC124" s="34">
        <f t="shared" si="212"/>
        <v>6718.7100000000009</v>
      </c>
      <c r="CD124" s="34">
        <f t="shared" si="213"/>
        <v>73905.73000000001</v>
      </c>
      <c r="CE124" s="16">
        <f t="shared" si="214"/>
        <v>-0.02</v>
      </c>
      <c r="CF124" s="16">
        <f t="shared" si="215"/>
        <v>-0.01</v>
      </c>
      <c r="CG124" s="31" t="s">
        <v>736</v>
      </c>
      <c r="CH124" s="31" t="s">
        <v>737</v>
      </c>
      <c r="CI124" s="31" t="s">
        <v>49</v>
      </c>
      <c r="CJ124" s="31" t="s">
        <v>738</v>
      </c>
      <c r="CK124" s="31" t="s">
        <v>739</v>
      </c>
      <c r="CL124" s="31" t="s">
        <v>740</v>
      </c>
      <c r="CM124" s="29">
        <v>46121</v>
      </c>
      <c r="CN124" s="28" t="s">
        <v>741</v>
      </c>
      <c r="CO124" s="28"/>
      <c r="CP124" s="28"/>
    </row>
    <row r="125" spans="1:94" ht="40.049999999999997" customHeight="1" x14ac:dyDescent="0.25">
      <c r="A125" s="62">
        <v>174</v>
      </c>
      <c r="B125" s="63">
        <v>107</v>
      </c>
      <c r="C125" s="1" t="s">
        <v>258</v>
      </c>
      <c r="D125" s="2" t="s">
        <v>730</v>
      </c>
      <c r="E125" s="2" t="s">
        <v>782</v>
      </c>
      <c r="F125" s="2" t="s">
        <v>837</v>
      </c>
      <c r="G125" s="2" t="s">
        <v>838</v>
      </c>
      <c r="H125" s="64">
        <v>6.8310000000000004</v>
      </c>
      <c r="I125" s="1" t="s">
        <v>46</v>
      </c>
      <c r="J125" s="3">
        <v>893.2</v>
      </c>
      <c r="K125" s="1">
        <v>249</v>
      </c>
      <c r="L125" s="4">
        <v>50643</v>
      </c>
      <c r="M125" s="4">
        <v>5064</v>
      </c>
      <c r="N125" s="4">
        <v>55707</v>
      </c>
      <c r="O125" s="31" t="s">
        <v>839</v>
      </c>
      <c r="P125" s="31" t="s">
        <v>781</v>
      </c>
      <c r="Q125" s="35">
        <f t="shared" si="162"/>
        <v>249</v>
      </c>
      <c r="R125" s="14">
        <v>46113</v>
      </c>
      <c r="S125" s="14">
        <f t="shared" si="163"/>
        <v>46361</v>
      </c>
      <c r="T125" s="34">
        <v>50643</v>
      </c>
      <c r="U125" s="34">
        <f t="shared" si="164"/>
        <v>5064.3</v>
      </c>
      <c r="V125" s="34">
        <f t="shared" si="165"/>
        <v>55707.3</v>
      </c>
      <c r="W125" s="35"/>
      <c r="X125" s="14">
        <f t="shared" si="166"/>
        <v>46113</v>
      </c>
      <c r="Y125" s="14" t="str">
        <f t="shared" si="167"/>
        <v/>
      </c>
      <c r="Z125" s="34"/>
      <c r="AA125" s="34">
        <f t="shared" si="168"/>
        <v>0</v>
      </c>
      <c r="AB125" s="34">
        <f t="shared" si="169"/>
        <v>0</v>
      </c>
      <c r="AC125" s="15"/>
      <c r="AD125" s="35">
        <f t="shared" si="170"/>
        <v>0</v>
      </c>
      <c r="AE125" s="34">
        <f t="shared" si="171"/>
        <v>0</v>
      </c>
      <c r="AF125" s="34">
        <f t="shared" si="172"/>
        <v>0</v>
      </c>
      <c r="AG125" s="34">
        <f t="shared" si="173"/>
        <v>0</v>
      </c>
      <c r="AH125" s="15"/>
      <c r="AI125" s="35">
        <f t="shared" si="174"/>
        <v>30</v>
      </c>
      <c r="AJ125" s="34">
        <f t="shared" si="175"/>
        <v>6101.57</v>
      </c>
      <c r="AK125" s="34">
        <f t="shared" si="176"/>
        <v>610.16</v>
      </c>
      <c r="AL125" s="34">
        <f t="shared" si="177"/>
        <v>6711.73</v>
      </c>
      <c r="AM125" s="15"/>
      <c r="AN125" s="35">
        <f t="shared" si="178"/>
        <v>31</v>
      </c>
      <c r="AO125" s="34">
        <f t="shared" si="179"/>
        <v>6304.95</v>
      </c>
      <c r="AP125" s="34">
        <f t="shared" si="180"/>
        <v>630.5</v>
      </c>
      <c r="AQ125" s="34">
        <f t="shared" si="181"/>
        <v>6935.45</v>
      </c>
      <c r="AR125" s="15"/>
      <c r="AS125" s="35">
        <f t="shared" si="182"/>
        <v>30</v>
      </c>
      <c r="AT125" s="34">
        <f t="shared" si="183"/>
        <v>6101.57</v>
      </c>
      <c r="AU125" s="34">
        <f t="shared" si="184"/>
        <v>610.16</v>
      </c>
      <c r="AV125" s="34">
        <f t="shared" si="185"/>
        <v>6711.73</v>
      </c>
      <c r="AW125" s="15"/>
      <c r="AX125" s="35">
        <f t="shared" si="186"/>
        <v>31</v>
      </c>
      <c r="AY125" s="34">
        <f t="shared" si="187"/>
        <v>6304.95</v>
      </c>
      <c r="AZ125" s="34">
        <f t="shared" si="188"/>
        <v>630.5</v>
      </c>
      <c r="BA125" s="34">
        <f t="shared" si="189"/>
        <v>6935.45</v>
      </c>
      <c r="BB125" s="15"/>
      <c r="BC125" s="35">
        <f t="shared" si="190"/>
        <v>31</v>
      </c>
      <c r="BD125" s="34">
        <f t="shared" si="191"/>
        <v>6304.95</v>
      </c>
      <c r="BE125" s="34">
        <f t="shared" si="192"/>
        <v>630.5</v>
      </c>
      <c r="BF125" s="34">
        <f t="shared" si="193"/>
        <v>6935.45</v>
      </c>
      <c r="BG125" s="15"/>
      <c r="BH125" s="35">
        <f t="shared" si="194"/>
        <v>30</v>
      </c>
      <c r="BI125" s="34">
        <f t="shared" si="195"/>
        <v>6101.57</v>
      </c>
      <c r="BJ125" s="34">
        <f t="shared" si="196"/>
        <v>610.16</v>
      </c>
      <c r="BK125" s="34">
        <f t="shared" si="197"/>
        <v>6711.73</v>
      </c>
      <c r="BL125" s="15"/>
      <c r="BM125" s="35">
        <f t="shared" si="198"/>
        <v>31</v>
      </c>
      <c r="BN125" s="34">
        <f t="shared" si="199"/>
        <v>6304.95</v>
      </c>
      <c r="BO125" s="34">
        <f t="shared" si="200"/>
        <v>630.5</v>
      </c>
      <c r="BP125" s="34">
        <f t="shared" si="201"/>
        <v>6935.45</v>
      </c>
      <c r="BQ125" s="15"/>
      <c r="BR125" s="35">
        <f t="shared" si="202"/>
        <v>30</v>
      </c>
      <c r="BS125" s="34">
        <f t="shared" si="203"/>
        <v>6101.57</v>
      </c>
      <c r="BT125" s="34">
        <f t="shared" si="204"/>
        <v>610.16</v>
      </c>
      <c r="BU125" s="34">
        <f t="shared" si="205"/>
        <v>6711.73</v>
      </c>
      <c r="BV125" s="15"/>
      <c r="BW125" s="35">
        <f t="shared" si="206"/>
        <v>5</v>
      </c>
      <c r="BX125" s="34">
        <f t="shared" si="207"/>
        <v>1016.93</v>
      </c>
      <c r="BY125" s="34">
        <f t="shared" si="208"/>
        <v>101.69</v>
      </c>
      <c r="BZ125" s="34">
        <f t="shared" si="209"/>
        <v>1118.6199999999999</v>
      </c>
      <c r="CA125" s="35">
        <f t="shared" si="210"/>
        <v>249</v>
      </c>
      <c r="CB125" s="34">
        <f t="shared" si="211"/>
        <v>50643.009999999995</v>
      </c>
      <c r="CC125" s="34">
        <f t="shared" si="212"/>
        <v>5064.329999999999</v>
      </c>
      <c r="CD125" s="34">
        <f t="shared" si="213"/>
        <v>55707.34</v>
      </c>
      <c r="CE125" s="16">
        <f t="shared" si="214"/>
        <v>-0.01</v>
      </c>
      <c r="CF125" s="16">
        <f t="shared" si="215"/>
        <v>-0.03</v>
      </c>
      <c r="CG125" s="31" t="s">
        <v>736</v>
      </c>
      <c r="CH125" s="31" t="s">
        <v>737</v>
      </c>
      <c r="CI125" s="31" t="s">
        <v>49</v>
      </c>
      <c r="CJ125" s="31" t="s">
        <v>738</v>
      </c>
      <c r="CK125" s="31" t="s">
        <v>739</v>
      </c>
      <c r="CL125" s="31" t="s">
        <v>740</v>
      </c>
      <c r="CM125" s="29">
        <v>46121</v>
      </c>
      <c r="CN125" s="28" t="s">
        <v>741</v>
      </c>
      <c r="CO125" s="28"/>
      <c r="CP125" s="28"/>
    </row>
    <row r="126" spans="1:94" ht="40.049999999999997" customHeight="1" x14ac:dyDescent="0.25">
      <c r="A126" s="62">
        <v>175</v>
      </c>
      <c r="B126" s="63">
        <v>107</v>
      </c>
      <c r="C126" s="1" t="s">
        <v>258</v>
      </c>
      <c r="D126" s="2" t="s">
        <v>730</v>
      </c>
      <c r="E126" s="2" t="s">
        <v>840</v>
      </c>
      <c r="F126" s="2" t="s">
        <v>841</v>
      </c>
      <c r="G126" s="2" t="s">
        <v>842</v>
      </c>
      <c r="H126" s="64">
        <v>6.5030000000000001</v>
      </c>
      <c r="I126" s="1" t="s">
        <v>46</v>
      </c>
      <c r="J126" s="3">
        <v>863.94</v>
      </c>
      <c r="K126" s="1">
        <v>249</v>
      </c>
      <c r="L126" s="4">
        <v>46632</v>
      </c>
      <c r="M126" s="4">
        <v>4663</v>
      </c>
      <c r="N126" s="4">
        <v>51295</v>
      </c>
      <c r="O126" s="31" t="s">
        <v>843</v>
      </c>
      <c r="P126" s="31" t="s">
        <v>801</v>
      </c>
      <c r="Q126" s="35">
        <f t="shared" si="162"/>
        <v>249</v>
      </c>
      <c r="R126" s="14">
        <v>46113</v>
      </c>
      <c r="S126" s="14">
        <f t="shared" si="163"/>
        <v>46361</v>
      </c>
      <c r="T126" s="34">
        <v>46632</v>
      </c>
      <c r="U126" s="34">
        <f t="shared" si="164"/>
        <v>4663.2</v>
      </c>
      <c r="V126" s="34">
        <f t="shared" si="165"/>
        <v>51295.199999999997</v>
      </c>
      <c r="W126" s="35"/>
      <c r="X126" s="14">
        <f t="shared" si="166"/>
        <v>46113</v>
      </c>
      <c r="Y126" s="14" t="str">
        <f t="shared" si="167"/>
        <v/>
      </c>
      <c r="Z126" s="34"/>
      <c r="AA126" s="34">
        <f t="shared" si="168"/>
        <v>0</v>
      </c>
      <c r="AB126" s="34">
        <f t="shared" si="169"/>
        <v>0</v>
      </c>
      <c r="AC126" s="15"/>
      <c r="AD126" s="35">
        <f t="shared" si="170"/>
        <v>0</v>
      </c>
      <c r="AE126" s="34">
        <f t="shared" si="171"/>
        <v>0</v>
      </c>
      <c r="AF126" s="34">
        <f t="shared" si="172"/>
        <v>0</v>
      </c>
      <c r="AG126" s="34">
        <f t="shared" si="173"/>
        <v>0</v>
      </c>
      <c r="AH126" s="15"/>
      <c r="AI126" s="35">
        <f t="shared" si="174"/>
        <v>30</v>
      </c>
      <c r="AJ126" s="34">
        <f t="shared" si="175"/>
        <v>5618.31</v>
      </c>
      <c r="AK126" s="34">
        <f t="shared" si="176"/>
        <v>561.83000000000004</v>
      </c>
      <c r="AL126" s="34">
        <f t="shared" si="177"/>
        <v>6180.14</v>
      </c>
      <c r="AM126" s="15"/>
      <c r="AN126" s="35">
        <f t="shared" si="178"/>
        <v>31</v>
      </c>
      <c r="AO126" s="34">
        <f t="shared" si="179"/>
        <v>5805.59</v>
      </c>
      <c r="AP126" s="34">
        <f t="shared" si="180"/>
        <v>580.55999999999995</v>
      </c>
      <c r="AQ126" s="34">
        <f t="shared" si="181"/>
        <v>6386.15</v>
      </c>
      <c r="AR126" s="15"/>
      <c r="AS126" s="35">
        <f t="shared" si="182"/>
        <v>30</v>
      </c>
      <c r="AT126" s="34">
        <f t="shared" si="183"/>
        <v>5618.31</v>
      </c>
      <c r="AU126" s="34">
        <f t="shared" si="184"/>
        <v>561.83000000000004</v>
      </c>
      <c r="AV126" s="34">
        <f t="shared" si="185"/>
        <v>6180.14</v>
      </c>
      <c r="AW126" s="15"/>
      <c r="AX126" s="35">
        <f t="shared" si="186"/>
        <v>31</v>
      </c>
      <c r="AY126" s="34">
        <f t="shared" si="187"/>
        <v>5805.59</v>
      </c>
      <c r="AZ126" s="34">
        <f t="shared" si="188"/>
        <v>580.55999999999995</v>
      </c>
      <c r="BA126" s="34">
        <f t="shared" si="189"/>
        <v>6386.15</v>
      </c>
      <c r="BB126" s="15"/>
      <c r="BC126" s="35">
        <f t="shared" si="190"/>
        <v>31</v>
      </c>
      <c r="BD126" s="34">
        <f t="shared" si="191"/>
        <v>5805.59</v>
      </c>
      <c r="BE126" s="34">
        <f t="shared" si="192"/>
        <v>580.55999999999995</v>
      </c>
      <c r="BF126" s="34">
        <f t="shared" si="193"/>
        <v>6386.15</v>
      </c>
      <c r="BG126" s="15"/>
      <c r="BH126" s="35">
        <f t="shared" si="194"/>
        <v>30</v>
      </c>
      <c r="BI126" s="34">
        <f t="shared" si="195"/>
        <v>5618.31</v>
      </c>
      <c r="BJ126" s="34">
        <f t="shared" si="196"/>
        <v>561.83000000000004</v>
      </c>
      <c r="BK126" s="34">
        <f t="shared" si="197"/>
        <v>6180.14</v>
      </c>
      <c r="BL126" s="15"/>
      <c r="BM126" s="35">
        <f t="shared" si="198"/>
        <v>31</v>
      </c>
      <c r="BN126" s="34">
        <f t="shared" si="199"/>
        <v>5805.59</v>
      </c>
      <c r="BO126" s="34">
        <f t="shared" si="200"/>
        <v>580.55999999999995</v>
      </c>
      <c r="BP126" s="34">
        <f t="shared" si="201"/>
        <v>6386.15</v>
      </c>
      <c r="BQ126" s="15"/>
      <c r="BR126" s="35">
        <f t="shared" si="202"/>
        <v>30</v>
      </c>
      <c r="BS126" s="34">
        <f t="shared" si="203"/>
        <v>5618.31</v>
      </c>
      <c r="BT126" s="34">
        <f t="shared" si="204"/>
        <v>561.83000000000004</v>
      </c>
      <c r="BU126" s="34">
        <f t="shared" si="205"/>
        <v>6180.14</v>
      </c>
      <c r="BV126" s="15"/>
      <c r="BW126" s="35">
        <f t="shared" si="206"/>
        <v>5</v>
      </c>
      <c r="BX126" s="34">
        <f t="shared" si="207"/>
        <v>936.39</v>
      </c>
      <c r="BY126" s="34">
        <f t="shared" si="208"/>
        <v>93.64</v>
      </c>
      <c r="BZ126" s="34">
        <f t="shared" si="209"/>
        <v>1030.03</v>
      </c>
      <c r="CA126" s="35">
        <f t="shared" si="210"/>
        <v>249</v>
      </c>
      <c r="CB126" s="34">
        <f t="shared" si="211"/>
        <v>46631.990000000005</v>
      </c>
      <c r="CC126" s="34">
        <f t="shared" si="212"/>
        <v>4663.2</v>
      </c>
      <c r="CD126" s="34">
        <f t="shared" si="213"/>
        <v>51295.19</v>
      </c>
      <c r="CE126" s="16">
        <f t="shared" si="214"/>
        <v>0.01</v>
      </c>
      <c r="CF126" s="16">
        <f t="shared" si="215"/>
        <v>0</v>
      </c>
      <c r="CG126" s="31" t="s">
        <v>736</v>
      </c>
      <c r="CH126" s="31" t="s">
        <v>737</v>
      </c>
      <c r="CI126" s="31" t="s">
        <v>49</v>
      </c>
      <c r="CJ126" s="31" t="s">
        <v>738</v>
      </c>
      <c r="CK126" s="31" t="s">
        <v>739</v>
      </c>
      <c r="CL126" s="31" t="s">
        <v>740</v>
      </c>
      <c r="CM126" s="29">
        <v>46121</v>
      </c>
      <c r="CN126" s="28" t="s">
        <v>741</v>
      </c>
      <c r="CO126" s="28"/>
      <c r="CP126" s="28"/>
    </row>
    <row r="127" spans="1:94" ht="40.049999999999997" customHeight="1" x14ac:dyDescent="0.25">
      <c r="CE127" s="32"/>
      <c r="CF127" s="33"/>
    </row>
  </sheetData>
  <conditionalFormatting sqref="S2:S126">
    <cfRule type="expression" dxfId="63" priority="1">
      <formula>S2&gt;DATE(2026,12,31)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93C30-2C47-4026-A902-3EF55EBA4DDD}">
  <sheetPr>
    <pageSetUpPr fitToPage="1"/>
  </sheetPr>
  <dimension ref="A1:R49"/>
  <sheetViews>
    <sheetView showGridLines="0" zoomScale="50" zoomScaleNormal="50" workbookViewId="0">
      <selection activeCell="S11" sqref="S11"/>
    </sheetView>
  </sheetViews>
  <sheetFormatPr baseColWidth="10" defaultColWidth="16.77734375" defaultRowHeight="40.049999999999997" customHeight="1" x14ac:dyDescent="0.25"/>
  <cols>
    <col min="1" max="16384" width="16.77734375" style="73"/>
  </cols>
  <sheetData>
    <row r="1" spans="1:18" ht="40.049999999999997" customHeight="1" x14ac:dyDescent="0.25">
      <c r="A1" s="184" t="s">
        <v>845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</row>
    <row r="2" spans="1:18" ht="30" customHeight="1" x14ac:dyDescent="0.25">
      <c r="I2" s="87"/>
      <c r="J2" s="87"/>
      <c r="K2" s="87"/>
    </row>
    <row r="3" spans="1:18" ht="30" customHeight="1" x14ac:dyDescent="0.25">
      <c r="I3" s="185" t="s">
        <v>860</v>
      </c>
      <c r="J3" s="185"/>
      <c r="K3" s="185"/>
      <c r="L3" s="185" t="s">
        <v>859</v>
      </c>
      <c r="M3" s="185"/>
      <c r="N3" s="185"/>
      <c r="O3" s="185" t="s">
        <v>861</v>
      </c>
      <c r="P3" s="185"/>
      <c r="Q3" s="185"/>
    </row>
    <row r="4" spans="1:18" ht="4.95" customHeight="1" x14ac:dyDescent="0.25"/>
    <row r="5" spans="1:18" ht="40.049999999999997" customHeight="1" x14ac:dyDescent="0.25">
      <c r="I5" s="186">
        <f>+SUBTOTAL(109,TablaMaestra[TOTAL S/])</f>
        <v>19622637</v>
      </c>
      <c r="J5" s="186"/>
      <c r="K5" s="186"/>
      <c r="L5" s="186">
        <f>+$D$35</f>
        <v>8880848.25</v>
      </c>
      <c r="M5" s="186"/>
      <c r="N5" s="186"/>
      <c r="O5" s="187">
        <f>+L5/I5</f>
        <v>0.4525817936702391</v>
      </c>
      <c r="P5" s="187"/>
      <c r="Q5" s="187"/>
    </row>
    <row r="6" spans="1:18" ht="40.049999999999997" customHeight="1" x14ac:dyDescent="0.25">
      <c r="I6" s="186"/>
      <c r="J6" s="186"/>
      <c r="K6" s="186"/>
      <c r="L6" s="186"/>
      <c r="M6" s="186"/>
      <c r="N6" s="186"/>
      <c r="O6" s="187"/>
      <c r="P6" s="187"/>
      <c r="Q6" s="187"/>
    </row>
    <row r="7" spans="1:18" ht="10.050000000000001" customHeight="1" x14ac:dyDescent="0.25"/>
    <row r="8" spans="1:18" ht="10.050000000000001" customHeight="1" x14ac:dyDescent="0.25"/>
    <row r="12" spans="1:18" ht="40.049999999999997" customHeight="1" x14ac:dyDescent="0.25">
      <c r="P12" s="116"/>
      <c r="Q12" s="116"/>
      <c r="R12" s="116"/>
    </row>
    <row r="22" spans="1:17" s="116" customFormat="1" ht="4.95" customHeight="1" x14ac:dyDescent="0.25"/>
    <row r="23" spans="1:17" s="88" customFormat="1" ht="30" customHeight="1" thickBot="1" x14ac:dyDescent="0.3">
      <c r="A23" s="189" t="s">
        <v>915</v>
      </c>
      <c r="B23" s="189"/>
      <c r="C23" s="189"/>
      <c r="D23" s="189"/>
      <c r="E23" s="189"/>
      <c r="F23" s="189"/>
      <c r="G23" s="189"/>
      <c r="H23" s="189"/>
      <c r="I23" s="189"/>
      <c r="J23" s="189"/>
      <c r="K23" s="89"/>
      <c r="L23" s="89"/>
      <c r="M23" s="89"/>
      <c r="N23" s="89"/>
      <c r="O23" s="89"/>
      <c r="P23" s="89"/>
      <c r="Q23" s="89"/>
    </row>
    <row r="24" spans="1:17" ht="30" customHeight="1" x14ac:dyDescent="0.25">
      <c r="A24" s="90" t="s">
        <v>862</v>
      </c>
      <c r="B24" s="188" t="s">
        <v>866</v>
      </c>
      <c r="C24" s="188"/>
      <c r="D24" s="188" t="s">
        <v>865</v>
      </c>
      <c r="E24" s="188"/>
      <c r="F24" s="188" t="s">
        <v>864</v>
      </c>
      <c r="G24" s="188"/>
      <c r="H24" s="188" t="s">
        <v>863</v>
      </c>
      <c r="I24" s="188"/>
      <c r="J24" s="90" t="s">
        <v>867</v>
      </c>
      <c r="K24" s="161"/>
      <c r="L24" s="161"/>
      <c r="M24" s="118"/>
      <c r="N24" s="118"/>
    </row>
    <row r="25" spans="1:17" ht="30" customHeight="1" x14ac:dyDescent="0.25">
      <c r="A25" s="112" t="s">
        <v>868</v>
      </c>
      <c r="B25" s="181">
        <f>+SUBTOTAL(109,TablaMaestra[PROGRAMADO MARZO])</f>
        <v>26198.51</v>
      </c>
      <c r="C25" s="182"/>
      <c r="D25" s="181">
        <f>+SUBTOTAL(109,TablaMaestra[VALIDADO MARZO])</f>
        <v>26198.51</v>
      </c>
      <c r="E25" s="182"/>
      <c r="F25" s="181">
        <f>+SUBTOTAL(109,TablaMaestra[GIRADO MARZO])</f>
        <v>0</v>
      </c>
      <c r="G25" s="182"/>
      <c r="H25" s="175">
        <f>+D25-F25</f>
        <v>26198.51</v>
      </c>
      <c r="I25" s="176"/>
      <c r="J25" s="114">
        <f>+F25/$D$35</f>
        <v>0</v>
      </c>
      <c r="K25" s="162"/>
      <c r="L25" s="160"/>
      <c r="M25" s="118"/>
      <c r="N25" s="118"/>
    </row>
    <row r="26" spans="1:17" ht="30" customHeight="1" x14ac:dyDescent="0.25">
      <c r="A26" s="113" t="s">
        <v>869</v>
      </c>
      <c r="B26" s="177">
        <f>+SUBTOTAL(109,TablaMaestra[PROGRAMADO ABRIL])</f>
        <v>619800.68000000017</v>
      </c>
      <c r="C26" s="178"/>
      <c r="D26" s="177">
        <f>+SUBTOTAL(109,TablaMaestra[VALIDADO ABRIL])</f>
        <v>619800.68000000017</v>
      </c>
      <c r="E26" s="178"/>
      <c r="F26" s="177">
        <f>+SUBTOTAL(109,TablaMaestra[GIRADO ABRIL])</f>
        <v>0</v>
      </c>
      <c r="G26" s="178"/>
      <c r="H26" s="179">
        <f>+H25+D26-F26</f>
        <v>645999.19000000018</v>
      </c>
      <c r="I26" s="180"/>
      <c r="J26" s="115">
        <f t="shared" ref="J26:J34" si="0">+F26/$D$35</f>
        <v>0</v>
      </c>
      <c r="K26" s="162"/>
      <c r="L26" s="160"/>
      <c r="M26" s="118"/>
      <c r="N26" s="118"/>
    </row>
    <row r="27" spans="1:17" ht="30" customHeight="1" x14ac:dyDescent="0.25">
      <c r="A27" s="112" t="s">
        <v>870</v>
      </c>
      <c r="B27" s="181">
        <f>+SUBTOTAL(109,TablaMaestra[PROGRAMADO MAYO])</f>
        <v>1742673.75</v>
      </c>
      <c r="C27" s="182"/>
      <c r="D27" s="181">
        <f>+SUBTOTAL(109,TablaMaestra[VALIDADO MAYO])</f>
        <v>1742673.75</v>
      </c>
      <c r="E27" s="182"/>
      <c r="F27" s="181">
        <f>+SUBTOTAL(109,TablaMaestra[GIRADO MAYO])</f>
        <v>421002.04</v>
      </c>
      <c r="G27" s="182"/>
      <c r="H27" s="175">
        <f t="shared" ref="H27:H34" si="1">+H26+D27-F27</f>
        <v>1967670.9000000004</v>
      </c>
      <c r="I27" s="176"/>
      <c r="J27" s="114">
        <f t="shared" si="0"/>
        <v>4.7405611282683495E-2</v>
      </c>
      <c r="K27" s="162"/>
      <c r="L27" s="160"/>
      <c r="M27" s="118"/>
      <c r="N27" s="118"/>
    </row>
    <row r="28" spans="1:17" ht="30" customHeight="1" x14ac:dyDescent="0.25">
      <c r="A28" s="113" t="s">
        <v>871</v>
      </c>
      <c r="B28" s="177">
        <f>+SUBTOTAL(109,TablaMaestra[PROGRAMADO JUNIO])</f>
        <v>2257281.4699999997</v>
      </c>
      <c r="C28" s="178"/>
      <c r="D28" s="177">
        <f>+SUBTOTAL(109,TablaMaestra[VALIDADO JUNIO])</f>
        <v>2257281.4699999997</v>
      </c>
      <c r="E28" s="178"/>
      <c r="F28" s="177">
        <f>+SUBTOTAL(109,TablaMaestra[GIRADO JUNIO])</f>
        <v>593804</v>
      </c>
      <c r="G28" s="178"/>
      <c r="H28" s="179">
        <f t="shared" si="1"/>
        <v>3631148.37</v>
      </c>
      <c r="I28" s="180"/>
      <c r="J28" s="115">
        <f t="shared" si="0"/>
        <v>6.686343278075943E-2</v>
      </c>
      <c r="K28" s="162"/>
      <c r="L28" s="160"/>
      <c r="M28" s="118"/>
      <c r="N28" s="118"/>
    </row>
    <row r="29" spans="1:17" ht="30" customHeight="1" x14ac:dyDescent="0.25">
      <c r="A29" s="112" t="s">
        <v>872</v>
      </c>
      <c r="B29" s="181">
        <f>+SUBTOTAL(109,TablaMaestra[PROGRAMADO JULIO])</f>
        <v>2503610.9099999992</v>
      </c>
      <c r="C29" s="182"/>
      <c r="D29" s="181">
        <f>+SUBTOTAL(109,TablaMaestra[VALIDADO JULIO])</f>
        <v>2503610.9099999992</v>
      </c>
      <c r="E29" s="182"/>
      <c r="F29" s="181">
        <f>+SUBTOTAL(109,TablaMaestra[GIRADO JULIO])</f>
        <v>2353390.4</v>
      </c>
      <c r="G29" s="182"/>
      <c r="H29" s="175">
        <f t="shared" si="1"/>
        <v>3781368.8799999994</v>
      </c>
      <c r="I29" s="176"/>
      <c r="J29" s="114">
        <f t="shared" si="0"/>
        <v>0.26499612804441286</v>
      </c>
      <c r="K29" s="162"/>
      <c r="L29" s="160"/>
      <c r="M29" s="118"/>
      <c r="N29" s="118"/>
    </row>
    <row r="30" spans="1:17" ht="30" customHeight="1" x14ac:dyDescent="0.25">
      <c r="A30" s="113" t="s">
        <v>873</v>
      </c>
      <c r="B30" s="177">
        <f>+SUBTOTAL(109,TablaMaestra[PROGRAMADO AGOSTO])</f>
        <v>1553961.1099999996</v>
      </c>
      <c r="C30" s="178"/>
      <c r="D30" s="177">
        <f>+SUBTOTAL(109,TablaMaestra[VALIDADO AGOSTO])</f>
        <v>1553961.1099999996</v>
      </c>
      <c r="E30" s="178"/>
      <c r="F30" s="177">
        <f>+SUBTOTAL(109,TablaMaestra[GIRADO AGOSTO])</f>
        <v>2627503.7399999998</v>
      </c>
      <c r="G30" s="178"/>
      <c r="H30" s="179">
        <f t="shared" si="1"/>
        <v>2707826.2499999995</v>
      </c>
      <c r="I30" s="180"/>
      <c r="J30" s="115">
        <f t="shared" si="0"/>
        <v>0.29586179901227339</v>
      </c>
      <c r="K30" s="162"/>
      <c r="L30" s="160"/>
      <c r="M30" s="118"/>
      <c r="N30" s="118"/>
    </row>
    <row r="31" spans="1:17" ht="30" customHeight="1" x14ac:dyDescent="0.25">
      <c r="A31" s="157" t="s">
        <v>874</v>
      </c>
      <c r="B31" s="175">
        <f>+SUBTOTAL(109,TablaMaestra[PROGRAMADO SETIEMBRE])</f>
        <v>177321.82</v>
      </c>
      <c r="C31" s="176"/>
      <c r="D31" s="175">
        <f>+SUBTOTAL(109,TablaMaestra[VALIDADO SETIEMBRE])</f>
        <v>177321.82</v>
      </c>
      <c r="E31" s="176"/>
      <c r="F31" s="175">
        <f>+SUBTOTAL(109,TablaMaestra[GIRADO SETIEMBRE])</f>
        <v>2267478</v>
      </c>
      <c r="G31" s="176"/>
      <c r="H31" s="175">
        <f t="shared" si="1"/>
        <v>617670.06999999937</v>
      </c>
      <c r="I31" s="176"/>
      <c r="J31" s="114">
        <f t="shared" si="0"/>
        <v>0.25532223231041024</v>
      </c>
      <c r="K31" s="162"/>
      <c r="L31" s="160"/>
      <c r="M31" s="118"/>
      <c r="N31" s="118"/>
    </row>
    <row r="32" spans="1:17" ht="30" customHeight="1" x14ac:dyDescent="0.25">
      <c r="A32" s="113" t="s">
        <v>875</v>
      </c>
      <c r="B32" s="177">
        <f>+SUBTOTAL(109,TablaMaestra[PROGRAMADO OCTUBRE])</f>
        <v>0</v>
      </c>
      <c r="C32" s="178"/>
      <c r="D32" s="177">
        <f>+SUBTOTAL(109,TablaMaestra[VALIDADO OCTUBRE])</f>
        <v>0</v>
      </c>
      <c r="E32" s="178"/>
      <c r="F32" s="177">
        <f>+SUBTOTAL(109,TablaMaestra[GIRADO OCTUBRE])</f>
        <v>0</v>
      </c>
      <c r="G32" s="178"/>
      <c r="H32" s="179">
        <f t="shared" si="1"/>
        <v>617670.06999999937</v>
      </c>
      <c r="I32" s="180"/>
      <c r="J32" s="115">
        <f t="shared" si="0"/>
        <v>0</v>
      </c>
      <c r="K32" s="162"/>
      <c r="L32" s="160"/>
      <c r="M32" s="118"/>
      <c r="N32" s="118"/>
    </row>
    <row r="33" spans="1:17" ht="30" customHeight="1" x14ac:dyDescent="0.25">
      <c r="A33" s="157" t="s">
        <v>876</v>
      </c>
      <c r="B33" s="175">
        <f>+SUBTOTAL(109,TablaMaestra[PROGRAMADO NOVIEMBRE])</f>
        <v>0</v>
      </c>
      <c r="C33" s="176"/>
      <c r="D33" s="175">
        <f>+SUBTOTAL(109,TablaMaestra[VALIDADO NOVIEMBRE])</f>
        <v>0</v>
      </c>
      <c r="E33" s="176"/>
      <c r="F33" s="175">
        <f>+SUBTOTAL(109,TablaMaestra[GIRADO NOVIEMBRE])</f>
        <v>0</v>
      </c>
      <c r="G33" s="176"/>
      <c r="H33" s="175">
        <f t="shared" si="1"/>
        <v>617670.06999999937</v>
      </c>
      <c r="I33" s="176"/>
      <c r="J33" s="114">
        <f t="shared" si="0"/>
        <v>0</v>
      </c>
      <c r="K33" s="162"/>
      <c r="L33" s="160"/>
      <c r="M33" s="118"/>
      <c r="N33" s="118"/>
    </row>
    <row r="34" spans="1:17" ht="30" customHeight="1" thickBot="1" x14ac:dyDescent="0.3">
      <c r="A34" s="113" t="s">
        <v>877</v>
      </c>
      <c r="B34" s="177">
        <f>+SUBTOTAL(109,TablaMaestra[PROGRAMADO DICIEMBRE])</f>
        <v>0</v>
      </c>
      <c r="C34" s="178"/>
      <c r="D34" s="177">
        <f>+SUBTOTAL(109,TablaMaestra[VALIDADO DICIEMBRE])</f>
        <v>0</v>
      </c>
      <c r="E34" s="178"/>
      <c r="F34" s="177">
        <f>+SUBTOTAL(109,TablaMaestra[GIRADO DICIEMBRE])</f>
        <v>0</v>
      </c>
      <c r="G34" s="178"/>
      <c r="H34" s="179">
        <f t="shared" si="1"/>
        <v>617670.06999999937</v>
      </c>
      <c r="I34" s="180"/>
      <c r="J34" s="115">
        <f t="shared" si="0"/>
        <v>0</v>
      </c>
      <c r="K34" s="162"/>
      <c r="L34" s="160"/>
      <c r="M34" s="118"/>
      <c r="N34" s="118"/>
    </row>
    <row r="35" spans="1:17" ht="30" customHeight="1" thickBot="1" x14ac:dyDescent="0.3">
      <c r="A35" s="155" t="s">
        <v>908</v>
      </c>
      <c r="B35" s="173">
        <f>SUM(B25:C34)</f>
        <v>8880848.25</v>
      </c>
      <c r="C35" s="174"/>
      <c r="D35" s="173">
        <f>SUM(D25:E34)</f>
        <v>8880848.25</v>
      </c>
      <c r="E35" s="174"/>
      <c r="F35" s="173">
        <f>SUM(F25:G34)</f>
        <v>8263178.1799999997</v>
      </c>
      <c r="G35" s="174"/>
      <c r="H35" s="173">
        <f>+D35-F35</f>
        <v>617670.0700000003</v>
      </c>
      <c r="I35" s="174"/>
      <c r="J35" s="156">
        <f>+F35/D35</f>
        <v>0.93044920343053938</v>
      </c>
      <c r="K35" s="118"/>
      <c r="L35" s="118"/>
      <c r="M35" s="118"/>
      <c r="N35" s="118"/>
    </row>
    <row r="36" spans="1:17" ht="10.050000000000001" customHeight="1" x14ac:dyDescent="0.25"/>
    <row r="37" spans="1:17" s="117" customFormat="1" ht="30" customHeight="1" x14ac:dyDescent="0.25">
      <c r="A37" s="193" t="s">
        <v>909</v>
      </c>
      <c r="B37" s="193"/>
      <c r="C37" s="193"/>
      <c r="D37" s="193"/>
      <c r="E37" s="193"/>
      <c r="F37" s="193"/>
      <c r="G37" s="193"/>
      <c r="H37" s="193"/>
      <c r="I37" s="193"/>
      <c r="J37" s="163"/>
      <c r="K37" s="163"/>
      <c r="L37" s="163"/>
      <c r="M37" s="163"/>
      <c r="N37" s="163"/>
      <c r="O37" s="89"/>
      <c r="P37" s="89"/>
      <c r="Q37" s="89"/>
    </row>
    <row r="38" spans="1:17" s="118" customFormat="1" ht="30" customHeight="1" x14ac:dyDescent="0.25">
      <c r="A38" s="164" t="s">
        <v>862</v>
      </c>
      <c r="B38" s="192" t="s">
        <v>910</v>
      </c>
      <c r="C38" s="192"/>
      <c r="D38" s="192" t="s">
        <v>859</v>
      </c>
      <c r="E38" s="192"/>
      <c r="F38" s="192" t="s">
        <v>911</v>
      </c>
      <c r="G38" s="192"/>
      <c r="H38" s="192" t="s">
        <v>912</v>
      </c>
      <c r="I38" s="192"/>
      <c r="J38" s="183" t="s">
        <v>913</v>
      </c>
      <c r="K38" s="183"/>
      <c r="L38" s="183" t="s">
        <v>914</v>
      </c>
      <c r="M38" s="183"/>
      <c r="N38" s="165" t="s">
        <v>916</v>
      </c>
    </row>
    <row r="39" spans="1:17" s="118" customFormat="1" ht="30" customHeight="1" x14ac:dyDescent="0.25">
      <c r="A39" s="166" t="s">
        <v>868</v>
      </c>
      <c r="B39" s="190">
        <f>+B25</f>
        <v>26198.51</v>
      </c>
      <c r="C39" s="190"/>
      <c r="D39" s="190">
        <f>+D25</f>
        <v>26198.51</v>
      </c>
      <c r="E39" s="190"/>
      <c r="F39" s="190">
        <f>+F25</f>
        <v>0</v>
      </c>
      <c r="G39" s="190"/>
      <c r="H39" s="191">
        <f>+H25/$D$35</f>
        <v>2.9500008628117252E-3</v>
      </c>
      <c r="I39" s="191"/>
      <c r="J39" s="167">
        <f>+B25*1.1</f>
        <v>28818.361000000001</v>
      </c>
      <c r="K39" s="167"/>
      <c r="L39" s="168">
        <f>+B25*0.85</f>
        <v>22268.733499999998</v>
      </c>
      <c r="M39" s="168"/>
      <c r="N39" s="169" t="e">
        <f t="shared" ref="N39:N48" ca="1" si="2">IF(MONTH(TODAY())=ROW()-36,B39,NA())</f>
        <v>#N/A</v>
      </c>
    </row>
    <row r="40" spans="1:17" s="118" customFormat="1" ht="30" customHeight="1" x14ac:dyDescent="0.25">
      <c r="A40" s="166" t="s">
        <v>869</v>
      </c>
      <c r="B40" s="190">
        <f>+SUM(B25:C26)</f>
        <v>645999.19000000018</v>
      </c>
      <c r="C40" s="190"/>
      <c r="D40" s="190">
        <f>+SUM(D25:E26)</f>
        <v>645999.19000000018</v>
      </c>
      <c r="E40" s="190"/>
      <c r="F40" s="190">
        <f>+SUM(F25:G26)</f>
        <v>0</v>
      </c>
      <c r="G40" s="190"/>
      <c r="H40" s="191">
        <f t="shared" ref="H40:H48" si="3">+H26/$D$35</f>
        <v>7.2740708073691068E-2</v>
      </c>
      <c r="I40" s="191"/>
      <c r="J40" s="167">
        <f t="shared" ref="J40:J48" si="4">+B26*1.1</f>
        <v>681780.74800000025</v>
      </c>
      <c r="K40" s="167"/>
      <c r="L40" s="168">
        <f t="shared" ref="L40:L48" si="5">+B26*0.85</f>
        <v>526830.5780000001</v>
      </c>
      <c r="M40" s="168"/>
      <c r="N40" s="169" t="e">
        <f t="shared" ca="1" si="2"/>
        <v>#N/A</v>
      </c>
    </row>
    <row r="41" spans="1:17" s="118" customFormat="1" ht="30" customHeight="1" x14ac:dyDescent="0.25">
      <c r="A41" s="166" t="s">
        <v>870</v>
      </c>
      <c r="B41" s="190">
        <f>+SUM(B25:C27)</f>
        <v>2388672.9400000004</v>
      </c>
      <c r="C41" s="190"/>
      <c r="D41" s="190">
        <f>+SUM(D25:E27)</f>
        <v>2388672.9400000004</v>
      </c>
      <c r="E41" s="190"/>
      <c r="F41" s="190">
        <f>+SUM(F25:G27)</f>
        <v>421002.04</v>
      </c>
      <c r="G41" s="190"/>
      <c r="H41" s="191">
        <f t="shared" si="3"/>
        <v>0.22156339626679247</v>
      </c>
      <c r="I41" s="191"/>
      <c r="J41" s="167">
        <f t="shared" si="4"/>
        <v>1916941.1250000002</v>
      </c>
      <c r="K41" s="167"/>
      <c r="L41" s="168">
        <f t="shared" si="5"/>
        <v>1481272.6875</v>
      </c>
      <c r="M41" s="168"/>
      <c r="N41" s="169" t="e">
        <f t="shared" ca="1" si="2"/>
        <v>#N/A</v>
      </c>
    </row>
    <row r="42" spans="1:17" s="118" customFormat="1" ht="30" customHeight="1" x14ac:dyDescent="0.25">
      <c r="A42" s="166" t="s">
        <v>871</v>
      </c>
      <c r="B42" s="190">
        <f>+SUM(B25:C28)</f>
        <v>4645954.41</v>
      </c>
      <c r="C42" s="190"/>
      <c r="D42" s="190">
        <f>+SUM(D25:E28)</f>
        <v>4645954.41</v>
      </c>
      <c r="E42" s="190"/>
      <c r="F42" s="190">
        <f>+SUM(F25:G28)</f>
        <v>1014806.04</v>
      </c>
      <c r="G42" s="190"/>
      <c r="H42" s="191">
        <f t="shared" si="3"/>
        <v>0.40887404758886631</v>
      </c>
      <c r="I42" s="191"/>
      <c r="J42" s="167">
        <f t="shared" si="4"/>
        <v>2483009.6170000001</v>
      </c>
      <c r="K42" s="167"/>
      <c r="L42" s="168">
        <f t="shared" si="5"/>
        <v>1918689.2494999997</v>
      </c>
      <c r="M42" s="168"/>
      <c r="N42" s="169" t="e">
        <f t="shared" ca="1" si="2"/>
        <v>#N/A</v>
      </c>
    </row>
    <row r="43" spans="1:17" s="118" customFormat="1" ht="30" customHeight="1" x14ac:dyDescent="0.25">
      <c r="A43" s="166" t="s">
        <v>872</v>
      </c>
      <c r="B43" s="190">
        <f>+SUM(B25:C29)</f>
        <v>7149565.3199999994</v>
      </c>
      <c r="C43" s="190"/>
      <c r="D43" s="190">
        <f>+SUM(D25:E29)</f>
        <v>7149565.3199999994</v>
      </c>
      <c r="E43" s="190"/>
      <c r="F43" s="190">
        <f>+SUM(F25:G29)</f>
        <v>3368196.44</v>
      </c>
      <c r="G43" s="190"/>
      <c r="H43" s="191">
        <f t="shared" si="3"/>
        <v>0.42578915589510263</v>
      </c>
      <c r="I43" s="191"/>
      <c r="J43" s="167">
        <f t="shared" si="4"/>
        <v>2753972.0009999992</v>
      </c>
      <c r="K43" s="167"/>
      <c r="L43" s="168">
        <f t="shared" si="5"/>
        <v>2128069.2734999992</v>
      </c>
      <c r="M43" s="168"/>
      <c r="N43" s="169" t="e">
        <f t="shared" ca="1" si="2"/>
        <v>#N/A</v>
      </c>
    </row>
    <row r="44" spans="1:17" s="118" customFormat="1" ht="30" customHeight="1" x14ac:dyDescent="0.25">
      <c r="A44" s="166" t="s">
        <v>873</v>
      </c>
      <c r="B44" s="190">
        <f>+SUM(B25:C30)</f>
        <v>8703526.4299999997</v>
      </c>
      <c r="C44" s="190"/>
      <c r="D44" s="190">
        <f>+SUM(D25:E30)</f>
        <v>8703526.4299999997</v>
      </c>
      <c r="E44" s="190"/>
      <c r="F44" s="190">
        <f>+SUM(F25:G30)</f>
        <v>5995700.1799999997</v>
      </c>
      <c r="G44" s="190"/>
      <c r="H44" s="191">
        <f t="shared" si="3"/>
        <v>0.30490626275479932</v>
      </c>
      <c r="I44" s="191"/>
      <c r="J44" s="167">
        <f t="shared" si="4"/>
        <v>1709357.2209999997</v>
      </c>
      <c r="K44" s="167"/>
      <c r="L44" s="168">
        <f t="shared" si="5"/>
        <v>1320866.9434999996</v>
      </c>
      <c r="M44" s="168"/>
      <c r="N44" s="169" t="e">
        <f t="shared" ca="1" si="2"/>
        <v>#N/A</v>
      </c>
    </row>
    <row r="45" spans="1:17" s="118" customFormat="1" ht="30" customHeight="1" x14ac:dyDescent="0.25">
      <c r="A45" s="166" t="s">
        <v>874</v>
      </c>
      <c r="B45" s="190">
        <f>+SUM(B25:C31)</f>
        <v>8880848.25</v>
      </c>
      <c r="C45" s="190"/>
      <c r="D45" s="190">
        <f>+SUM(D25:E31)</f>
        <v>8880848.25</v>
      </c>
      <c r="E45" s="190"/>
      <c r="F45" s="190">
        <f>+SUM(F25:G31)</f>
        <v>8263178.1799999997</v>
      </c>
      <c r="G45" s="190"/>
      <c r="H45" s="191">
        <f t="shared" si="3"/>
        <v>6.9550796569460505E-2</v>
      </c>
      <c r="I45" s="191"/>
      <c r="J45" s="167">
        <f t="shared" si="4"/>
        <v>195054.00200000004</v>
      </c>
      <c r="K45" s="167"/>
      <c r="L45" s="168">
        <f t="shared" si="5"/>
        <v>150723.54699999999</v>
      </c>
      <c r="M45" s="168"/>
      <c r="N45" s="169" t="e">
        <f t="shared" ca="1" si="2"/>
        <v>#N/A</v>
      </c>
    </row>
    <row r="46" spans="1:17" s="118" customFormat="1" ht="30" customHeight="1" x14ac:dyDescent="0.25">
      <c r="A46" s="166" t="s">
        <v>875</v>
      </c>
      <c r="B46" s="190">
        <f>+SUM(B25:C32)</f>
        <v>8880848.25</v>
      </c>
      <c r="C46" s="190"/>
      <c r="D46" s="190">
        <f>+SUM(D25:E32)</f>
        <v>8880848.25</v>
      </c>
      <c r="E46" s="190"/>
      <c r="F46" s="190">
        <f>+SUM(F25:G32)</f>
        <v>8263178.1799999997</v>
      </c>
      <c r="G46" s="190"/>
      <c r="H46" s="191">
        <f t="shared" si="3"/>
        <v>6.9550796569460505E-2</v>
      </c>
      <c r="I46" s="191"/>
      <c r="J46" s="167">
        <f t="shared" si="4"/>
        <v>0</v>
      </c>
      <c r="K46" s="167"/>
      <c r="L46" s="168">
        <f t="shared" si="5"/>
        <v>0</v>
      </c>
      <c r="M46" s="168"/>
      <c r="N46" s="169">
        <f t="shared" ca="1" si="2"/>
        <v>8880848.25</v>
      </c>
    </row>
    <row r="47" spans="1:17" s="118" customFormat="1" ht="30" customHeight="1" x14ac:dyDescent="0.25">
      <c r="A47" s="166" t="s">
        <v>876</v>
      </c>
      <c r="B47" s="190">
        <f>+SUM(B25:C33)</f>
        <v>8880848.25</v>
      </c>
      <c r="C47" s="190"/>
      <c r="D47" s="190">
        <f>+SUM(D25:E33)</f>
        <v>8880848.25</v>
      </c>
      <c r="E47" s="190"/>
      <c r="F47" s="190">
        <f>+SUM(F25:G33)</f>
        <v>8263178.1799999997</v>
      </c>
      <c r="G47" s="190"/>
      <c r="H47" s="191">
        <f t="shared" si="3"/>
        <v>6.9550796569460505E-2</v>
      </c>
      <c r="I47" s="191"/>
      <c r="J47" s="167">
        <f t="shared" si="4"/>
        <v>0</v>
      </c>
      <c r="K47" s="167"/>
      <c r="L47" s="168">
        <f t="shared" si="5"/>
        <v>0</v>
      </c>
      <c r="M47" s="168"/>
      <c r="N47" s="169" t="e">
        <f t="shared" ca="1" si="2"/>
        <v>#N/A</v>
      </c>
    </row>
    <row r="48" spans="1:17" s="118" customFormat="1" ht="30" customHeight="1" x14ac:dyDescent="0.25">
      <c r="A48" s="166" t="s">
        <v>877</v>
      </c>
      <c r="B48" s="190">
        <f>+SUM(B25:C34)</f>
        <v>8880848.25</v>
      </c>
      <c r="C48" s="190"/>
      <c r="D48" s="190">
        <f>+SUM(D25:E34)</f>
        <v>8880848.25</v>
      </c>
      <c r="E48" s="190"/>
      <c r="F48" s="190">
        <f>+SUM(F25:G34)</f>
        <v>8263178.1799999997</v>
      </c>
      <c r="G48" s="190"/>
      <c r="H48" s="191">
        <f t="shared" si="3"/>
        <v>6.9550796569460505E-2</v>
      </c>
      <c r="I48" s="191"/>
      <c r="J48" s="167">
        <f t="shared" si="4"/>
        <v>0</v>
      </c>
      <c r="K48" s="167"/>
      <c r="L48" s="168">
        <f t="shared" si="5"/>
        <v>0</v>
      </c>
      <c r="M48" s="168"/>
      <c r="N48" s="169" t="e">
        <f t="shared" ca="1" si="2"/>
        <v>#N/A</v>
      </c>
    </row>
    <row r="49" s="118" customFormat="1" ht="40.049999999999997" customHeight="1" x14ac:dyDescent="0.25"/>
  </sheetData>
  <mergeCells count="103">
    <mergeCell ref="L38:M38"/>
    <mergeCell ref="A37:I37"/>
    <mergeCell ref="B47:C47"/>
    <mergeCell ref="D47:E47"/>
    <mergeCell ref="F47:G47"/>
    <mergeCell ref="H47:I47"/>
    <mergeCell ref="B48:C48"/>
    <mergeCell ref="D48:E48"/>
    <mergeCell ref="F48:G48"/>
    <mergeCell ref="H48:I48"/>
    <mergeCell ref="B45:C45"/>
    <mergeCell ref="D45:E45"/>
    <mergeCell ref="F45:G45"/>
    <mergeCell ref="H45:I45"/>
    <mergeCell ref="B46:C46"/>
    <mergeCell ref="D46:E46"/>
    <mergeCell ref="F46:G46"/>
    <mergeCell ref="H46:I46"/>
    <mergeCell ref="B43:C43"/>
    <mergeCell ref="D43:E43"/>
    <mergeCell ref="F43:G43"/>
    <mergeCell ref="H43:I43"/>
    <mergeCell ref="B44:C44"/>
    <mergeCell ref="D44:E44"/>
    <mergeCell ref="F44:G44"/>
    <mergeCell ref="H44:I44"/>
    <mergeCell ref="B41:C41"/>
    <mergeCell ref="D41:E41"/>
    <mergeCell ref="F41:G41"/>
    <mergeCell ref="H41:I41"/>
    <mergeCell ref="B42:C42"/>
    <mergeCell ref="D42:E42"/>
    <mergeCell ref="F42:G42"/>
    <mergeCell ref="H42:I42"/>
    <mergeCell ref="B39:C39"/>
    <mergeCell ref="D39:E39"/>
    <mergeCell ref="F39:G39"/>
    <mergeCell ref="H39:I39"/>
    <mergeCell ref="B40:C40"/>
    <mergeCell ref="D40:E40"/>
    <mergeCell ref="F40:G40"/>
    <mergeCell ref="H40:I40"/>
    <mergeCell ref="B38:C38"/>
    <mergeCell ref="D38:E38"/>
    <mergeCell ref="F38:G38"/>
    <mergeCell ref="H38:I38"/>
    <mergeCell ref="J38:K38"/>
    <mergeCell ref="A1:Q1"/>
    <mergeCell ref="I3:K3"/>
    <mergeCell ref="L3:N3"/>
    <mergeCell ref="O3:Q3"/>
    <mergeCell ref="I5:K6"/>
    <mergeCell ref="L5:N6"/>
    <mergeCell ref="O5:Q6"/>
    <mergeCell ref="B24:C24"/>
    <mergeCell ref="D24:E24"/>
    <mergeCell ref="F24:G24"/>
    <mergeCell ref="H24:I24"/>
    <mergeCell ref="A23:J23"/>
    <mergeCell ref="B25:C25"/>
    <mergeCell ref="D25:E25"/>
    <mergeCell ref="F25:G25"/>
    <mergeCell ref="H25:I25"/>
    <mergeCell ref="B26:C26"/>
    <mergeCell ref="D26:E26"/>
    <mergeCell ref="F26:G26"/>
    <mergeCell ref="H26:I26"/>
    <mergeCell ref="B27:C27"/>
    <mergeCell ref="D27:E27"/>
    <mergeCell ref="F27:G27"/>
    <mergeCell ref="H27:I27"/>
    <mergeCell ref="B28:C28"/>
    <mergeCell ref="D28:E28"/>
    <mergeCell ref="F28:G28"/>
    <mergeCell ref="H28:I28"/>
    <mergeCell ref="B29:C29"/>
    <mergeCell ref="D29:E29"/>
    <mergeCell ref="F29:G29"/>
    <mergeCell ref="H29:I29"/>
    <mergeCell ref="B30:C30"/>
    <mergeCell ref="D30:E30"/>
    <mergeCell ref="F30:G30"/>
    <mergeCell ref="H30:I30"/>
    <mergeCell ref="B31:C31"/>
    <mergeCell ref="D31:E31"/>
    <mergeCell ref="F31:G31"/>
    <mergeCell ref="H31:I31"/>
    <mergeCell ref="B32:C32"/>
    <mergeCell ref="D32:E32"/>
    <mergeCell ref="F32:G32"/>
    <mergeCell ref="H32:I32"/>
    <mergeCell ref="B35:C35"/>
    <mergeCell ref="D35:E35"/>
    <mergeCell ref="F35:G35"/>
    <mergeCell ref="H35:I35"/>
    <mergeCell ref="B33:C33"/>
    <mergeCell ref="D33:E33"/>
    <mergeCell ref="F33:G33"/>
    <mergeCell ref="H33:I33"/>
    <mergeCell ref="B34:C34"/>
    <mergeCell ref="D34:E34"/>
    <mergeCell ref="F34:G34"/>
    <mergeCell ref="H34:I3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32" orientation="landscape" r:id="rId1"/>
  <drawing r:id="rId2"/>
  <legacyDrawing r:id="rId3"/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FC1F3-C3C5-4C99-8DC1-EA5F6B2A585E}">
  <dimension ref="A1:BL176"/>
  <sheetViews>
    <sheetView showGridLines="0" topLeftCell="N1" zoomScale="70" zoomScaleNormal="70" workbookViewId="0">
      <selection activeCell="R2" sqref="R2"/>
    </sheetView>
  </sheetViews>
  <sheetFormatPr baseColWidth="10" defaultColWidth="0" defaultRowHeight="40.049999999999997" customHeight="1" zeroHeight="1" x14ac:dyDescent="0.25"/>
  <cols>
    <col min="1" max="1" width="16.6640625" style="9" customWidth="1"/>
    <col min="2" max="2" width="16.77734375" style="9" customWidth="1"/>
    <col min="3" max="3" width="18.109375" style="9" customWidth="1"/>
    <col min="4" max="4" width="17.77734375" style="9" customWidth="1"/>
    <col min="5" max="5" width="16.77734375" style="9" customWidth="1"/>
    <col min="6" max="6" width="18.44140625" style="9" customWidth="1"/>
    <col min="7" max="7" width="50.77734375" style="9" customWidth="1"/>
    <col min="8" max="8" width="23.33203125" style="9" customWidth="1"/>
    <col min="9" max="9" width="21.109375" style="9" customWidth="1"/>
    <col min="10" max="10" width="17.44140625" style="9" customWidth="1"/>
    <col min="11" max="14" width="16.77734375" style="9" customWidth="1"/>
    <col min="15" max="15" width="23.33203125" style="9" customWidth="1"/>
    <col min="16" max="16" width="16.77734375" style="9" customWidth="1"/>
    <col min="17" max="17" width="27.6640625" style="9" customWidth="1"/>
    <col min="18" max="18" width="19" style="9" customWidth="1"/>
    <col min="19" max="19" width="16.77734375" style="9" customWidth="1"/>
    <col min="20" max="20" width="21.109375" style="9" customWidth="1"/>
    <col min="21" max="21" width="21.77734375" style="9" customWidth="1"/>
    <col min="22" max="22" width="21.88671875" style="9" customWidth="1"/>
    <col min="23" max="23" width="20" style="9" customWidth="1"/>
    <col min="24" max="25" width="16.77734375" style="9" customWidth="1"/>
    <col min="26" max="26" width="18.44140625" style="9" customWidth="1"/>
    <col min="27" max="27" width="19" style="9" customWidth="1"/>
    <col min="28" max="28" width="19.21875" style="9" customWidth="1"/>
    <col min="29" max="46" width="20.77734375" style="9" customWidth="1"/>
    <col min="47" max="47" width="21.21875" style="9" customWidth="1"/>
    <col min="48" max="48" width="21.88671875" style="9" customWidth="1"/>
    <col min="49" max="49" width="22.109375" style="9" customWidth="1"/>
    <col min="50" max="52" width="20.77734375" style="9" customWidth="1"/>
    <col min="53" max="53" width="21.77734375" style="9" customWidth="1"/>
    <col min="54" max="54" width="22.33203125" style="9" customWidth="1"/>
    <col min="55" max="55" width="22.5546875" style="9" customWidth="1"/>
    <col min="56" max="56" width="20.77734375" style="9" customWidth="1"/>
    <col min="57" max="57" width="21.44140625" style="9" customWidth="1"/>
    <col min="58" max="58" width="21.5546875" style="9" customWidth="1"/>
    <col min="59" max="61" width="20.77734375" style="9" hidden="1" customWidth="1"/>
    <col min="62" max="62" width="22.6640625" style="9" hidden="1" customWidth="1"/>
    <col min="63" max="63" width="29" style="9" hidden="1" customWidth="1"/>
    <col min="64" max="64" width="20.77734375" style="9" hidden="1" customWidth="1"/>
    <col min="65" max="16384" width="16.77734375" style="9" hidden="1"/>
  </cols>
  <sheetData>
    <row r="1" spans="1:58" ht="40.049999999999997" customHeight="1" x14ac:dyDescent="0.25">
      <c r="A1" s="74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74" t="s">
        <v>8</v>
      </c>
      <c r="J1" s="74" t="s">
        <v>858</v>
      </c>
      <c r="K1" s="74" t="s">
        <v>10</v>
      </c>
      <c r="L1" s="74" t="s">
        <v>11</v>
      </c>
      <c r="M1" s="74" t="s">
        <v>12</v>
      </c>
      <c r="N1" s="75" t="s">
        <v>13</v>
      </c>
      <c r="O1" s="75" t="s">
        <v>852</v>
      </c>
      <c r="P1" s="75" t="s">
        <v>15</v>
      </c>
      <c r="Q1" s="75" t="s">
        <v>16</v>
      </c>
      <c r="R1" s="75" t="s">
        <v>853</v>
      </c>
      <c r="S1" s="75" t="s">
        <v>854</v>
      </c>
      <c r="T1" s="75" t="s">
        <v>855</v>
      </c>
      <c r="U1" s="75" t="s">
        <v>856</v>
      </c>
      <c r="V1" s="75" t="s">
        <v>857</v>
      </c>
      <c r="W1" s="75" t="s">
        <v>851</v>
      </c>
      <c r="X1" s="75" t="s">
        <v>849</v>
      </c>
      <c r="Y1" s="75" t="s">
        <v>850</v>
      </c>
      <c r="Z1" s="75" t="s">
        <v>846</v>
      </c>
      <c r="AA1" s="75" t="s">
        <v>847</v>
      </c>
      <c r="AB1" s="75" t="s">
        <v>848</v>
      </c>
      <c r="AC1" s="81" t="s">
        <v>878</v>
      </c>
      <c r="AD1" s="81" t="s">
        <v>879</v>
      </c>
      <c r="AE1" s="81" t="s">
        <v>880</v>
      </c>
      <c r="AF1" s="82" t="s">
        <v>881</v>
      </c>
      <c r="AG1" s="82" t="s">
        <v>882</v>
      </c>
      <c r="AH1" s="82" t="s">
        <v>883</v>
      </c>
      <c r="AI1" s="81" t="s">
        <v>884</v>
      </c>
      <c r="AJ1" s="81" t="s">
        <v>885</v>
      </c>
      <c r="AK1" s="81" t="s">
        <v>886</v>
      </c>
      <c r="AL1" s="82" t="s">
        <v>887</v>
      </c>
      <c r="AM1" s="82" t="s">
        <v>888</v>
      </c>
      <c r="AN1" s="82" t="s">
        <v>889</v>
      </c>
      <c r="AO1" s="81" t="s">
        <v>890</v>
      </c>
      <c r="AP1" s="81" t="s">
        <v>891</v>
      </c>
      <c r="AQ1" s="81" t="s">
        <v>892</v>
      </c>
      <c r="AR1" s="82" t="s">
        <v>893</v>
      </c>
      <c r="AS1" s="82" t="s">
        <v>894</v>
      </c>
      <c r="AT1" s="82" t="s">
        <v>895</v>
      </c>
      <c r="AU1" s="81" t="s">
        <v>896</v>
      </c>
      <c r="AV1" s="81" t="s">
        <v>897</v>
      </c>
      <c r="AW1" s="81" t="s">
        <v>898</v>
      </c>
      <c r="AX1" s="82" t="s">
        <v>899</v>
      </c>
      <c r="AY1" s="82" t="s">
        <v>900</v>
      </c>
      <c r="AZ1" s="82" t="s">
        <v>901</v>
      </c>
      <c r="BA1" s="81" t="s">
        <v>902</v>
      </c>
      <c r="BB1" s="81" t="s">
        <v>903</v>
      </c>
      <c r="BC1" s="81" t="s">
        <v>904</v>
      </c>
      <c r="BD1" s="82" t="s">
        <v>905</v>
      </c>
      <c r="BE1" s="82" t="s">
        <v>906</v>
      </c>
      <c r="BF1" s="82" t="s">
        <v>907</v>
      </c>
    </row>
    <row r="2" spans="1:58" ht="40.049999999999997" customHeight="1" x14ac:dyDescent="0.25">
      <c r="A2" s="91">
        <v>1</v>
      </c>
      <c r="B2" s="92">
        <v>236</v>
      </c>
      <c r="C2" s="93" t="s">
        <v>41</v>
      </c>
      <c r="D2" s="94" t="s">
        <v>42</v>
      </c>
      <c r="E2" s="94" t="s">
        <v>43</v>
      </c>
      <c r="F2" s="93" t="s">
        <v>44</v>
      </c>
      <c r="G2" s="94" t="s">
        <v>45</v>
      </c>
      <c r="H2" s="95">
        <v>8.125</v>
      </c>
      <c r="I2" s="93" t="s">
        <v>46</v>
      </c>
      <c r="J2" s="96">
        <v>735</v>
      </c>
      <c r="K2" s="93">
        <v>240</v>
      </c>
      <c r="L2" s="97">
        <v>47775</v>
      </c>
      <c r="M2" s="97">
        <v>4777</v>
      </c>
      <c r="N2" s="97">
        <v>52552</v>
      </c>
      <c r="O2" s="76"/>
      <c r="P2" s="77"/>
      <c r="Q2" s="78">
        <f t="shared" ref="Q2:Q7" si="0">+$K2</f>
        <v>240</v>
      </c>
      <c r="R2" s="79"/>
      <c r="S2" s="79">
        <f t="shared" ref="S2:S65" si="1">IF(Q2+R2=0,"",Q2+R2-1)</f>
        <v>239</v>
      </c>
      <c r="T2" s="80"/>
      <c r="U2" s="80">
        <f t="shared" ref="U2:U65" si="2">+ROUND(T2*0.1,2)</f>
        <v>0</v>
      </c>
      <c r="V2" s="80">
        <f t="shared" ref="V2:V65" si="3">+SUM(T2:U2)</f>
        <v>0</v>
      </c>
      <c r="W2" s="78"/>
      <c r="X2" s="79">
        <f t="shared" ref="X2:X65" si="4">+$R2</f>
        <v>0</v>
      </c>
      <c r="Y2" s="79" t="str">
        <f t="shared" ref="Y2:Y65" si="5">IF(W2&gt;0,X2+W2-1,"")</f>
        <v/>
      </c>
      <c r="Z2" s="80"/>
      <c r="AA2" s="80">
        <f t="shared" ref="AA2:AA65" si="6">+ROUND(Z2*0.1,2)</f>
        <v>0</v>
      </c>
      <c r="AB2" s="80">
        <f t="shared" ref="AB2:AB65" si="7">+SUM(Z2:AA2)</f>
        <v>0</v>
      </c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80"/>
      <c r="BE2" s="80"/>
      <c r="BF2" s="80"/>
    </row>
    <row r="3" spans="1:58" ht="40.049999999999997" customHeight="1" x14ac:dyDescent="0.25">
      <c r="A3" s="91">
        <v>2</v>
      </c>
      <c r="B3" s="92">
        <v>236</v>
      </c>
      <c r="C3" s="93" t="s">
        <v>41</v>
      </c>
      <c r="D3" s="94" t="s">
        <v>42</v>
      </c>
      <c r="E3" s="94" t="s">
        <v>43</v>
      </c>
      <c r="F3" s="93" t="s">
        <v>51</v>
      </c>
      <c r="G3" s="94" t="s">
        <v>52</v>
      </c>
      <c r="H3" s="95">
        <v>6.3129999999999997</v>
      </c>
      <c r="I3" s="93" t="s">
        <v>46</v>
      </c>
      <c r="J3" s="96">
        <v>735</v>
      </c>
      <c r="K3" s="93">
        <v>240</v>
      </c>
      <c r="L3" s="97">
        <v>37120</v>
      </c>
      <c r="M3" s="97">
        <v>3712</v>
      </c>
      <c r="N3" s="97">
        <v>40832</v>
      </c>
      <c r="O3" s="76"/>
      <c r="P3" s="77"/>
      <c r="Q3" s="78">
        <f t="shared" si="0"/>
        <v>240</v>
      </c>
      <c r="R3" s="79"/>
      <c r="S3" s="79">
        <f t="shared" si="1"/>
        <v>239</v>
      </c>
      <c r="T3" s="80"/>
      <c r="U3" s="80">
        <f t="shared" si="2"/>
        <v>0</v>
      </c>
      <c r="V3" s="80">
        <f t="shared" si="3"/>
        <v>0</v>
      </c>
      <c r="W3" s="78"/>
      <c r="X3" s="79">
        <f t="shared" si="4"/>
        <v>0</v>
      </c>
      <c r="Y3" s="79" t="str">
        <f t="shared" si="5"/>
        <v/>
      </c>
      <c r="Z3" s="80"/>
      <c r="AA3" s="80">
        <f t="shared" si="6"/>
        <v>0</v>
      </c>
      <c r="AB3" s="80">
        <f t="shared" si="7"/>
        <v>0</v>
      </c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</row>
    <row r="4" spans="1:58" ht="40.049999999999997" customHeight="1" x14ac:dyDescent="0.25">
      <c r="A4" s="91">
        <v>3</v>
      </c>
      <c r="B4" s="92">
        <v>236</v>
      </c>
      <c r="C4" s="93" t="s">
        <v>41</v>
      </c>
      <c r="D4" s="94" t="s">
        <v>42</v>
      </c>
      <c r="E4" s="94" t="s">
        <v>53</v>
      </c>
      <c r="F4" s="93" t="s">
        <v>44</v>
      </c>
      <c r="G4" s="94" t="s">
        <v>54</v>
      </c>
      <c r="H4" s="95">
        <v>13.6</v>
      </c>
      <c r="I4" s="93" t="s">
        <v>55</v>
      </c>
      <c r="J4" s="96">
        <v>880</v>
      </c>
      <c r="K4" s="93">
        <v>240</v>
      </c>
      <c r="L4" s="97">
        <v>95744</v>
      </c>
      <c r="M4" s="97">
        <v>9574</v>
      </c>
      <c r="N4" s="97">
        <v>105318</v>
      </c>
      <c r="O4" s="76"/>
      <c r="P4" s="77"/>
      <c r="Q4" s="78">
        <f t="shared" si="0"/>
        <v>240</v>
      </c>
      <c r="R4" s="79"/>
      <c r="S4" s="79">
        <f t="shared" si="1"/>
        <v>239</v>
      </c>
      <c r="T4" s="80"/>
      <c r="U4" s="80">
        <f t="shared" si="2"/>
        <v>0</v>
      </c>
      <c r="V4" s="80">
        <f t="shared" si="3"/>
        <v>0</v>
      </c>
      <c r="W4" s="78"/>
      <c r="X4" s="79">
        <f t="shared" si="4"/>
        <v>0</v>
      </c>
      <c r="Y4" s="79" t="str">
        <f t="shared" si="5"/>
        <v/>
      </c>
      <c r="Z4" s="80"/>
      <c r="AA4" s="80">
        <f t="shared" si="6"/>
        <v>0</v>
      </c>
      <c r="AB4" s="80">
        <f t="shared" si="7"/>
        <v>0</v>
      </c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</row>
    <row r="5" spans="1:58" ht="40.049999999999997" customHeight="1" x14ac:dyDescent="0.25">
      <c r="A5" s="91">
        <v>4</v>
      </c>
      <c r="B5" s="92">
        <v>236</v>
      </c>
      <c r="C5" s="93" t="s">
        <v>41</v>
      </c>
      <c r="D5" s="94" t="s">
        <v>42</v>
      </c>
      <c r="E5" s="94" t="s">
        <v>53</v>
      </c>
      <c r="F5" s="93" t="s">
        <v>56</v>
      </c>
      <c r="G5" s="94" t="s">
        <v>57</v>
      </c>
      <c r="H5" s="95">
        <v>5.3890000000000002</v>
      </c>
      <c r="I5" s="93" t="s">
        <v>55</v>
      </c>
      <c r="J5" s="96">
        <v>880</v>
      </c>
      <c r="K5" s="93">
        <v>240</v>
      </c>
      <c r="L5" s="97">
        <v>37939</v>
      </c>
      <c r="M5" s="97">
        <v>3793</v>
      </c>
      <c r="N5" s="97">
        <v>41732</v>
      </c>
      <c r="O5" s="76"/>
      <c r="P5" s="77"/>
      <c r="Q5" s="78">
        <f t="shared" si="0"/>
        <v>240</v>
      </c>
      <c r="R5" s="79"/>
      <c r="S5" s="79">
        <f t="shared" si="1"/>
        <v>239</v>
      </c>
      <c r="T5" s="80"/>
      <c r="U5" s="80">
        <f t="shared" si="2"/>
        <v>0</v>
      </c>
      <c r="V5" s="80">
        <f t="shared" si="3"/>
        <v>0</v>
      </c>
      <c r="W5" s="78"/>
      <c r="X5" s="79">
        <f t="shared" si="4"/>
        <v>0</v>
      </c>
      <c r="Y5" s="79" t="str">
        <f t="shared" si="5"/>
        <v/>
      </c>
      <c r="Z5" s="80"/>
      <c r="AA5" s="80">
        <f t="shared" si="6"/>
        <v>0</v>
      </c>
      <c r="AB5" s="80">
        <f t="shared" si="7"/>
        <v>0</v>
      </c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</row>
    <row r="6" spans="1:58" ht="40.049999999999997" customHeight="1" thickBot="1" x14ac:dyDescent="0.3">
      <c r="A6" s="148">
        <v>5</v>
      </c>
      <c r="B6" s="149">
        <v>236</v>
      </c>
      <c r="C6" s="150" t="s">
        <v>41</v>
      </c>
      <c r="D6" s="151" t="s">
        <v>42</v>
      </c>
      <c r="E6" s="151" t="s">
        <v>42</v>
      </c>
      <c r="F6" s="150" t="s">
        <v>58</v>
      </c>
      <c r="G6" s="151" t="s">
        <v>59</v>
      </c>
      <c r="H6" s="152">
        <v>4.7080000000000002</v>
      </c>
      <c r="I6" s="150" t="s">
        <v>55</v>
      </c>
      <c r="J6" s="153">
        <v>880</v>
      </c>
      <c r="K6" s="150">
        <v>270</v>
      </c>
      <c r="L6" s="154">
        <v>37287</v>
      </c>
      <c r="M6" s="154">
        <v>3729</v>
      </c>
      <c r="N6" s="154">
        <v>41016</v>
      </c>
      <c r="O6" s="159" t="s">
        <v>60</v>
      </c>
      <c r="P6" s="137"/>
      <c r="Q6" s="138">
        <f t="shared" si="0"/>
        <v>270</v>
      </c>
      <c r="R6" s="139"/>
      <c r="S6" s="139">
        <f t="shared" si="1"/>
        <v>269</v>
      </c>
      <c r="T6" s="140"/>
      <c r="U6" s="140">
        <f t="shared" si="2"/>
        <v>0</v>
      </c>
      <c r="V6" s="140">
        <f t="shared" si="3"/>
        <v>0</v>
      </c>
      <c r="W6" s="138"/>
      <c r="X6" s="139">
        <f t="shared" si="4"/>
        <v>0</v>
      </c>
      <c r="Y6" s="139" t="str">
        <f t="shared" si="5"/>
        <v/>
      </c>
      <c r="Z6" s="140"/>
      <c r="AA6" s="140">
        <f t="shared" si="6"/>
        <v>0</v>
      </c>
      <c r="AB6" s="140">
        <f t="shared" si="7"/>
        <v>0</v>
      </c>
      <c r="AC6" s="140"/>
      <c r="AD6" s="140"/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T6" s="140"/>
      <c r="AU6" s="140"/>
      <c r="AV6" s="140"/>
      <c r="AW6" s="140"/>
      <c r="AX6" s="140"/>
      <c r="AY6" s="140"/>
      <c r="AZ6" s="140"/>
      <c r="BA6" s="140"/>
      <c r="BB6" s="140"/>
      <c r="BC6" s="140"/>
      <c r="BD6" s="140"/>
      <c r="BE6" s="140"/>
      <c r="BF6" s="140"/>
    </row>
    <row r="7" spans="1:58" ht="40.049999999999997" customHeight="1" thickTop="1" x14ac:dyDescent="0.25">
      <c r="A7" s="141">
        <v>6</v>
      </c>
      <c r="B7" s="142">
        <v>49</v>
      </c>
      <c r="C7" s="143" t="s">
        <v>41</v>
      </c>
      <c r="D7" s="144" t="s">
        <v>61</v>
      </c>
      <c r="E7" s="144" t="s">
        <v>62</v>
      </c>
      <c r="F7" s="143" t="s">
        <v>63</v>
      </c>
      <c r="G7" s="144" t="s">
        <v>64</v>
      </c>
      <c r="H7" s="145">
        <v>51.6</v>
      </c>
      <c r="I7" s="143" t="s">
        <v>46</v>
      </c>
      <c r="J7" s="146">
        <v>735</v>
      </c>
      <c r="K7" s="143">
        <v>247</v>
      </c>
      <c r="L7" s="147">
        <v>312257</v>
      </c>
      <c r="M7" s="147">
        <v>31226</v>
      </c>
      <c r="N7" s="147">
        <v>343483</v>
      </c>
      <c r="O7" s="158"/>
      <c r="P7" s="126"/>
      <c r="Q7" s="127">
        <f t="shared" si="0"/>
        <v>247</v>
      </c>
      <c r="R7" s="128"/>
      <c r="S7" s="128">
        <f t="shared" si="1"/>
        <v>246</v>
      </c>
      <c r="T7" s="129"/>
      <c r="U7" s="129">
        <f t="shared" si="2"/>
        <v>0</v>
      </c>
      <c r="V7" s="129">
        <f t="shared" si="3"/>
        <v>0</v>
      </c>
      <c r="W7" s="127"/>
      <c r="X7" s="128">
        <f t="shared" si="4"/>
        <v>0</v>
      </c>
      <c r="Y7" s="128" t="str">
        <f t="shared" si="5"/>
        <v/>
      </c>
      <c r="Z7" s="129"/>
      <c r="AA7" s="129">
        <f t="shared" si="6"/>
        <v>0</v>
      </c>
      <c r="AB7" s="129">
        <f t="shared" si="7"/>
        <v>0</v>
      </c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>
        <v>27643</v>
      </c>
      <c r="AX7" s="129"/>
      <c r="AY7" s="129"/>
      <c r="AZ7" s="129"/>
      <c r="BA7" s="129"/>
      <c r="BB7" s="129"/>
      <c r="BC7" s="129"/>
      <c r="BD7" s="129"/>
      <c r="BE7" s="129"/>
      <c r="BF7" s="129"/>
    </row>
    <row r="8" spans="1:58" ht="40.049999999999997" customHeight="1" x14ac:dyDescent="0.25">
      <c r="A8" s="98">
        <v>7</v>
      </c>
      <c r="B8" s="99">
        <v>49</v>
      </c>
      <c r="C8" s="100" t="s">
        <v>41</v>
      </c>
      <c r="D8" s="101" t="s">
        <v>61</v>
      </c>
      <c r="E8" s="101" t="s">
        <v>68</v>
      </c>
      <c r="F8" s="100" t="s">
        <v>69</v>
      </c>
      <c r="G8" s="101" t="s">
        <v>70</v>
      </c>
      <c r="H8" s="102">
        <v>5.4850000000000003</v>
      </c>
      <c r="I8" s="100" t="s">
        <v>46</v>
      </c>
      <c r="J8" s="103">
        <v>735</v>
      </c>
      <c r="K8" s="100">
        <v>271</v>
      </c>
      <c r="L8" s="104">
        <v>36418</v>
      </c>
      <c r="M8" s="104">
        <v>3642</v>
      </c>
      <c r="N8" s="104">
        <v>40060</v>
      </c>
      <c r="O8" s="76" t="s">
        <v>71</v>
      </c>
      <c r="P8" s="77" t="s">
        <v>72</v>
      </c>
      <c r="Q8" s="78">
        <v>240</v>
      </c>
      <c r="R8" s="79">
        <v>46144</v>
      </c>
      <c r="S8" s="79">
        <f t="shared" si="1"/>
        <v>46383</v>
      </c>
      <c r="T8" s="80">
        <v>32251.8</v>
      </c>
      <c r="U8" s="80">
        <f t="shared" si="2"/>
        <v>3225.18</v>
      </c>
      <c r="V8" s="80">
        <f t="shared" si="3"/>
        <v>35476.979999999996</v>
      </c>
      <c r="W8" s="78"/>
      <c r="X8" s="79">
        <f t="shared" si="4"/>
        <v>46144</v>
      </c>
      <c r="Y8" s="79" t="str">
        <f t="shared" si="5"/>
        <v/>
      </c>
      <c r="Z8" s="80"/>
      <c r="AA8" s="80">
        <f t="shared" si="6"/>
        <v>0</v>
      </c>
      <c r="AB8" s="80">
        <f t="shared" si="7"/>
        <v>0</v>
      </c>
      <c r="AC8" s="80"/>
      <c r="AD8" s="80"/>
      <c r="AE8" s="80"/>
      <c r="AF8" s="80"/>
      <c r="AG8" s="80"/>
      <c r="AH8" s="80"/>
      <c r="AI8" s="80">
        <v>4434.63</v>
      </c>
      <c r="AJ8" s="80">
        <v>4434.63</v>
      </c>
      <c r="AK8" s="80"/>
      <c r="AL8" s="80">
        <v>4434.63</v>
      </c>
      <c r="AM8" s="80">
        <v>4434.63</v>
      </c>
      <c r="AN8" s="80"/>
      <c r="AO8" s="80">
        <v>4582.45</v>
      </c>
      <c r="AP8" s="80">
        <v>4582.45</v>
      </c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</row>
    <row r="9" spans="1:58" ht="40.049999999999997" customHeight="1" x14ac:dyDescent="0.25">
      <c r="A9" s="98">
        <v>8</v>
      </c>
      <c r="B9" s="99">
        <v>49</v>
      </c>
      <c r="C9" s="100" t="s">
        <v>41</v>
      </c>
      <c r="D9" s="101" t="s">
        <v>61</v>
      </c>
      <c r="E9" s="101" t="s">
        <v>68</v>
      </c>
      <c r="F9" s="100" t="s">
        <v>73</v>
      </c>
      <c r="G9" s="101" t="s">
        <v>74</v>
      </c>
      <c r="H9" s="102">
        <v>5.0999999999999996</v>
      </c>
      <c r="I9" s="100" t="s">
        <v>46</v>
      </c>
      <c r="J9" s="103">
        <v>735</v>
      </c>
      <c r="K9" s="100">
        <v>271</v>
      </c>
      <c r="L9" s="104">
        <v>33861</v>
      </c>
      <c r="M9" s="104">
        <v>3386</v>
      </c>
      <c r="N9" s="104">
        <v>37247</v>
      </c>
      <c r="O9" s="76" t="s">
        <v>75</v>
      </c>
      <c r="P9" s="77" t="s">
        <v>72</v>
      </c>
      <c r="Q9" s="78">
        <v>240</v>
      </c>
      <c r="R9" s="79">
        <v>46144</v>
      </c>
      <c r="S9" s="79">
        <f t="shared" si="1"/>
        <v>46383</v>
      </c>
      <c r="T9" s="80">
        <v>29988</v>
      </c>
      <c r="U9" s="80">
        <f t="shared" si="2"/>
        <v>2998.8</v>
      </c>
      <c r="V9" s="80">
        <f t="shared" si="3"/>
        <v>32986.800000000003</v>
      </c>
      <c r="W9" s="78"/>
      <c r="X9" s="79">
        <f t="shared" si="4"/>
        <v>46144</v>
      </c>
      <c r="Y9" s="79" t="str">
        <f t="shared" si="5"/>
        <v/>
      </c>
      <c r="Z9" s="80"/>
      <c r="AA9" s="80">
        <f t="shared" si="6"/>
        <v>0</v>
      </c>
      <c r="AB9" s="80">
        <f t="shared" si="7"/>
        <v>0</v>
      </c>
      <c r="AC9" s="80"/>
      <c r="AD9" s="80"/>
      <c r="AE9" s="80"/>
      <c r="AF9" s="80"/>
      <c r="AG9" s="80"/>
      <c r="AH9" s="80"/>
      <c r="AI9" s="80">
        <v>4123.3500000000004</v>
      </c>
      <c r="AJ9" s="80">
        <v>4123.3500000000004</v>
      </c>
      <c r="AK9" s="80"/>
      <c r="AL9" s="80">
        <v>4123.3500000000004</v>
      </c>
      <c r="AM9" s="80">
        <v>4123.3500000000004</v>
      </c>
      <c r="AN9" s="80"/>
      <c r="AO9" s="80">
        <v>4260.8</v>
      </c>
      <c r="AP9" s="80">
        <v>4260.8</v>
      </c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</row>
    <row r="10" spans="1:58" ht="40.049999999999997" customHeight="1" x14ac:dyDescent="0.25">
      <c r="A10" s="98">
        <v>9</v>
      </c>
      <c r="B10" s="99">
        <v>49</v>
      </c>
      <c r="C10" s="100" t="s">
        <v>41</v>
      </c>
      <c r="D10" s="101" t="s">
        <v>61</v>
      </c>
      <c r="E10" s="101" t="s">
        <v>41</v>
      </c>
      <c r="F10" s="100" t="s">
        <v>76</v>
      </c>
      <c r="G10" s="101" t="s">
        <v>77</v>
      </c>
      <c r="H10" s="102">
        <v>7</v>
      </c>
      <c r="I10" s="100" t="s">
        <v>55</v>
      </c>
      <c r="J10" s="103">
        <v>887.5</v>
      </c>
      <c r="K10" s="100">
        <v>248</v>
      </c>
      <c r="L10" s="104">
        <v>51357</v>
      </c>
      <c r="M10" s="104">
        <v>5136</v>
      </c>
      <c r="N10" s="104">
        <v>56493</v>
      </c>
      <c r="O10" s="76" t="s">
        <v>78</v>
      </c>
      <c r="P10" s="77" t="s">
        <v>72</v>
      </c>
      <c r="Q10" s="78">
        <v>180</v>
      </c>
      <c r="R10" s="79">
        <v>46205</v>
      </c>
      <c r="S10" s="79">
        <f t="shared" si="1"/>
        <v>46384</v>
      </c>
      <c r="T10" s="80">
        <v>37275</v>
      </c>
      <c r="U10" s="80">
        <f t="shared" si="2"/>
        <v>3727.5</v>
      </c>
      <c r="V10" s="80">
        <f t="shared" si="3"/>
        <v>41002.5</v>
      </c>
      <c r="W10" s="78"/>
      <c r="X10" s="79">
        <f t="shared" si="4"/>
        <v>46205</v>
      </c>
      <c r="Y10" s="79" t="str">
        <f t="shared" si="5"/>
        <v/>
      </c>
      <c r="Z10" s="80"/>
      <c r="AA10" s="80">
        <f t="shared" si="6"/>
        <v>0</v>
      </c>
      <c r="AB10" s="80">
        <f t="shared" si="7"/>
        <v>0</v>
      </c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>
        <v>5080.05</v>
      </c>
      <c r="AP10" s="80">
        <v>5080.05</v>
      </c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</row>
    <row r="11" spans="1:58" ht="40.049999999999997" customHeight="1" thickBot="1" x14ac:dyDescent="0.3">
      <c r="A11" s="130">
        <v>10</v>
      </c>
      <c r="B11" s="131">
        <v>49</v>
      </c>
      <c r="C11" s="132" t="s">
        <v>41</v>
      </c>
      <c r="D11" s="133" t="s">
        <v>61</v>
      </c>
      <c r="E11" s="133" t="s">
        <v>79</v>
      </c>
      <c r="F11" s="132" t="s">
        <v>80</v>
      </c>
      <c r="G11" s="133" t="s">
        <v>81</v>
      </c>
      <c r="H11" s="134">
        <v>3.524</v>
      </c>
      <c r="I11" s="132" t="s">
        <v>55</v>
      </c>
      <c r="J11" s="135">
        <v>887.5</v>
      </c>
      <c r="K11" s="132">
        <v>270</v>
      </c>
      <c r="L11" s="136">
        <v>28148</v>
      </c>
      <c r="M11" s="136">
        <v>2815</v>
      </c>
      <c r="N11" s="136">
        <v>30963</v>
      </c>
      <c r="O11" s="159" t="s">
        <v>82</v>
      </c>
      <c r="P11" s="137" t="s">
        <v>72</v>
      </c>
      <c r="Q11" s="138">
        <v>240</v>
      </c>
      <c r="R11" s="139">
        <v>46144</v>
      </c>
      <c r="S11" s="139">
        <f t="shared" si="1"/>
        <v>46383</v>
      </c>
      <c r="T11" s="140">
        <v>25020.400000000001</v>
      </c>
      <c r="U11" s="140">
        <f t="shared" si="2"/>
        <v>2502.04</v>
      </c>
      <c r="V11" s="140">
        <f t="shared" si="3"/>
        <v>27522.440000000002</v>
      </c>
      <c r="W11" s="138"/>
      <c r="X11" s="139">
        <f t="shared" si="4"/>
        <v>46144</v>
      </c>
      <c r="Y11" s="139" t="str">
        <f t="shared" si="5"/>
        <v/>
      </c>
      <c r="Z11" s="140"/>
      <c r="AA11" s="140">
        <f t="shared" si="6"/>
        <v>0</v>
      </c>
      <c r="AB11" s="140">
        <f t="shared" si="7"/>
        <v>0</v>
      </c>
      <c r="AC11" s="140"/>
      <c r="AD11" s="140"/>
      <c r="AE11" s="140"/>
      <c r="AF11" s="140"/>
      <c r="AG11" s="140"/>
      <c r="AH11" s="140"/>
      <c r="AI11" s="140">
        <v>2445.91</v>
      </c>
      <c r="AJ11" s="140">
        <v>2445.91</v>
      </c>
      <c r="AK11" s="140"/>
      <c r="AL11" s="140">
        <v>3001.1</v>
      </c>
      <c r="AM11" s="140">
        <v>3001.1</v>
      </c>
      <c r="AN11" s="140"/>
      <c r="AO11" s="140">
        <v>3554.98</v>
      </c>
      <c r="AP11" s="140">
        <v>3554.98</v>
      </c>
      <c r="AQ11" s="140"/>
      <c r="AR11" s="140"/>
      <c r="AS11" s="140"/>
      <c r="AT11" s="140"/>
      <c r="AU11" s="140"/>
      <c r="AV11" s="140"/>
      <c r="AW11" s="140"/>
      <c r="AX11" s="140"/>
      <c r="AY11" s="140"/>
      <c r="AZ11" s="140"/>
      <c r="BA11" s="140"/>
      <c r="BB11" s="140"/>
      <c r="BC11" s="140"/>
      <c r="BD11" s="140"/>
      <c r="BE11" s="140"/>
      <c r="BF11" s="140"/>
    </row>
    <row r="12" spans="1:58" ht="40.049999999999997" customHeight="1" thickTop="1" x14ac:dyDescent="0.25">
      <c r="A12" s="119">
        <v>11</v>
      </c>
      <c r="B12" s="120">
        <v>48</v>
      </c>
      <c r="C12" s="121" t="s">
        <v>41</v>
      </c>
      <c r="D12" s="122" t="s">
        <v>83</v>
      </c>
      <c r="E12" s="122" t="s">
        <v>84</v>
      </c>
      <c r="F12" s="121" t="s">
        <v>85</v>
      </c>
      <c r="G12" s="122" t="s">
        <v>86</v>
      </c>
      <c r="H12" s="123">
        <v>13.406000000000001</v>
      </c>
      <c r="I12" s="121" t="s">
        <v>46</v>
      </c>
      <c r="J12" s="124">
        <v>735</v>
      </c>
      <c r="K12" s="121">
        <v>240</v>
      </c>
      <c r="L12" s="125">
        <v>78827</v>
      </c>
      <c r="M12" s="125">
        <v>7882</v>
      </c>
      <c r="N12" s="125">
        <v>86709</v>
      </c>
      <c r="O12" s="158" t="s">
        <v>87</v>
      </c>
      <c r="P12" s="126" t="s">
        <v>88</v>
      </c>
      <c r="Q12" s="127">
        <f t="shared" ref="Q12:Q75" si="8">+$K12</f>
        <v>240</v>
      </c>
      <c r="R12" s="128">
        <v>46190</v>
      </c>
      <c r="S12" s="128">
        <f t="shared" si="1"/>
        <v>46429</v>
      </c>
      <c r="T12" s="129">
        <v>74872.83</v>
      </c>
      <c r="U12" s="129">
        <f t="shared" si="2"/>
        <v>7487.28</v>
      </c>
      <c r="V12" s="129">
        <f t="shared" si="3"/>
        <v>82360.11</v>
      </c>
      <c r="W12" s="127">
        <v>198</v>
      </c>
      <c r="X12" s="128">
        <f t="shared" si="4"/>
        <v>46190</v>
      </c>
      <c r="Y12" s="128">
        <f t="shared" si="5"/>
        <v>46387</v>
      </c>
      <c r="Z12" s="129">
        <v>61770.06</v>
      </c>
      <c r="AA12" s="129">
        <f t="shared" si="6"/>
        <v>6177.01</v>
      </c>
      <c r="AB12" s="129">
        <f t="shared" si="7"/>
        <v>67947.069999999992</v>
      </c>
      <c r="AC12" s="129"/>
      <c r="AD12" s="129"/>
      <c r="AE12" s="129"/>
      <c r="AF12" s="129"/>
      <c r="AG12" s="129"/>
      <c r="AH12" s="129"/>
      <c r="AI12" s="129"/>
      <c r="AJ12" s="129"/>
      <c r="AK12" s="129"/>
      <c r="AL12" s="129">
        <v>4804.34</v>
      </c>
      <c r="AM12" s="129">
        <v>4804.34</v>
      </c>
      <c r="AN12" s="129"/>
      <c r="AO12" s="129">
        <v>10638.18</v>
      </c>
      <c r="AP12" s="129">
        <v>10638.18</v>
      </c>
      <c r="AQ12" s="129">
        <v>5700</v>
      </c>
      <c r="AR12" s="129"/>
      <c r="AS12" s="129"/>
      <c r="AT12" s="129">
        <v>29689</v>
      </c>
      <c r="AU12" s="129"/>
      <c r="AV12" s="129"/>
      <c r="AW12" s="129">
        <v>87431</v>
      </c>
      <c r="AX12" s="129"/>
      <c r="AY12" s="129"/>
      <c r="AZ12" s="129"/>
      <c r="BA12" s="129"/>
      <c r="BB12" s="129"/>
      <c r="BC12" s="129"/>
      <c r="BD12" s="129"/>
      <c r="BE12" s="129"/>
      <c r="BF12" s="129"/>
    </row>
    <row r="13" spans="1:58" ht="40.049999999999997" customHeight="1" x14ac:dyDescent="0.25">
      <c r="A13" s="91">
        <v>12</v>
      </c>
      <c r="B13" s="92">
        <v>48</v>
      </c>
      <c r="C13" s="93" t="s">
        <v>41</v>
      </c>
      <c r="D13" s="94" t="s">
        <v>83</v>
      </c>
      <c r="E13" s="94" t="s">
        <v>84</v>
      </c>
      <c r="F13" s="93" t="s">
        <v>93</v>
      </c>
      <c r="G13" s="94" t="s">
        <v>94</v>
      </c>
      <c r="H13" s="95">
        <v>13.406000000000001</v>
      </c>
      <c r="I13" s="93" t="s">
        <v>46</v>
      </c>
      <c r="J13" s="96">
        <v>735</v>
      </c>
      <c r="K13" s="93">
        <v>261</v>
      </c>
      <c r="L13" s="97">
        <v>29402</v>
      </c>
      <c r="M13" s="97">
        <v>2940</v>
      </c>
      <c r="N13" s="97">
        <v>32342</v>
      </c>
      <c r="O13" s="76" t="s">
        <v>95</v>
      </c>
      <c r="P13" s="77" t="s">
        <v>96</v>
      </c>
      <c r="Q13" s="78">
        <f t="shared" si="8"/>
        <v>261</v>
      </c>
      <c r="R13" s="79">
        <v>46104</v>
      </c>
      <c r="S13" s="79">
        <f t="shared" si="1"/>
        <v>46364</v>
      </c>
      <c r="T13" s="80">
        <v>28250</v>
      </c>
      <c r="U13" s="80">
        <f t="shared" si="2"/>
        <v>2825</v>
      </c>
      <c r="V13" s="80">
        <f t="shared" si="3"/>
        <v>31075</v>
      </c>
      <c r="W13" s="78"/>
      <c r="X13" s="79">
        <f t="shared" si="4"/>
        <v>46104</v>
      </c>
      <c r="Y13" s="79" t="str">
        <f t="shared" si="5"/>
        <v/>
      </c>
      <c r="Z13" s="80"/>
      <c r="AA13" s="80">
        <f t="shared" si="6"/>
        <v>0</v>
      </c>
      <c r="AB13" s="80">
        <f t="shared" si="7"/>
        <v>0</v>
      </c>
      <c r="AC13" s="80">
        <v>1071.55</v>
      </c>
      <c r="AD13" s="80">
        <v>1071.55</v>
      </c>
      <c r="AE13" s="80"/>
      <c r="AF13" s="80">
        <v>3571.84</v>
      </c>
      <c r="AG13" s="80">
        <v>3571.84</v>
      </c>
      <c r="AH13" s="80"/>
      <c r="AI13" s="80">
        <v>3690.9</v>
      </c>
      <c r="AJ13" s="80">
        <v>3690.9</v>
      </c>
      <c r="AK13" s="80"/>
      <c r="AL13" s="80">
        <v>3571.84</v>
      </c>
      <c r="AM13" s="80">
        <v>3571.84</v>
      </c>
      <c r="AN13" s="80"/>
      <c r="AO13" s="80">
        <v>3690.9</v>
      </c>
      <c r="AP13" s="80">
        <v>3690.9</v>
      </c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  <c r="BF13" s="80"/>
    </row>
    <row r="14" spans="1:58" ht="40.049999999999997" customHeight="1" x14ac:dyDescent="0.25">
      <c r="A14" s="91">
        <v>13</v>
      </c>
      <c r="B14" s="92">
        <v>48</v>
      </c>
      <c r="C14" s="93" t="s">
        <v>41</v>
      </c>
      <c r="D14" s="94" t="s">
        <v>83</v>
      </c>
      <c r="E14" s="94" t="s">
        <v>84</v>
      </c>
      <c r="F14" s="93" t="s">
        <v>97</v>
      </c>
      <c r="G14" s="94" t="s">
        <v>98</v>
      </c>
      <c r="H14" s="95">
        <v>4.0780000000000003</v>
      </c>
      <c r="I14" s="93" t="s">
        <v>46</v>
      </c>
      <c r="J14" s="96">
        <v>735</v>
      </c>
      <c r="K14" s="93">
        <v>261</v>
      </c>
      <c r="L14" s="97">
        <v>26077</v>
      </c>
      <c r="M14" s="97">
        <v>2608</v>
      </c>
      <c r="N14" s="97">
        <v>28685</v>
      </c>
      <c r="O14" s="76" t="s">
        <v>99</v>
      </c>
      <c r="P14" s="77" t="s">
        <v>100</v>
      </c>
      <c r="Q14" s="78">
        <f t="shared" si="8"/>
        <v>261</v>
      </c>
      <c r="R14" s="79">
        <v>46105</v>
      </c>
      <c r="S14" s="79">
        <f t="shared" si="1"/>
        <v>46365</v>
      </c>
      <c r="T14" s="80">
        <v>25000</v>
      </c>
      <c r="U14" s="80">
        <f t="shared" si="2"/>
        <v>2500</v>
      </c>
      <c r="V14" s="80">
        <f t="shared" si="3"/>
        <v>27500</v>
      </c>
      <c r="W14" s="78"/>
      <c r="X14" s="79">
        <f t="shared" si="4"/>
        <v>46105</v>
      </c>
      <c r="Y14" s="79" t="str">
        <f t="shared" si="5"/>
        <v/>
      </c>
      <c r="Z14" s="80"/>
      <c r="AA14" s="80">
        <f t="shared" si="6"/>
        <v>0</v>
      </c>
      <c r="AB14" s="80">
        <f t="shared" si="7"/>
        <v>0</v>
      </c>
      <c r="AC14" s="80">
        <v>842.91</v>
      </c>
      <c r="AD14" s="80">
        <v>842.91</v>
      </c>
      <c r="AE14" s="80"/>
      <c r="AF14" s="80">
        <v>3160.92</v>
      </c>
      <c r="AG14" s="80">
        <v>3160.92</v>
      </c>
      <c r="AH14" s="80"/>
      <c r="AI14" s="80">
        <v>3266.29</v>
      </c>
      <c r="AJ14" s="80">
        <v>3266.29</v>
      </c>
      <c r="AK14" s="80"/>
      <c r="AL14" s="80">
        <v>3160.92</v>
      </c>
      <c r="AM14" s="80">
        <v>3160.92</v>
      </c>
      <c r="AN14" s="80"/>
      <c r="AO14" s="80">
        <v>3266.29</v>
      </c>
      <c r="AP14" s="80">
        <v>3266.29</v>
      </c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</row>
    <row r="15" spans="1:58" ht="40.049999999999997" customHeight="1" x14ac:dyDescent="0.25">
      <c r="A15" s="91">
        <v>14</v>
      </c>
      <c r="B15" s="92">
        <v>48</v>
      </c>
      <c r="C15" s="93" t="s">
        <v>41</v>
      </c>
      <c r="D15" s="94" t="s">
        <v>83</v>
      </c>
      <c r="E15" s="94" t="s">
        <v>101</v>
      </c>
      <c r="F15" s="93" t="s">
        <v>102</v>
      </c>
      <c r="G15" s="94" t="s">
        <v>103</v>
      </c>
      <c r="H15" s="95">
        <v>9.2159999999999993</v>
      </c>
      <c r="I15" s="93" t="s">
        <v>46</v>
      </c>
      <c r="J15" s="96">
        <v>735</v>
      </c>
      <c r="K15" s="93">
        <v>240</v>
      </c>
      <c r="L15" s="97">
        <v>54190</v>
      </c>
      <c r="M15" s="97">
        <v>5419</v>
      </c>
      <c r="N15" s="97">
        <v>59609</v>
      </c>
      <c r="O15" s="76" t="s">
        <v>104</v>
      </c>
      <c r="P15" s="77" t="s">
        <v>88</v>
      </c>
      <c r="Q15" s="78">
        <f t="shared" si="8"/>
        <v>240</v>
      </c>
      <c r="R15" s="79">
        <v>46190</v>
      </c>
      <c r="S15" s="79">
        <f t="shared" si="1"/>
        <v>46429</v>
      </c>
      <c r="T15" s="80">
        <v>51442.5</v>
      </c>
      <c r="U15" s="80">
        <f t="shared" si="2"/>
        <v>5144.25</v>
      </c>
      <c r="V15" s="80">
        <f t="shared" si="3"/>
        <v>56586.75</v>
      </c>
      <c r="W15" s="78">
        <v>198</v>
      </c>
      <c r="X15" s="79">
        <f t="shared" si="4"/>
        <v>46190</v>
      </c>
      <c r="Y15" s="79">
        <f t="shared" si="5"/>
        <v>46387</v>
      </c>
      <c r="Z15" s="80">
        <v>42440.07</v>
      </c>
      <c r="AA15" s="80">
        <f t="shared" si="6"/>
        <v>4244.01</v>
      </c>
      <c r="AB15" s="80">
        <f t="shared" si="7"/>
        <v>46684.08</v>
      </c>
      <c r="AC15" s="80"/>
      <c r="AD15" s="80"/>
      <c r="AE15" s="80"/>
      <c r="AF15" s="80"/>
      <c r="AG15" s="80"/>
      <c r="AH15" s="80"/>
      <c r="AI15" s="80"/>
      <c r="AJ15" s="80"/>
      <c r="AK15" s="80"/>
      <c r="AL15" s="80">
        <v>3300.89</v>
      </c>
      <c r="AM15" s="80">
        <v>3300.89</v>
      </c>
      <c r="AN15" s="80"/>
      <c r="AO15" s="80">
        <v>7309.13</v>
      </c>
      <c r="AP15" s="80">
        <v>7309.13</v>
      </c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</row>
    <row r="16" spans="1:58" ht="40.049999999999997" customHeight="1" x14ac:dyDescent="0.25">
      <c r="A16" s="91">
        <v>15</v>
      </c>
      <c r="B16" s="92">
        <v>48</v>
      </c>
      <c r="C16" s="93" t="s">
        <v>41</v>
      </c>
      <c r="D16" s="94" t="s">
        <v>83</v>
      </c>
      <c r="E16" s="94" t="s">
        <v>105</v>
      </c>
      <c r="F16" s="93" t="s">
        <v>106</v>
      </c>
      <c r="G16" s="94" t="s">
        <v>107</v>
      </c>
      <c r="H16" s="95">
        <v>14.875999999999999</v>
      </c>
      <c r="I16" s="93" t="s">
        <v>46</v>
      </c>
      <c r="J16" s="96">
        <v>735</v>
      </c>
      <c r="K16" s="93">
        <v>240</v>
      </c>
      <c r="L16" s="97">
        <v>87471</v>
      </c>
      <c r="M16" s="97">
        <v>8746</v>
      </c>
      <c r="N16" s="97">
        <v>96217</v>
      </c>
      <c r="O16" s="76" t="s">
        <v>108</v>
      </c>
      <c r="P16" s="77" t="s">
        <v>109</v>
      </c>
      <c r="Q16" s="78">
        <f t="shared" si="8"/>
        <v>240</v>
      </c>
      <c r="R16" s="79">
        <v>46190</v>
      </c>
      <c r="S16" s="79">
        <f t="shared" si="1"/>
        <v>46429</v>
      </c>
      <c r="T16" s="80">
        <v>83097.45</v>
      </c>
      <c r="U16" s="80">
        <f t="shared" si="2"/>
        <v>8309.75</v>
      </c>
      <c r="V16" s="80">
        <f t="shared" si="3"/>
        <v>91407.2</v>
      </c>
      <c r="W16" s="78">
        <v>198</v>
      </c>
      <c r="X16" s="79">
        <f t="shared" si="4"/>
        <v>46190</v>
      </c>
      <c r="Y16" s="79">
        <f t="shared" si="5"/>
        <v>46387</v>
      </c>
      <c r="Z16" s="80">
        <v>68555.39</v>
      </c>
      <c r="AA16" s="80">
        <f t="shared" si="6"/>
        <v>6855.54</v>
      </c>
      <c r="AB16" s="80">
        <f t="shared" si="7"/>
        <v>75410.929999999993</v>
      </c>
      <c r="AC16" s="80"/>
      <c r="AD16" s="80"/>
      <c r="AE16" s="80"/>
      <c r="AF16" s="80"/>
      <c r="AG16" s="80"/>
      <c r="AH16" s="80"/>
      <c r="AI16" s="80"/>
      <c r="AJ16" s="80"/>
      <c r="AK16" s="80"/>
      <c r="AL16" s="80">
        <v>5332.09</v>
      </c>
      <c r="AM16" s="80">
        <v>5332.09</v>
      </c>
      <c r="AN16" s="80"/>
      <c r="AO16" s="80">
        <v>11806.76</v>
      </c>
      <c r="AP16" s="80">
        <v>11806.76</v>
      </c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</row>
    <row r="17" spans="1:58" ht="40.049999999999997" customHeight="1" x14ac:dyDescent="0.25">
      <c r="A17" s="91">
        <v>16</v>
      </c>
      <c r="B17" s="92">
        <v>48</v>
      </c>
      <c r="C17" s="93" t="s">
        <v>41</v>
      </c>
      <c r="D17" s="94" t="s">
        <v>83</v>
      </c>
      <c r="E17" s="94" t="s">
        <v>110</v>
      </c>
      <c r="F17" s="93" t="s">
        <v>111</v>
      </c>
      <c r="G17" s="94" t="s">
        <v>112</v>
      </c>
      <c r="H17" s="95">
        <v>12.67</v>
      </c>
      <c r="I17" s="93" t="s">
        <v>46</v>
      </c>
      <c r="J17" s="96">
        <v>735</v>
      </c>
      <c r="K17" s="93">
        <v>240</v>
      </c>
      <c r="L17" s="97">
        <v>74500</v>
      </c>
      <c r="M17" s="97">
        <v>7449</v>
      </c>
      <c r="N17" s="97">
        <v>81949</v>
      </c>
      <c r="O17" s="76" t="s">
        <v>113</v>
      </c>
      <c r="P17" s="77" t="s">
        <v>109</v>
      </c>
      <c r="Q17" s="78">
        <f t="shared" si="8"/>
        <v>240</v>
      </c>
      <c r="R17" s="79">
        <v>46190</v>
      </c>
      <c r="S17" s="79">
        <f t="shared" si="1"/>
        <v>46429</v>
      </c>
      <c r="T17" s="80">
        <v>70775</v>
      </c>
      <c r="U17" s="80">
        <f t="shared" si="2"/>
        <v>7077.5</v>
      </c>
      <c r="V17" s="80">
        <f t="shared" si="3"/>
        <v>77852.5</v>
      </c>
      <c r="W17" s="78">
        <v>198</v>
      </c>
      <c r="X17" s="79">
        <f t="shared" si="4"/>
        <v>46190</v>
      </c>
      <c r="Y17" s="79">
        <f t="shared" si="5"/>
        <v>46387</v>
      </c>
      <c r="Z17" s="80">
        <v>58389.95</v>
      </c>
      <c r="AA17" s="80">
        <f t="shared" si="6"/>
        <v>5839</v>
      </c>
      <c r="AB17" s="80">
        <f t="shared" si="7"/>
        <v>64228.95</v>
      </c>
      <c r="AC17" s="80"/>
      <c r="AD17" s="80"/>
      <c r="AE17" s="80"/>
      <c r="AF17" s="80"/>
      <c r="AG17" s="80"/>
      <c r="AH17" s="80"/>
      <c r="AI17" s="80"/>
      <c r="AJ17" s="80"/>
      <c r="AK17" s="80"/>
      <c r="AL17" s="80">
        <v>4541.4399999999996</v>
      </c>
      <c r="AM17" s="80">
        <v>4541.4399999999996</v>
      </c>
      <c r="AN17" s="80"/>
      <c r="AO17" s="80">
        <v>10056.049999999999</v>
      </c>
      <c r="AP17" s="80">
        <v>10056.049999999999</v>
      </c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0"/>
    </row>
    <row r="18" spans="1:58" ht="40.049999999999997" customHeight="1" x14ac:dyDescent="0.25">
      <c r="A18" s="91">
        <v>17</v>
      </c>
      <c r="B18" s="92">
        <v>48</v>
      </c>
      <c r="C18" s="93" t="s">
        <v>41</v>
      </c>
      <c r="D18" s="94" t="s">
        <v>83</v>
      </c>
      <c r="E18" s="94" t="s">
        <v>110</v>
      </c>
      <c r="F18" s="93" t="s">
        <v>114</v>
      </c>
      <c r="G18" s="94" t="s">
        <v>115</v>
      </c>
      <c r="H18" s="95">
        <v>6.516</v>
      </c>
      <c r="I18" s="93" t="s">
        <v>46</v>
      </c>
      <c r="J18" s="96">
        <v>735</v>
      </c>
      <c r="K18" s="93">
        <v>240</v>
      </c>
      <c r="L18" s="97">
        <v>38314</v>
      </c>
      <c r="M18" s="97">
        <v>3831</v>
      </c>
      <c r="N18" s="97">
        <v>42145</v>
      </c>
      <c r="O18" s="76" t="s">
        <v>116</v>
      </c>
      <c r="P18" s="77" t="s">
        <v>100</v>
      </c>
      <c r="Q18" s="78">
        <f t="shared" si="8"/>
        <v>240</v>
      </c>
      <c r="R18" s="79">
        <v>46101</v>
      </c>
      <c r="S18" s="79">
        <f t="shared" si="1"/>
        <v>46340</v>
      </c>
      <c r="T18" s="80">
        <v>36700</v>
      </c>
      <c r="U18" s="80">
        <f t="shared" si="2"/>
        <v>3670</v>
      </c>
      <c r="V18" s="80">
        <f t="shared" si="3"/>
        <v>40370</v>
      </c>
      <c r="W18" s="78"/>
      <c r="X18" s="79">
        <f t="shared" si="4"/>
        <v>46101</v>
      </c>
      <c r="Y18" s="79" t="str">
        <f t="shared" si="5"/>
        <v/>
      </c>
      <c r="Z18" s="80"/>
      <c r="AA18" s="80">
        <f t="shared" si="6"/>
        <v>0</v>
      </c>
      <c r="AB18" s="80">
        <f t="shared" si="7"/>
        <v>0</v>
      </c>
      <c r="AC18" s="80">
        <v>2018.5</v>
      </c>
      <c r="AD18" s="80">
        <v>2018.5</v>
      </c>
      <c r="AE18" s="80"/>
      <c r="AF18" s="80">
        <v>5046.25</v>
      </c>
      <c r="AG18" s="80">
        <v>5046.25</v>
      </c>
      <c r="AH18" s="80"/>
      <c r="AI18" s="80">
        <v>5214.46</v>
      </c>
      <c r="AJ18" s="80">
        <v>5214.46</v>
      </c>
      <c r="AK18" s="80"/>
      <c r="AL18" s="80">
        <v>5046.25</v>
      </c>
      <c r="AM18" s="80">
        <v>5046.25</v>
      </c>
      <c r="AN18" s="80"/>
      <c r="AO18" s="80">
        <v>5214.46</v>
      </c>
      <c r="AP18" s="80">
        <v>5214.46</v>
      </c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</row>
    <row r="19" spans="1:58" ht="40.049999999999997" customHeight="1" x14ac:dyDescent="0.25">
      <c r="A19" s="91">
        <v>18</v>
      </c>
      <c r="B19" s="92">
        <v>48</v>
      </c>
      <c r="C19" s="93" t="s">
        <v>41</v>
      </c>
      <c r="D19" s="94" t="s">
        <v>83</v>
      </c>
      <c r="E19" s="94" t="s">
        <v>110</v>
      </c>
      <c r="F19" s="93" t="s">
        <v>117</v>
      </c>
      <c r="G19" s="94" t="s">
        <v>118</v>
      </c>
      <c r="H19" s="95">
        <v>7.0810000000000004</v>
      </c>
      <c r="I19" s="93" t="s">
        <v>46</v>
      </c>
      <c r="J19" s="96">
        <v>735</v>
      </c>
      <c r="K19" s="93">
        <v>240</v>
      </c>
      <c r="L19" s="97">
        <v>41636</v>
      </c>
      <c r="M19" s="97">
        <v>4164</v>
      </c>
      <c r="N19" s="97">
        <v>45800</v>
      </c>
      <c r="O19" s="76" t="s">
        <v>119</v>
      </c>
      <c r="P19" s="77" t="s">
        <v>109</v>
      </c>
      <c r="Q19" s="78">
        <f t="shared" si="8"/>
        <v>240</v>
      </c>
      <c r="R19" s="79">
        <v>46107</v>
      </c>
      <c r="S19" s="79">
        <f t="shared" si="1"/>
        <v>46346</v>
      </c>
      <c r="T19" s="80">
        <v>40000</v>
      </c>
      <c r="U19" s="80">
        <f t="shared" si="2"/>
        <v>4000</v>
      </c>
      <c r="V19" s="80">
        <f t="shared" si="3"/>
        <v>44000</v>
      </c>
      <c r="W19" s="78"/>
      <c r="X19" s="79">
        <f t="shared" si="4"/>
        <v>46107</v>
      </c>
      <c r="Y19" s="79" t="str">
        <f t="shared" si="5"/>
        <v/>
      </c>
      <c r="Z19" s="80"/>
      <c r="AA19" s="80">
        <f t="shared" si="6"/>
        <v>0</v>
      </c>
      <c r="AB19" s="80">
        <f t="shared" si="7"/>
        <v>0</v>
      </c>
      <c r="AC19" s="80">
        <v>1100</v>
      </c>
      <c r="AD19" s="80">
        <v>1100</v>
      </c>
      <c r="AE19" s="80"/>
      <c r="AF19" s="80">
        <v>5500</v>
      </c>
      <c r="AG19" s="80">
        <v>5500</v>
      </c>
      <c r="AH19" s="80"/>
      <c r="AI19" s="80">
        <v>5683.34</v>
      </c>
      <c r="AJ19" s="80">
        <v>5683.34</v>
      </c>
      <c r="AK19" s="80"/>
      <c r="AL19" s="80">
        <v>5500</v>
      </c>
      <c r="AM19" s="80">
        <v>5500</v>
      </c>
      <c r="AN19" s="80"/>
      <c r="AO19" s="80">
        <v>5683.34</v>
      </c>
      <c r="AP19" s="80">
        <v>5683.34</v>
      </c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</row>
    <row r="20" spans="1:58" ht="40.049999999999997" customHeight="1" x14ac:dyDescent="0.25">
      <c r="A20" s="91">
        <v>19</v>
      </c>
      <c r="B20" s="92">
        <v>48</v>
      </c>
      <c r="C20" s="93" t="s">
        <v>41</v>
      </c>
      <c r="D20" s="94" t="s">
        <v>83</v>
      </c>
      <c r="E20" s="94" t="s">
        <v>120</v>
      </c>
      <c r="F20" s="93" t="s">
        <v>121</v>
      </c>
      <c r="G20" s="94" t="s">
        <v>122</v>
      </c>
      <c r="H20" s="95">
        <v>5.3929999999999998</v>
      </c>
      <c r="I20" s="93" t="s">
        <v>46</v>
      </c>
      <c r="J20" s="96">
        <v>735</v>
      </c>
      <c r="K20" s="93">
        <v>240</v>
      </c>
      <c r="L20" s="97">
        <v>31711</v>
      </c>
      <c r="M20" s="97">
        <v>3171</v>
      </c>
      <c r="N20" s="97">
        <v>34882</v>
      </c>
      <c r="O20" s="76" t="s">
        <v>123</v>
      </c>
      <c r="P20" s="77" t="s">
        <v>124</v>
      </c>
      <c r="Q20" s="78">
        <f t="shared" si="8"/>
        <v>240</v>
      </c>
      <c r="R20" s="79">
        <v>46104</v>
      </c>
      <c r="S20" s="79">
        <f t="shared" si="1"/>
        <v>46343</v>
      </c>
      <c r="T20" s="80">
        <v>30000</v>
      </c>
      <c r="U20" s="80">
        <f t="shared" si="2"/>
        <v>3000</v>
      </c>
      <c r="V20" s="80">
        <f t="shared" si="3"/>
        <v>33000</v>
      </c>
      <c r="W20" s="78"/>
      <c r="X20" s="79">
        <f t="shared" si="4"/>
        <v>46104</v>
      </c>
      <c r="Y20" s="79" t="str">
        <f t="shared" si="5"/>
        <v/>
      </c>
      <c r="Z20" s="80"/>
      <c r="AA20" s="80">
        <f t="shared" si="6"/>
        <v>0</v>
      </c>
      <c r="AB20" s="80">
        <f t="shared" si="7"/>
        <v>0</v>
      </c>
      <c r="AC20" s="80">
        <v>1237.5</v>
      </c>
      <c r="AD20" s="80">
        <v>1237.5</v>
      </c>
      <c r="AE20" s="80"/>
      <c r="AF20" s="80">
        <v>4125</v>
      </c>
      <c r="AG20" s="80">
        <v>4125</v>
      </c>
      <c r="AH20" s="80"/>
      <c r="AI20" s="80">
        <v>4262.5</v>
      </c>
      <c r="AJ20" s="80">
        <v>4262.5</v>
      </c>
      <c r="AK20" s="80"/>
      <c r="AL20" s="80">
        <v>4125</v>
      </c>
      <c r="AM20" s="80">
        <v>4125</v>
      </c>
      <c r="AN20" s="80"/>
      <c r="AO20" s="80">
        <v>4262.5</v>
      </c>
      <c r="AP20" s="80">
        <v>4262.5</v>
      </c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  <c r="BF20" s="80"/>
    </row>
    <row r="21" spans="1:58" ht="40.049999999999997" customHeight="1" x14ac:dyDescent="0.25">
      <c r="A21" s="91">
        <v>20</v>
      </c>
      <c r="B21" s="92">
        <v>48</v>
      </c>
      <c r="C21" s="93" t="s">
        <v>41</v>
      </c>
      <c r="D21" s="94" t="s">
        <v>83</v>
      </c>
      <c r="E21" s="94" t="s">
        <v>120</v>
      </c>
      <c r="F21" s="93" t="s">
        <v>125</v>
      </c>
      <c r="G21" s="94" t="s">
        <v>126</v>
      </c>
      <c r="H21" s="95">
        <v>6.9889999999999999</v>
      </c>
      <c r="I21" s="93" t="s">
        <v>46</v>
      </c>
      <c r="J21" s="96">
        <v>735</v>
      </c>
      <c r="K21" s="93">
        <v>240</v>
      </c>
      <c r="L21" s="97">
        <v>41095</v>
      </c>
      <c r="M21" s="97">
        <v>4110</v>
      </c>
      <c r="N21" s="97">
        <v>45205</v>
      </c>
      <c r="O21" s="77" t="s">
        <v>60</v>
      </c>
      <c r="P21" s="77"/>
      <c r="Q21" s="78">
        <f t="shared" si="8"/>
        <v>240</v>
      </c>
      <c r="R21" s="79"/>
      <c r="S21" s="79">
        <f t="shared" si="1"/>
        <v>239</v>
      </c>
      <c r="T21" s="80"/>
      <c r="U21" s="80">
        <f t="shared" si="2"/>
        <v>0</v>
      </c>
      <c r="V21" s="80">
        <f t="shared" si="3"/>
        <v>0</v>
      </c>
      <c r="W21" s="78"/>
      <c r="X21" s="79">
        <f t="shared" si="4"/>
        <v>0</v>
      </c>
      <c r="Y21" s="79" t="str">
        <f t="shared" si="5"/>
        <v/>
      </c>
      <c r="Z21" s="80"/>
      <c r="AA21" s="80">
        <f t="shared" si="6"/>
        <v>0</v>
      </c>
      <c r="AB21" s="80">
        <f t="shared" si="7"/>
        <v>0</v>
      </c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0"/>
      <c r="BF21" s="80"/>
    </row>
    <row r="22" spans="1:58" ht="40.049999999999997" customHeight="1" thickBot="1" x14ac:dyDescent="0.3">
      <c r="A22" s="148">
        <v>21</v>
      </c>
      <c r="B22" s="149">
        <v>48</v>
      </c>
      <c r="C22" s="150" t="s">
        <v>41</v>
      </c>
      <c r="D22" s="151" t="s">
        <v>83</v>
      </c>
      <c r="E22" s="151" t="s">
        <v>120</v>
      </c>
      <c r="F22" s="150" t="s">
        <v>127</v>
      </c>
      <c r="G22" s="151" t="s">
        <v>128</v>
      </c>
      <c r="H22" s="152">
        <v>2.984</v>
      </c>
      <c r="I22" s="150" t="s">
        <v>46</v>
      </c>
      <c r="J22" s="153">
        <v>735</v>
      </c>
      <c r="K22" s="150">
        <v>266</v>
      </c>
      <c r="L22" s="154">
        <v>19447</v>
      </c>
      <c r="M22" s="154">
        <v>1945</v>
      </c>
      <c r="N22" s="154">
        <v>21392</v>
      </c>
      <c r="O22" s="137" t="s">
        <v>60</v>
      </c>
      <c r="P22" s="137"/>
      <c r="Q22" s="138">
        <f t="shared" si="8"/>
        <v>266</v>
      </c>
      <c r="R22" s="139"/>
      <c r="S22" s="139">
        <f t="shared" si="1"/>
        <v>265</v>
      </c>
      <c r="T22" s="140"/>
      <c r="U22" s="140">
        <f t="shared" si="2"/>
        <v>0</v>
      </c>
      <c r="V22" s="140">
        <f t="shared" si="3"/>
        <v>0</v>
      </c>
      <c r="W22" s="138"/>
      <c r="X22" s="139">
        <f t="shared" si="4"/>
        <v>0</v>
      </c>
      <c r="Y22" s="139" t="str">
        <f t="shared" si="5"/>
        <v/>
      </c>
      <c r="Z22" s="140"/>
      <c r="AA22" s="140">
        <f t="shared" si="6"/>
        <v>0</v>
      </c>
      <c r="AB22" s="140">
        <f t="shared" si="7"/>
        <v>0</v>
      </c>
      <c r="AC22" s="140"/>
      <c r="AD22" s="140"/>
      <c r="AE22" s="140"/>
      <c r="AF22" s="140"/>
      <c r="AG22" s="140"/>
      <c r="AH22" s="140"/>
      <c r="AI22" s="140"/>
      <c r="AJ22" s="140"/>
      <c r="AK22" s="140"/>
      <c r="AL22" s="140"/>
      <c r="AM22" s="140"/>
      <c r="AN22" s="140"/>
      <c r="AO22" s="140"/>
      <c r="AP22" s="140"/>
      <c r="AQ22" s="140"/>
      <c r="AR22" s="140"/>
      <c r="AS22" s="140"/>
      <c r="AT22" s="140"/>
      <c r="AU22" s="140"/>
      <c r="AV22" s="140"/>
      <c r="AW22" s="140"/>
      <c r="AX22" s="140"/>
      <c r="AY22" s="140"/>
      <c r="AZ22" s="140"/>
      <c r="BA22" s="140"/>
      <c r="BB22" s="140"/>
      <c r="BC22" s="140"/>
      <c r="BD22" s="140"/>
      <c r="BE22" s="140"/>
      <c r="BF22" s="140"/>
    </row>
    <row r="23" spans="1:58" ht="40.049999999999997" customHeight="1" thickTop="1" x14ac:dyDescent="0.25">
      <c r="A23" s="141">
        <v>22</v>
      </c>
      <c r="B23" s="142">
        <v>51</v>
      </c>
      <c r="C23" s="143" t="s">
        <v>129</v>
      </c>
      <c r="D23" s="144" t="s">
        <v>130</v>
      </c>
      <c r="E23" s="144" t="s">
        <v>131</v>
      </c>
      <c r="F23" s="143" t="s">
        <v>132</v>
      </c>
      <c r="G23" s="144" t="s">
        <v>133</v>
      </c>
      <c r="H23" s="145">
        <v>2.0310000000000001</v>
      </c>
      <c r="I23" s="143" t="s">
        <v>46</v>
      </c>
      <c r="J23" s="146">
        <v>735</v>
      </c>
      <c r="K23" s="143">
        <v>240</v>
      </c>
      <c r="L23" s="147">
        <v>11942</v>
      </c>
      <c r="M23" s="147">
        <v>1194</v>
      </c>
      <c r="N23" s="147">
        <v>13136</v>
      </c>
      <c r="O23" s="158" t="s">
        <v>134</v>
      </c>
      <c r="P23" s="126" t="s">
        <v>135</v>
      </c>
      <c r="Q23" s="127">
        <f t="shared" si="8"/>
        <v>240</v>
      </c>
      <c r="R23" s="128">
        <v>46146</v>
      </c>
      <c r="S23" s="128">
        <f t="shared" si="1"/>
        <v>46385</v>
      </c>
      <c r="T23" s="129">
        <v>11942</v>
      </c>
      <c r="U23" s="129">
        <f t="shared" si="2"/>
        <v>1194.2</v>
      </c>
      <c r="V23" s="129">
        <f t="shared" si="3"/>
        <v>13136.2</v>
      </c>
      <c r="W23" s="127"/>
      <c r="X23" s="128">
        <f t="shared" si="4"/>
        <v>46146</v>
      </c>
      <c r="Y23" s="128" t="str">
        <f t="shared" si="5"/>
        <v/>
      </c>
      <c r="Z23" s="129"/>
      <c r="AA23" s="129">
        <f t="shared" si="6"/>
        <v>0</v>
      </c>
      <c r="AB23" s="129">
        <f t="shared" si="7"/>
        <v>0</v>
      </c>
      <c r="AC23" s="129"/>
      <c r="AD23" s="129"/>
      <c r="AE23" s="129"/>
      <c r="AF23" s="129"/>
      <c r="AG23" s="129"/>
      <c r="AH23" s="129"/>
      <c r="AI23" s="129">
        <v>1532.55</v>
      </c>
      <c r="AJ23" s="129">
        <v>1532.55</v>
      </c>
      <c r="AK23" s="129"/>
      <c r="AL23" s="129">
        <v>1642.03</v>
      </c>
      <c r="AM23" s="129">
        <v>1642.03</v>
      </c>
      <c r="AN23" s="129"/>
      <c r="AO23" s="129">
        <v>1696.76</v>
      </c>
      <c r="AP23" s="129">
        <v>1696.76</v>
      </c>
      <c r="AQ23" s="129"/>
      <c r="AR23" s="129"/>
      <c r="AS23" s="129"/>
      <c r="AT23" s="129">
        <v>14811</v>
      </c>
      <c r="AU23" s="129"/>
      <c r="AV23" s="129"/>
      <c r="AW23" s="129"/>
      <c r="AX23" s="129"/>
      <c r="AY23" s="129"/>
      <c r="AZ23" s="129"/>
      <c r="BA23" s="129"/>
      <c r="BB23" s="129"/>
      <c r="BC23" s="129"/>
      <c r="BD23" s="129"/>
      <c r="BE23" s="129"/>
      <c r="BF23" s="129"/>
    </row>
    <row r="24" spans="1:58" ht="40.049999999999997" customHeight="1" x14ac:dyDescent="0.25">
      <c r="A24" s="98">
        <v>23</v>
      </c>
      <c r="B24" s="99">
        <v>51</v>
      </c>
      <c r="C24" s="100" t="s">
        <v>129</v>
      </c>
      <c r="D24" s="101" t="s">
        <v>130</v>
      </c>
      <c r="E24" s="101" t="s">
        <v>142</v>
      </c>
      <c r="F24" s="100" t="s">
        <v>143</v>
      </c>
      <c r="G24" s="101" t="s">
        <v>144</v>
      </c>
      <c r="H24" s="102">
        <v>5.8419999999999996</v>
      </c>
      <c r="I24" s="100" t="s">
        <v>46</v>
      </c>
      <c r="J24" s="103">
        <v>735</v>
      </c>
      <c r="K24" s="100">
        <v>240</v>
      </c>
      <c r="L24" s="104">
        <v>34351</v>
      </c>
      <c r="M24" s="104">
        <v>3435</v>
      </c>
      <c r="N24" s="104">
        <v>37786</v>
      </c>
      <c r="O24" s="76" t="s">
        <v>145</v>
      </c>
      <c r="P24" s="77" t="s">
        <v>135</v>
      </c>
      <c r="Q24" s="78">
        <f t="shared" si="8"/>
        <v>240</v>
      </c>
      <c r="R24" s="79">
        <v>46146</v>
      </c>
      <c r="S24" s="79">
        <f t="shared" si="1"/>
        <v>46385</v>
      </c>
      <c r="T24" s="80">
        <v>34351</v>
      </c>
      <c r="U24" s="80">
        <f t="shared" si="2"/>
        <v>3435.1</v>
      </c>
      <c r="V24" s="80">
        <f t="shared" si="3"/>
        <v>37786.1</v>
      </c>
      <c r="W24" s="78"/>
      <c r="X24" s="79">
        <f t="shared" si="4"/>
        <v>46146</v>
      </c>
      <c r="Y24" s="79" t="str">
        <f t="shared" si="5"/>
        <v/>
      </c>
      <c r="Z24" s="80"/>
      <c r="AA24" s="80">
        <f t="shared" si="6"/>
        <v>0</v>
      </c>
      <c r="AB24" s="80">
        <f t="shared" si="7"/>
        <v>0</v>
      </c>
      <c r="AC24" s="80"/>
      <c r="AD24" s="80"/>
      <c r="AE24" s="80"/>
      <c r="AF24" s="80"/>
      <c r="AG24" s="80"/>
      <c r="AH24" s="80"/>
      <c r="AI24" s="80">
        <v>4408.38</v>
      </c>
      <c r="AJ24" s="80">
        <v>4408.38</v>
      </c>
      <c r="AK24" s="80"/>
      <c r="AL24" s="80">
        <v>4723.2700000000004</v>
      </c>
      <c r="AM24" s="80">
        <v>4723.2700000000004</v>
      </c>
      <c r="AN24" s="80"/>
      <c r="AO24" s="80">
        <v>4880.7</v>
      </c>
      <c r="AP24" s="80">
        <v>4880.7</v>
      </c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0"/>
      <c r="BF24" s="80"/>
    </row>
    <row r="25" spans="1:58" ht="40.049999999999997" customHeight="1" x14ac:dyDescent="0.25">
      <c r="A25" s="98">
        <v>24</v>
      </c>
      <c r="B25" s="99">
        <v>51</v>
      </c>
      <c r="C25" s="100" t="s">
        <v>129</v>
      </c>
      <c r="D25" s="101" t="s">
        <v>130</v>
      </c>
      <c r="E25" s="101" t="s">
        <v>146</v>
      </c>
      <c r="F25" s="100" t="s">
        <v>147</v>
      </c>
      <c r="G25" s="101" t="s">
        <v>148</v>
      </c>
      <c r="H25" s="102">
        <v>26.9</v>
      </c>
      <c r="I25" s="100" t="s">
        <v>46</v>
      </c>
      <c r="J25" s="103">
        <v>735</v>
      </c>
      <c r="K25" s="100">
        <v>240</v>
      </c>
      <c r="L25" s="104">
        <v>158172</v>
      </c>
      <c r="M25" s="104">
        <v>15817</v>
      </c>
      <c r="N25" s="104">
        <v>173989</v>
      </c>
      <c r="O25" s="77" t="s">
        <v>149</v>
      </c>
      <c r="P25" s="77" t="s">
        <v>150</v>
      </c>
      <c r="Q25" s="78">
        <f t="shared" si="8"/>
        <v>240</v>
      </c>
      <c r="R25" s="79">
        <v>46223</v>
      </c>
      <c r="S25" s="79">
        <f t="shared" si="1"/>
        <v>46462</v>
      </c>
      <c r="T25" s="80">
        <v>118360</v>
      </c>
      <c r="U25" s="80">
        <f t="shared" si="2"/>
        <v>11836</v>
      </c>
      <c r="V25" s="80">
        <f t="shared" si="3"/>
        <v>130196</v>
      </c>
      <c r="W25" s="78">
        <v>163</v>
      </c>
      <c r="X25" s="79">
        <f t="shared" si="4"/>
        <v>46223</v>
      </c>
      <c r="Y25" s="79">
        <f t="shared" si="5"/>
        <v>46385</v>
      </c>
      <c r="Z25" s="80">
        <v>107425.15</v>
      </c>
      <c r="AA25" s="80">
        <f t="shared" si="6"/>
        <v>10742.52</v>
      </c>
      <c r="AB25" s="80">
        <f t="shared" si="7"/>
        <v>118167.67</v>
      </c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>
        <v>8699.4599999999991</v>
      </c>
      <c r="AP25" s="80">
        <v>8699.4599999999991</v>
      </c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0"/>
      <c r="BF25" s="80"/>
    </row>
    <row r="26" spans="1:58" ht="40.049999999999997" customHeight="1" x14ac:dyDescent="0.25">
      <c r="A26" s="98">
        <v>25</v>
      </c>
      <c r="B26" s="99">
        <v>51</v>
      </c>
      <c r="C26" s="100" t="s">
        <v>129</v>
      </c>
      <c r="D26" s="101" t="s">
        <v>130</v>
      </c>
      <c r="E26" s="101" t="s">
        <v>142</v>
      </c>
      <c r="F26" s="100" t="s">
        <v>151</v>
      </c>
      <c r="G26" s="101" t="s">
        <v>152</v>
      </c>
      <c r="H26" s="102">
        <v>7.2</v>
      </c>
      <c r="I26" s="100" t="s">
        <v>46</v>
      </c>
      <c r="J26" s="103">
        <v>735</v>
      </c>
      <c r="K26" s="100">
        <v>240</v>
      </c>
      <c r="L26" s="104">
        <v>42336</v>
      </c>
      <c r="M26" s="104">
        <v>4234</v>
      </c>
      <c r="N26" s="104">
        <v>46570</v>
      </c>
      <c r="O26" s="76" t="s">
        <v>153</v>
      </c>
      <c r="P26" s="77" t="s">
        <v>154</v>
      </c>
      <c r="Q26" s="78">
        <f t="shared" si="8"/>
        <v>240</v>
      </c>
      <c r="R26" s="79">
        <v>46146</v>
      </c>
      <c r="S26" s="79">
        <f t="shared" si="1"/>
        <v>46385</v>
      </c>
      <c r="T26" s="80">
        <v>42336</v>
      </c>
      <c r="U26" s="80">
        <f t="shared" si="2"/>
        <v>4233.6000000000004</v>
      </c>
      <c r="V26" s="80">
        <f t="shared" si="3"/>
        <v>46569.599999999999</v>
      </c>
      <c r="W26" s="78"/>
      <c r="X26" s="79">
        <f t="shared" si="4"/>
        <v>46146</v>
      </c>
      <c r="Y26" s="79" t="str">
        <f t="shared" si="5"/>
        <v/>
      </c>
      <c r="Z26" s="80"/>
      <c r="AA26" s="80">
        <f t="shared" si="6"/>
        <v>0</v>
      </c>
      <c r="AB26" s="80">
        <f t="shared" si="7"/>
        <v>0</v>
      </c>
      <c r="AC26" s="80"/>
      <c r="AD26" s="80"/>
      <c r="AE26" s="80"/>
      <c r="AF26" s="80"/>
      <c r="AG26" s="80"/>
      <c r="AH26" s="80"/>
      <c r="AI26" s="80">
        <v>5433.12</v>
      </c>
      <c r="AJ26" s="80">
        <v>5433.12</v>
      </c>
      <c r="AK26" s="80"/>
      <c r="AL26" s="80">
        <v>5821.2</v>
      </c>
      <c r="AM26" s="80">
        <v>5821.2</v>
      </c>
      <c r="AN26" s="80"/>
      <c r="AO26" s="80">
        <v>6015.24</v>
      </c>
      <c r="AP26" s="80">
        <v>6015.24</v>
      </c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</row>
    <row r="27" spans="1:58" ht="40.049999999999997" customHeight="1" thickBot="1" x14ac:dyDescent="0.3">
      <c r="A27" s="130">
        <v>26</v>
      </c>
      <c r="B27" s="131">
        <v>51</v>
      </c>
      <c r="C27" s="132" t="s">
        <v>129</v>
      </c>
      <c r="D27" s="133" t="s">
        <v>130</v>
      </c>
      <c r="E27" s="133" t="s">
        <v>130</v>
      </c>
      <c r="F27" s="132" t="s">
        <v>156</v>
      </c>
      <c r="G27" s="133" t="s">
        <v>157</v>
      </c>
      <c r="H27" s="134">
        <v>6.5170000000000003</v>
      </c>
      <c r="I27" s="132" t="s">
        <v>46</v>
      </c>
      <c r="J27" s="135">
        <v>735</v>
      </c>
      <c r="K27" s="132">
        <v>240</v>
      </c>
      <c r="L27" s="136">
        <v>38320</v>
      </c>
      <c r="M27" s="136">
        <v>3832</v>
      </c>
      <c r="N27" s="136">
        <v>42152</v>
      </c>
      <c r="O27" s="159" t="s">
        <v>158</v>
      </c>
      <c r="P27" s="137" t="s">
        <v>154</v>
      </c>
      <c r="Q27" s="138">
        <f t="shared" si="8"/>
        <v>240</v>
      </c>
      <c r="R27" s="139">
        <v>46146</v>
      </c>
      <c r="S27" s="139">
        <f t="shared" si="1"/>
        <v>46385</v>
      </c>
      <c r="T27" s="140">
        <v>38320</v>
      </c>
      <c r="U27" s="140">
        <f t="shared" si="2"/>
        <v>3832</v>
      </c>
      <c r="V27" s="140">
        <f t="shared" si="3"/>
        <v>42152</v>
      </c>
      <c r="W27" s="138"/>
      <c r="X27" s="139">
        <f t="shared" si="4"/>
        <v>46146</v>
      </c>
      <c r="Y27" s="139" t="str">
        <f t="shared" si="5"/>
        <v/>
      </c>
      <c r="Z27" s="140"/>
      <c r="AA27" s="140">
        <f t="shared" si="6"/>
        <v>0</v>
      </c>
      <c r="AB27" s="140">
        <f t="shared" si="7"/>
        <v>0</v>
      </c>
      <c r="AC27" s="140"/>
      <c r="AD27" s="140"/>
      <c r="AE27" s="140"/>
      <c r="AF27" s="140"/>
      <c r="AG27" s="140"/>
      <c r="AH27" s="140"/>
      <c r="AI27" s="140">
        <v>4917.74</v>
      </c>
      <c r="AJ27" s="140">
        <v>4917.74</v>
      </c>
      <c r="AK27" s="140"/>
      <c r="AL27" s="140">
        <v>5269</v>
      </c>
      <c r="AM27" s="140">
        <v>5269</v>
      </c>
      <c r="AN27" s="140"/>
      <c r="AO27" s="140">
        <v>5444.64</v>
      </c>
      <c r="AP27" s="140">
        <v>5444.64</v>
      </c>
      <c r="AQ27" s="140"/>
      <c r="AR27" s="140"/>
      <c r="AS27" s="140"/>
      <c r="AT27" s="140"/>
      <c r="AU27" s="140"/>
      <c r="AV27" s="140"/>
      <c r="AW27" s="140"/>
      <c r="AX27" s="140"/>
      <c r="AY27" s="140"/>
      <c r="AZ27" s="140"/>
      <c r="BA27" s="140"/>
      <c r="BB27" s="140"/>
      <c r="BC27" s="140"/>
      <c r="BD27" s="140"/>
      <c r="BE27" s="140"/>
      <c r="BF27" s="140"/>
    </row>
    <row r="28" spans="1:58" ht="40.049999999999997" customHeight="1" thickTop="1" x14ac:dyDescent="0.25">
      <c r="A28" s="119">
        <v>27</v>
      </c>
      <c r="B28" s="120">
        <v>52</v>
      </c>
      <c r="C28" s="121" t="s">
        <v>129</v>
      </c>
      <c r="D28" s="122" t="s">
        <v>159</v>
      </c>
      <c r="E28" s="122" t="s">
        <v>160</v>
      </c>
      <c r="F28" s="121" t="s">
        <v>161</v>
      </c>
      <c r="G28" s="122" t="s">
        <v>162</v>
      </c>
      <c r="H28" s="123">
        <v>3.5409999999999999</v>
      </c>
      <c r="I28" s="121" t="s">
        <v>46</v>
      </c>
      <c r="J28" s="124">
        <v>735</v>
      </c>
      <c r="K28" s="121">
        <v>250</v>
      </c>
      <c r="L28" s="125">
        <v>21688</v>
      </c>
      <c r="M28" s="125">
        <v>2170</v>
      </c>
      <c r="N28" s="125">
        <v>23858</v>
      </c>
      <c r="O28" s="158" t="s">
        <v>163</v>
      </c>
      <c r="P28" s="126" t="s">
        <v>72</v>
      </c>
      <c r="Q28" s="127">
        <f t="shared" si="8"/>
        <v>250</v>
      </c>
      <c r="R28" s="128">
        <v>46099</v>
      </c>
      <c r="S28" s="128">
        <f t="shared" si="1"/>
        <v>46348</v>
      </c>
      <c r="T28" s="129">
        <v>21688</v>
      </c>
      <c r="U28" s="129">
        <f t="shared" si="2"/>
        <v>2168.8000000000002</v>
      </c>
      <c r="V28" s="129">
        <f t="shared" si="3"/>
        <v>23856.799999999999</v>
      </c>
      <c r="W28" s="127"/>
      <c r="X28" s="128">
        <f t="shared" si="4"/>
        <v>46099</v>
      </c>
      <c r="Y28" s="128" t="str">
        <f t="shared" si="5"/>
        <v/>
      </c>
      <c r="Z28" s="129"/>
      <c r="AA28" s="129">
        <f t="shared" si="6"/>
        <v>0</v>
      </c>
      <c r="AB28" s="129">
        <f t="shared" si="7"/>
        <v>0</v>
      </c>
      <c r="AC28" s="129">
        <v>1335.98</v>
      </c>
      <c r="AD28" s="129">
        <v>1335.98</v>
      </c>
      <c r="AE28" s="129"/>
      <c r="AF28" s="129">
        <v>2862.82</v>
      </c>
      <c r="AG28" s="129">
        <v>2862.82</v>
      </c>
      <c r="AH28" s="129"/>
      <c r="AI28" s="129">
        <v>2958.24</v>
      </c>
      <c r="AJ28" s="129">
        <v>2958.24</v>
      </c>
      <c r="AK28" s="129"/>
      <c r="AL28" s="129">
        <v>2862.82</v>
      </c>
      <c r="AM28" s="129">
        <v>2862.82</v>
      </c>
      <c r="AN28" s="129">
        <v>42383</v>
      </c>
      <c r="AO28" s="129">
        <v>2958.24</v>
      </c>
      <c r="AP28" s="129">
        <v>2958.24</v>
      </c>
      <c r="AQ28" s="129">
        <v>58758</v>
      </c>
      <c r="AR28" s="129">
        <v>2958.24</v>
      </c>
      <c r="AS28" s="129">
        <v>2958.24</v>
      </c>
      <c r="AT28" s="129">
        <v>24812</v>
      </c>
      <c r="AU28" s="129">
        <v>2862.82</v>
      </c>
      <c r="AV28" s="129">
        <v>2862.82</v>
      </c>
      <c r="AW28" s="129">
        <v>50649</v>
      </c>
      <c r="AX28" s="129"/>
      <c r="AY28" s="129"/>
      <c r="AZ28" s="129"/>
      <c r="BA28" s="129"/>
      <c r="BB28" s="129"/>
      <c r="BC28" s="129"/>
      <c r="BD28" s="129"/>
      <c r="BE28" s="129"/>
      <c r="BF28" s="129"/>
    </row>
    <row r="29" spans="1:58" ht="40.049999999999997" customHeight="1" x14ac:dyDescent="0.25">
      <c r="A29" s="91">
        <v>28</v>
      </c>
      <c r="B29" s="92">
        <v>52</v>
      </c>
      <c r="C29" s="93" t="s">
        <v>129</v>
      </c>
      <c r="D29" s="94" t="s">
        <v>159</v>
      </c>
      <c r="E29" s="94" t="s">
        <v>160</v>
      </c>
      <c r="F29" s="93" t="s">
        <v>168</v>
      </c>
      <c r="G29" s="94" t="s">
        <v>169</v>
      </c>
      <c r="H29" s="95">
        <v>2.984</v>
      </c>
      <c r="I29" s="93" t="s">
        <v>46</v>
      </c>
      <c r="J29" s="96">
        <v>735</v>
      </c>
      <c r="K29" s="93">
        <v>263</v>
      </c>
      <c r="L29" s="97">
        <v>19227</v>
      </c>
      <c r="M29" s="97">
        <v>1924</v>
      </c>
      <c r="N29" s="97">
        <v>21151</v>
      </c>
      <c r="O29" s="76" t="s">
        <v>170</v>
      </c>
      <c r="P29" s="77" t="s">
        <v>171</v>
      </c>
      <c r="Q29" s="78">
        <f t="shared" si="8"/>
        <v>263</v>
      </c>
      <c r="R29" s="79">
        <v>46099</v>
      </c>
      <c r="S29" s="79">
        <f t="shared" si="1"/>
        <v>46361</v>
      </c>
      <c r="T29" s="80">
        <v>19227</v>
      </c>
      <c r="U29" s="80">
        <f t="shared" si="2"/>
        <v>1922.7</v>
      </c>
      <c r="V29" s="80">
        <f t="shared" si="3"/>
        <v>21149.7</v>
      </c>
      <c r="W29" s="78"/>
      <c r="X29" s="79">
        <f t="shared" si="4"/>
        <v>46099</v>
      </c>
      <c r="Y29" s="79" t="str">
        <f t="shared" si="5"/>
        <v/>
      </c>
      <c r="Z29" s="80"/>
      <c r="AA29" s="80">
        <f t="shared" si="6"/>
        <v>0</v>
      </c>
      <c r="AB29" s="80">
        <f t="shared" si="7"/>
        <v>0</v>
      </c>
      <c r="AC29" s="80">
        <v>1125.8399999999999</v>
      </c>
      <c r="AD29" s="80">
        <v>1125.8399999999999</v>
      </c>
      <c r="AE29" s="80"/>
      <c r="AF29" s="80">
        <v>2412.5100000000002</v>
      </c>
      <c r="AG29" s="80">
        <v>2412.5100000000002</v>
      </c>
      <c r="AH29" s="80"/>
      <c r="AI29" s="80">
        <v>2492.9299999999998</v>
      </c>
      <c r="AJ29" s="80">
        <v>2492.9299999999998</v>
      </c>
      <c r="AK29" s="80"/>
      <c r="AL29" s="80">
        <v>2412.5100000000002</v>
      </c>
      <c r="AM29" s="80">
        <v>2412.5100000000002</v>
      </c>
      <c r="AN29" s="80"/>
      <c r="AO29" s="80">
        <v>2492.9299999999998</v>
      </c>
      <c r="AP29" s="80">
        <v>2492.9299999999998</v>
      </c>
      <c r="AQ29" s="80"/>
      <c r="AR29" s="80">
        <v>2492.9299999999998</v>
      </c>
      <c r="AS29" s="80">
        <v>2492.9299999999998</v>
      </c>
      <c r="AT29" s="80"/>
      <c r="AU29" s="80">
        <v>2412.5100000000002</v>
      </c>
      <c r="AV29" s="80">
        <v>2412.5100000000002</v>
      </c>
      <c r="AW29" s="80"/>
      <c r="AX29" s="80"/>
      <c r="AY29" s="80"/>
      <c r="AZ29" s="80"/>
      <c r="BA29" s="80"/>
      <c r="BB29" s="80"/>
      <c r="BC29" s="80"/>
      <c r="BD29" s="80"/>
      <c r="BE29" s="80"/>
      <c r="BF29" s="80"/>
    </row>
    <row r="30" spans="1:58" ht="40.049999999999997" customHeight="1" x14ac:dyDescent="0.25">
      <c r="A30" s="91">
        <v>29</v>
      </c>
      <c r="B30" s="92">
        <v>52</v>
      </c>
      <c r="C30" s="93" t="s">
        <v>129</v>
      </c>
      <c r="D30" s="94" t="s">
        <v>159</v>
      </c>
      <c r="E30" s="94" t="s">
        <v>172</v>
      </c>
      <c r="F30" s="93" t="s">
        <v>173</v>
      </c>
      <c r="G30" s="94" t="s">
        <v>174</v>
      </c>
      <c r="H30" s="95">
        <v>8.2029999999999994</v>
      </c>
      <c r="I30" s="93" t="s">
        <v>46</v>
      </c>
      <c r="J30" s="96">
        <v>735</v>
      </c>
      <c r="K30" s="93">
        <v>270</v>
      </c>
      <c r="L30" s="97">
        <v>54262</v>
      </c>
      <c r="M30" s="97">
        <v>5427</v>
      </c>
      <c r="N30" s="97">
        <v>59689</v>
      </c>
      <c r="O30" s="76" t="s">
        <v>175</v>
      </c>
      <c r="P30" s="77" t="s">
        <v>72</v>
      </c>
      <c r="Q30" s="78">
        <f t="shared" si="8"/>
        <v>270</v>
      </c>
      <c r="R30" s="79">
        <v>46167</v>
      </c>
      <c r="S30" s="79">
        <f t="shared" si="1"/>
        <v>46436</v>
      </c>
      <c r="T30" s="80">
        <v>54262</v>
      </c>
      <c r="U30" s="80">
        <f t="shared" si="2"/>
        <v>5426.2</v>
      </c>
      <c r="V30" s="80">
        <f t="shared" si="3"/>
        <v>59688.2</v>
      </c>
      <c r="W30" s="78">
        <v>213</v>
      </c>
      <c r="X30" s="79">
        <f t="shared" si="4"/>
        <v>46167</v>
      </c>
      <c r="Y30" s="79">
        <f t="shared" si="5"/>
        <v>46379</v>
      </c>
      <c r="Z30" s="80">
        <v>42806.69</v>
      </c>
      <c r="AA30" s="80">
        <f t="shared" si="6"/>
        <v>4280.67</v>
      </c>
      <c r="AB30" s="80">
        <f t="shared" si="7"/>
        <v>47087.360000000001</v>
      </c>
      <c r="AC30" s="80"/>
      <c r="AD30" s="80"/>
      <c r="AE30" s="80"/>
      <c r="AF30" s="80"/>
      <c r="AG30" s="80"/>
      <c r="AH30" s="80"/>
      <c r="AI30" s="80">
        <v>1547.49</v>
      </c>
      <c r="AJ30" s="80">
        <v>1547.49</v>
      </c>
      <c r="AK30" s="80"/>
      <c r="AL30" s="80">
        <v>6632.13</v>
      </c>
      <c r="AM30" s="80">
        <v>6632.13</v>
      </c>
      <c r="AN30" s="80"/>
      <c r="AO30" s="80">
        <v>6853.2</v>
      </c>
      <c r="AP30" s="80">
        <v>6853.2</v>
      </c>
      <c r="AQ30" s="80"/>
      <c r="AR30" s="80"/>
      <c r="AS30" s="80"/>
      <c r="AT30" s="80"/>
      <c r="AU30" s="80">
        <v>6632.13</v>
      </c>
      <c r="AV30" s="80">
        <v>6632.13</v>
      </c>
      <c r="AW30" s="80"/>
      <c r="AX30" s="80"/>
      <c r="AY30" s="80"/>
      <c r="AZ30" s="80"/>
      <c r="BA30" s="80"/>
      <c r="BB30" s="80"/>
      <c r="BC30" s="80"/>
      <c r="BD30" s="80"/>
      <c r="BE30" s="80"/>
      <c r="BF30" s="80"/>
    </row>
    <row r="31" spans="1:58" ht="40.049999999999997" customHeight="1" x14ac:dyDescent="0.25">
      <c r="A31" s="91">
        <v>30</v>
      </c>
      <c r="B31" s="92">
        <v>52</v>
      </c>
      <c r="C31" s="93" t="s">
        <v>129</v>
      </c>
      <c r="D31" s="94" t="s">
        <v>159</v>
      </c>
      <c r="E31" s="94" t="s">
        <v>176</v>
      </c>
      <c r="F31" s="93" t="s">
        <v>177</v>
      </c>
      <c r="G31" s="94" t="s">
        <v>178</v>
      </c>
      <c r="H31" s="95">
        <v>6.742</v>
      </c>
      <c r="I31" s="93" t="s">
        <v>46</v>
      </c>
      <c r="J31" s="96">
        <v>735</v>
      </c>
      <c r="K31" s="93">
        <v>245</v>
      </c>
      <c r="L31" s="97">
        <v>40468</v>
      </c>
      <c r="M31" s="97">
        <v>4048</v>
      </c>
      <c r="N31" s="97">
        <v>44516</v>
      </c>
      <c r="O31" s="76" t="s">
        <v>179</v>
      </c>
      <c r="P31" s="77" t="s">
        <v>72</v>
      </c>
      <c r="Q31" s="78">
        <f t="shared" si="8"/>
        <v>245</v>
      </c>
      <c r="R31" s="79">
        <v>46099</v>
      </c>
      <c r="S31" s="79">
        <f t="shared" si="1"/>
        <v>46343</v>
      </c>
      <c r="T31" s="80">
        <v>40468</v>
      </c>
      <c r="U31" s="80">
        <f t="shared" si="2"/>
        <v>4046.8</v>
      </c>
      <c r="V31" s="80">
        <f t="shared" si="3"/>
        <v>44514.8</v>
      </c>
      <c r="W31" s="78"/>
      <c r="X31" s="79">
        <f t="shared" si="4"/>
        <v>46099</v>
      </c>
      <c r="Y31" s="79" t="str">
        <f t="shared" si="5"/>
        <v/>
      </c>
      <c r="Z31" s="80"/>
      <c r="AA31" s="80">
        <f t="shared" si="6"/>
        <v>0</v>
      </c>
      <c r="AB31" s="80">
        <f t="shared" si="7"/>
        <v>0</v>
      </c>
      <c r="AC31" s="80">
        <v>2543.71</v>
      </c>
      <c r="AD31" s="80">
        <v>2543.71</v>
      </c>
      <c r="AE31" s="80"/>
      <c r="AF31" s="80">
        <v>5450.8</v>
      </c>
      <c r="AG31" s="80">
        <v>5450.8</v>
      </c>
      <c r="AH31" s="80"/>
      <c r="AI31" s="80">
        <v>5632.48</v>
      </c>
      <c r="AJ31" s="80">
        <v>5632.48</v>
      </c>
      <c r="AK31" s="80"/>
      <c r="AL31" s="80">
        <v>5450.8</v>
      </c>
      <c r="AM31" s="80">
        <v>5450.8</v>
      </c>
      <c r="AN31" s="80"/>
      <c r="AO31" s="80">
        <v>5632.48</v>
      </c>
      <c r="AP31" s="80">
        <v>5632.48</v>
      </c>
      <c r="AQ31" s="80"/>
      <c r="AR31" s="80">
        <v>5632.48</v>
      </c>
      <c r="AS31" s="80">
        <v>5632.48</v>
      </c>
      <c r="AT31" s="80"/>
      <c r="AU31" s="80">
        <v>5450.8</v>
      </c>
      <c r="AV31" s="80">
        <v>5450.8</v>
      </c>
      <c r="AW31" s="80"/>
      <c r="AX31" s="80"/>
      <c r="AY31" s="80"/>
      <c r="AZ31" s="80"/>
      <c r="BA31" s="80"/>
      <c r="BB31" s="80"/>
      <c r="BC31" s="80"/>
      <c r="BD31" s="80"/>
      <c r="BE31" s="80"/>
      <c r="BF31" s="80"/>
    </row>
    <row r="32" spans="1:58" ht="40.049999999999997" customHeight="1" x14ac:dyDescent="0.25">
      <c r="A32" s="91">
        <v>31</v>
      </c>
      <c r="B32" s="92">
        <v>52</v>
      </c>
      <c r="C32" s="93" t="s">
        <v>129</v>
      </c>
      <c r="D32" s="94" t="s">
        <v>159</v>
      </c>
      <c r="E32" s="94" t="s">
        <v>160</v>
      </c>
      <c r="F32" s="93" t="s">
        <v>180</v>
      </c>
      <c r="G32" s="94" t="s">
        <v>181</v>
      </c>
      <c r="H32" s="95">
        <v>6.49</v>
      </c>
      <c r="I32" s="93" t="s">
        <v>46</v>
      </c>
      <c r="J32" s="96">
        <v>735</v>
      </c>
      <c r="K32" s="93">
        <v>240</v>
      </c>
      <c r="L32" s="97">
        <v>38161</v>
      </c>
      <c r="M32" s="97">
        <v>3817</v>
      </c>
      <c r="N32" s="97">
        <v>41978</v>
      </c>
      <c r="O32" s="76" t="s">
        <v>182</v>
      </c>
      <c r="P32" s="77" t="s">
        <v>72</v>
      </c>
      <c r="Q32" s="78">
        <f t="shared" si="8"/>
        <v>240</v>
      </c>
      <c r="R32" s="79">
        <v>46099</v>
      </c>
      <c r="S32" s="79">
        <f t="shared" si="1"/>
        <v>46338</v>
      </c>
      <c r="T32" s="80">
        <v>38161</v>
      </c>
      <c r="U32" s="80">
        <f t="shared" si="2"/>
        <v>3816.1</v>
      </c>
      <c r="V32" s="80">
        <f t="shared" si="3"/>
        <v>41977.1</v>
      </c>
      <c r="W32" s="78"/>
      <c r="X32" s="79">
        <f t="shared" si="4"/>
        <v>46099</v>
      </c>
      <c r="Y32" s="79" t="str">
        <f t="shared" si="5"/>
        <v/>
      </c>
      <c r="Z32" s="80"/>
      <c r="AA32" s="80">
        <f t="shared" si="6"/>
        <v>0</v>
      </c>
      <c r="AB32" s="80">
        <f t="shared" si="7"/>
        <v>0</v>
      </c>
      <c r="AC32" s="80">
        <v>2448.67</v>
      </c>
      <c r="AD32" s="80">
        <v>2448.67</v>
      </c>
      <c r="AE32" s="80"/>
      <c r="AF32" s="80">
        <v>5247.14</v>
      </c>
      <c r="AG32" s="80">
        <v>5247.14</v>
      </c>
      <c r="AH32" s="80"/>
      <c r="AI32" s="80">
        <v>5422.04</v>
      </c>
      <c r="AJ32" s="80">
        <v>5422.04</v>
      </c>
      <c r="AK32" s="80"/>
      <c r="AL32" s="80">
        <v>5247.14</v>
      </c>
      <c r="AM32" s="80">
        <v>5247.14</v>
      </c>
      <c r="AN32" s="80"/>
      <c r="AO32" s="80">
        <v>5422.04</v>
      </c>
      <c r="AP32" s="80">
        <v>5422.04</v>
      </c>
      <c r="AQ32" s="80"/>
      <c r="AR32" s="80">
        <v>5422.04</v>
      </c>
      <c r="AS32" s="80">
        <v>5422.04</v>
      </c>
      <c r="AT32" s="80"/>
      <c r="AU32" s="80">
        <v>5247.14</v>
      </c>
      <c r="AV32" s="80">
        <v>5247.14</v>
      </c>
      <c r="AW32" s="80"/>
      <c r="AX32" s="80"/>
      <c r="AY32" s="80"/>
      <c r="AZ32" s="80"/>
      <c r="BA32" s="80"/>
      <c r="BB32" s="80"/>
      <c r="BC32" s="80"/>
      <c r="BD32" s="80"/>
      <c r="BE32" s="80"/>
      <c r="BF32" s="80"/>
    </row>
    <row r="33" spans="1:58" ht="40.049999999999997" customHeight="1" x14ac:dyDescent="0.25">
      <c r="A33" s="91">
        <v>32</v>
      </c>
      <c r="B33" s="92">
        <v>52</v>
      </c>
      <c r="C33" s="93" t="s">
        <v>129</v>
      </c>
      <c r="D33" s="94" t="s">
        <v>159</v>
      </c>
      <c r="E33" s="94" t="s">
        <v>160</v>
      </c>
      <c r="F33" s="93" t="s">
        <v>183</v>
      </c>
      <c r="G33" s="94" t="s">
        <v>184</v>
      </c>
      <c r="H33" s="95">
        <v>6.98</v>
      </c>
      <c r="I33" s="93" t="s">
        <v>46</v>
      </c>
      <c r="J33" s="96">
        <v>735</v>
      </c>
      <c r="K33" s="93">
        <v>240</v>
      </c>
      <c r="L33" s="97">
        <v>41042</v>
      </c>
      <c r="M33" s="97">
        <v>4105</v>
      </c>
      <c r="N33" s="97">
        <v>45147</v>
      </c>
      <c r="O33" s="76" t="s">
        <v>185</v>
      </c>
      <c r="P33" s="77" t="s">
        <v>72</v>
      </c>
      <c r="Q33" s="78">
        <f t="shared" si="8"/>
        <v>240</v>
      </c>
      <c r="R33" s="79">
        <v>46099</v>
      </c>
      <c r="S33" s="79">
        <f t="shared" si="1"/>
        <v>46338</v>
      </c>
      <c r="T33" s="80">
        <v>41042</v>
      </c>
      <c r="U33" s="80">
        <f t="shared" si="2"/>
        <v>4104.2</v>
      </c>
      <c r="V33" s="80">
        <f t="shared" si="3"/>
        <v>45146.2</v>
      </c>
      <c r="W33" s="78"/>
      <c r="X33" s="79">
        <f t="shared" si="4"/>
        <v>46099</v>
      </c>
      <c r="Y33" s="79" t="str">
        <f t="shared" si="5"/>
        <v/>
      </c>
      <c r="Z33" s="80"/>
      <c r="AA33" s="80">
        <f t="shared" si="6"/>
        <v>0</v>
      </c>
      <c r="AB33" s="80">
        <f t="shared" si="7"/>
        <v>0</v>
      </c>
      <c r="AC33" s="80">
        <v>2633.53</v>
      </c>
      <c r="AD33" s="80">
        <v>2633.53</v>
      </c>
      <c r="AE33" s="80"/>
      <c r="AF33" s="80">
        <v>5643.28</v>
      </c>
      <c r="AG33" s="80">
        <v>5643.28</v>
      </c>
      <c r="AH33" s="80"/>
      <c r="AI33" s="80">
        <v>5831.39</v>
      </c>
      <c r="AJ33" s="80">
        <v>5831.39</v>
      </c>
      <c r="AK33" s="80"/>
      <c r="AL33" s="80">
        <v>5643.28</v>
      </c>
      <c r="AM33" s="80">
        <v>5643.28</v>
      </c>
      <c r="AN33" s="80"/>
      <c r="AO33" s="80">
        <v>5831.39</v>
      </c>
      <c r="AP33" s="80">
        <v>5831.39</v>
      </c>
      <c r="AQ33" s="80"/>
      <c r="AR33" s="80">
        <v>5831.39</v>
      </c>
      <c r="AS33" s="80">
        <v>5831.39</v>
      </c>
      <c r="AT33" s="80"/>
      <c r="AU33" s="80">
        <v>5643.28</v>
      </c>
      <c r="AV33" s="80">
        <v>5643.28</v>
      </c>
      <c r="AW33" s="80"/>
      <c r="AX33" s="80"/>
      <c r="AY33" s="80"/>
      <c r="AZ33" s="80"/>
      <c r="BA33" s="80"/>
      <c r="BB33" s="80"/>
      <c r="BC33" s="80"/>
      <c r="BD33" s="80"/>
      <c r="BE33" s="80"/>
      <c r="BF33" s="80"/>
    </row>
    <row r="34" spans="1:58" ht="40.049999999999997" customHeight="1" x14ac:dyDescent="0.25">
      <c r="A34" s="91">
        <v>33</v>
      </c>
      <c r="B34" s="92">
        <v>52</v>
      </c>
      <c r="C34" s="93" t="s">
        <v>129</v>
      </c>
      <c r="D34" s="94" t="s">
        <v>159</v>
      </c>
      <c r="E34" s="94" t="s">
        <v>160</v>
      </c>
      <c r="F34" s="93" t="s">
        <v>161</v>
      </c>
      <c r="G34" s="94" t="s">
        <v>186</v>
      </c>
      <c r="H34" s="95">
        <v>15.173</v>
      </c>
      <c r="I34" s="93" t="s">
        <v>55</v>
      </c>
      <c r="J34" s="96">
        <v>808</v>
      </c>
      <c r="K34" s="93">
        <v>270</v>
      </c>
      <c r="L34" s="97">
        <v>110338</v>
      </c>
      <c r="M34" s="97">
        <v>11034</v>
      </c>
      <c r="N34" s="97">
        <v>121372</v>
      </c>
      <c r="O34" s="76" t="s">
        <v>187</v>
      </c>
      <c r="P34" s="77" t="s">
        <v>72</v>
      </c>
      <c r="Q34" s="78">
        <f t="shared" si="8"/>
        <v>270</v>
      </c>
      <c r="R34" s="79">
        <v>46167</v>
      </c>
      <c r="S34" s="79">
        <f t="shared" si="1"/>
        <v>46436</v>
      </c>
      <c r="T34" s="80">
        <v>110338</v>
      </c>
      <c r="U34" s="80">
        <f t="shared" si="2"/>
        <v>11033.8</v>
      </c>
      <c r="V34" s="80">
        <f t="shared" si="3"/>
        <v>121371.8</v>
      </c>
      <c r="W34" s="78">
        <v>213</v>
      </c>
      <c r="X34" s="79">
        <f t="shared" si="4"/>
        <v>46167</v>
      </c>
      <c r="Y34" s="79">
        <f t="shared" si="5"/>
        <v>46379</v>
      </c>
      <c r="Z34" s="80">
        <v>87044.42</v>
      </c>
      <c r="AA34" s="80">
        <f t="shared" si="6"/>
        <v>8704.44</v>
      </c>
      <c r="AB34" s="80">
        <f t="shared" si="7"/>
        <v>95748.86</v>
      </c>
      <c r="AC34" s="80"/>
      <c r="AD34" s="80"/>
      <c r="AE34" s="80"/>
      <c r="AF34" s="80"/>
      <c r="AG34" s="80"/>
      <c r="AH34" s="80"/>
      <c r="AI34" s="80">
        <v>3146.68</v>
      </c>
      <c r="AJ34" s="80">
        <v>3146.68</v>
      </c>
      <c r="AK34" s="80"/>
      <c r="AL34" s="80">
        <v>13485.76</v>
      </c>
      <c r="AM34" s="80">
        <v>13485.76</v>
      </c>
      <c r="AN34" s="80"/>
      <c r="AO34" s="80">
        <v>13935.28</v>
      </c>
      <c r="AP34" s="80">
        <v>13935.28</v>
      </c>
      <c r="AQ34" s="80"/>
      <c r="AR34" s="80"/>
      <c r="AS34" s="80"/>
      <c r="AT34" s="80"/>
      <c r="AU34" s="80">
        <v>13485.76</v>
      </c>
      <c r="AV34" s="80">
        <v>13485.76</v>
      </c>
      <c r="AW34" s="80"/>
      <c r="AX34" s="80"/>
      <c r="AY34" s="80"/>
      <c r="AZ34" s="80"/>
      <c r="BA34" s="80"/>
      <c r="BB34" s="80"/>
      <c r="BC34" s="80"/>
      <c r="BD34" s="80"/>
      <c r="BE34" s="80"/>
      <c r="BF34" s="80"/>
    </row>
    <row r="35" spans="1:58" ht="40.049999999999997" customHeight="1" x14ac:dyDescent="0.25">
      <c r="A35" s="91">
        <v>34</v>
      </c>
      <c r="B35" s="92">
        <v>52</v>
      </c>
      <c r="C35" s="93" t="s">
        <v>129</v>
      </c>
      <c r="D35" s="94" t="s">
        <v>159</v>
      </c>
      <c r="E35" s="94" t="s">
        <v>188</v>
      </c>
      <c r="F35" s="93" t="s">
        <v>189</v>
      </c>
      <c r="G35" s="94" t="s">
        <v>190</v>
      </c>
      <c r="H35" s="95">
        <v>2.9910000000000001</v>
      </c>
      <c r="I35" s="93" t="s">
        <v>55</v>
      </c>
      <c r="J35" s="96">
        <v>808</v>
      </c>
      <c r="K35" s="93">
        <v>260</v>
      </c>
      <c r="L35" s="97">
        <v>20944</v>
      </c>
      <c r="M35" s="97">
        <v>2094</v>
      </c>
      <c r="N35" s="97">
        <v>23038</v>
      </c>
      <c r="O35" s="76" t="s">
        <v>191</v>
      </c>
      <c r="P35" s="77" t="s">
        <v>171</v>
      </c>
      <c r="Q35" s="78">
        <f t="shared" si="8"/>
        <v>260</v>
      </c>
      <c r="R35" s="79">
        <v>46099</v>
      </c>
      <c r="S35" s="79">
        <f t="shared" si="1"/>
        <v>46358</v>
      </c>
      <c r="T35" s="80">
        <v>20944</v>
      </c>
      <c r="U35" s="80">
        <f t="shared" si="2"/>
        <v>2094.4</v>
      </c>
      <c r="V35" s="80">
        <f t="shared" si="3"/>
        <v>23038.400000000001</v>
      </c>
      <c r="W35" s="78"/>
      <c r="X35" s="79">
        <f t="shared" si="4"/>
        <v>46099</v>
      </c>
      <c r="Y35" s="79" t="str">
        <f t="shared" si="5"/>
        <v/>
      </c>
      <c r="Z35" s="80"/>
      <c r="AA35" s="80">
        <f t="shared" si="6"/>
        <v>0</v>
      </c>
      <c r="AB35" s="80">
        <f t="shared" si="7"/>
        <v>0</v>
      </c>
      <c r="AC35" s="80">
        <v>1240.53</v>
      </c>
      <c r="AD35" s="80">
        <v>1240.53</v>
      </c>
      <c r="AE35" s="80"/>
      <c r="AF35" s="80">
        <v>2658.28</v>
      </c>
      <c r="AG35" s="80">
        <v>2658.28</v>
      </c>
      <c r="AH35" s="80"/>
      <c r="AI35" s="80">
        <v>2746.89</v>
      </c>
      <c r="AJ35" s="80">
        <v>2746.89</v>
      </c>
      <c r="AK35" s="80"/>
      <c r="AL35" s="80">
        <v>2658.28</v>
      </c>
      <c r="AM35" s="80">
        <v>2658.28</v>
      </c>
      <c r="AN35" s="80"/>
      <c r="AO35" s="80">
        <v>2746.89</v>
      </c>
      <c r="AP35" s="80">
        <v>2746.89</v>
      </c>
      <c r="AQ35" s="80"/>
      <c r="AR35" s="80">
        <v>2746.89</v>
      </c>
      <c r="AS35" s="80">
        <v>2746.89</v>
      </c>
      <c r="AT35" s="80"/>
      <c r="AU35" s="80">
        <v>2658.28</v>
      </c>
      <c r="AV35" s="80">
        <v>2658.28</v>
      </c>
      <c r="AW35" s="80"/>
      <c r="AX35" s="80"/>
      <c r="AY35" s="80"/>
      <c r="AZ35" s="80"/>
      <c r="BA35" s="80"/>
      <c r="BB35" s="80"/>
      <c r="BC35" s="80"/>
      <c r="BD35" s="80"/>
      <c r="BE35" s="80"/>
      <c r="BF35" s="80"/>
    </row>
    <row r="36" spans="1:58" ht="40.049999999999997" customHeight="1" x14ac:dyDescent="0.25">
      <c r="A36" s="91">
        <v>35</v>
      </c>
      <c r="B36" s="92">
        <v>52</v>
      </c>
      <c r="C36" s="93" t="s">
        <v>129</v>
      </c>
      <c r="D36" s="94" t="s">
        <v>159</v>
      </c>
      <c r="E36" s="94" t="s">
        <v>188</v>
      </c>
      <c r="F36" s="93" t="s">
        <v>192</v>
      </c>
      <c r="G36" s="94" t="s">
        <v>193</v>
      </c>
      <c r="H36" s="95">
        <v>2.242</v>
      </c>
      <c r="I36" s="93" t="s">
        <v>55</v>
      </c>
      <c r="J36" s="96">
        <v>808</v>
      </c>
      <c r="K36" s="93">
        <v>260</v>
      </c>
      <c r="L36" s="97">
        <v>15699</v>
      </c>
      <c r="M36" s="97">
        <v>1570</v>
      </c>
      <c r="N36" s="97">
        <v>17269</v>
      </c>
      <c r="O36" s="76" t="s">
        <v>194</v>
      </c>
      <c r="P36" s="77" t="s">
        <v>171</v>
      </c>
      <c r="Q36" s="78">
        <f t="shared" si="8"/>
        <v>260</v>
      </c>
      <c r="R36" s="79">
        <v>46099</v>
      </c>
      <c r="S36" s="79">
        <f t="shared" si="1"/>
        <v>46358</v>
      </c>
      <c r="T36" s="80">
        <v>15699</v>
      </c>
      <c r="U36" s="80">
        <f t="shared" si="2"/>
        <v>1569.9</v>
      </c>
      <c r="V36" s="80">
        <f t="shared" si="3"/>
        <v>17268.900000000001</v>
      </c>
      <c r="W36" s="78"/>
      <c r="X36" s="79">
        <f t="shared" si="4"/>
        <v>46099</v>
      </c>
      <c r="Y36" s="79" t="str">
        <f t="shared" si="5"/>
        <v/>
      </c>
      <c r="Z36" s="80"/>
      <c r="AA36" s="80">
        <f t="shared" si="6"/>
        <v>0</v>
      </c>
      <c r="AB36" s="80">
        <f t="shared" si="7"/>
        <v>0</v>
      </c>
      <c r="AC36" s="80">
        <v>929.86</v>
      </c>
      <c r="AD36" s="80">
        <v>929.86</v>
      </c>
      <c r="AE36" s="80"/>
      <c r="AF36" s="80">
        <v>1992.56</v>
      </c>
      <c r="AG36" s="80">
        <v>1992.56</v>
      </c>
      <c r="AH36" s="80"/>
      <c r="AI36" s="80">
        <v>2058.98</v>
      </c>
      <c r="AJ36" s="80">
        <v>2058.98</v>
      </c>
      <c r="AK36" s="80"/>
      <c r="AL36" s="80">
        <v>1992.56</v>
      </c>
      <c r="AM36" s="80">
        <v>1992.56</v>
      </c>
      <c r="AN36" s="80"/>
      <c r="AO36" s="80">
        <v>2058.98</v>
      </c>
      <c r="AP36" s="80">
        <v>2058.98</v>
      </c>
      <c r="AQ36" s="80"/>
      <c r="AR36" s="80">
        <v>2058.98</v>
      </c>
      <c r="AS36" s="80">
        <v>2058.98</v>
      </c>
      <c r="AT36" s="80"/>
      <c r="AU36" s="80">
        <v>1992.56</v>
      </c>
      <c r="AV36" s="80">
        <v>1992.56</v>
      </c>
      <c r="AW36" s="80"/>
      <c r="AX36" s="80"/>
      <c r="AY36" s="80"/>
      <c r="AZ36" s="80"/>
      <c r="BA36" s="80"/>
      <c r="BB36" s="80"/>
      <c r="BC36" s="80"/>
      <c r="BD36" s="80"/>
      <c r="BE36" s="80"/>
      <c r="BF36" s="80"/>
    </row>
    <row r="37" spans="1:58" ht="40.049999999999997" customHeight="1" thickBot="1" x14ac:dyDescent="0.3">
      <c r="A37" s="148">
        <v>36</v>
      </c>
      <c r="B37" s="149">
        <v>52</v>
      </c>
      <c r="C37" s="150" t="s">
        <v>129</v>
      </c>
      <c r="D37" s="151" t="s">
        <v>159</v>
      </c>
      <c r="E37" s="151" t="s">
        <v>188</v>
      </c>
      <c r="F37" s="150" t="s">
        <v>195</v>
      </c>
      <c r="G37" s="151" t="s">
        <v>196</v>
      </c>
      <c r="H37" s="152">
        <v>2.9590000000000001</v>
      </c>
      <c r="I37" s="150" t="s">
        <v>55</v>
      </c>
      <c r="J37" s="153">
        <v>808</v>
      </c>
      <c r="K37" s="150">
        <v>261</v>
      </c>
      <c r="L37" s="154">
        <v>20800</v>
      </c>
      <c r="M37" s="154">
        <v>2080</v>
      </c>
      <c r="N37" s="154">
        <v>22880</v>
      </c>
      <c r="O37" s="159" t="s">
        <v>197</v>
      </c>
      <c r="P37" s="137" t="s">
        <v>171</v>
      </c>
      <c r="Q37" s="138">
        <f t="shared" si="8"/>
        <v>261</v>
      </c>
      <c r="R37" s="139">
        <v>46099</v>
      </c>
      <c r="S37" s="139">
        <f t="shared" si="1"/>
        <v>46359</v>
      </c>
      <c r="T37" s="140">
        <v>20800</v>
      </c>
      <c r="U37" s="140">
        <f t="shared" si="2"/>
        <v>2080</v>
      </c>
      <c r="V37" s="140">
        <f t="shared" si="3"/>
        <v>22880</v>
      </c>
      <c r="W37" s="138"/>
      <c r="X37" s="139">
        <f t="shared" si="4"/>
        <v>46099</v>
      </c>
      <c r="Y37" s="139" t="str">
        <f t="shared" si="5"/>
        <v/>
      </c>
      <c r="Z37" s="140"/>
      <c r="AA37" s="140">
        <f t="shared" si="6"/>
        <v>0</v>
      </c>
      <c r="AB37" s="140">
        <f t="shared" si="7"/>
        <v>0</v>
      </c>
      <c r="AC37" s="140">
        <v>1227.28</v>
      </c>
      <c r="AD37" s="140">
        <v>1227.28</v>
      </c>
      <c r="AE37" s="140"/>
      <c r="AF37" s="140">
        <v>2629.88</v>
      </c>
      <c r="AG37" s="140">
        <v>2629.88</v>
      </c>
      <c r="AH37" s="140"/>
      <c r="AI37" s="140">
        <v>2717.55</v>
      </c>
      <c r="AJ37" s="140">
        <v>2717.55</v>
      </c>
      <c r="AK37" s="140"/>
      <c r="AL37" s="140">
        <v>2629.88</v>
      </c>
      <c r="AM37" s="140">
        <v>2629.88</v>
      </c>
      <c r="AN37" s="140"/>
      <c r="AO37" s="140">
        <v>2717.55</v>
      </c>
      <c r="AP37" s="140">
        <v>2717.55</v>
      </c>
      <c r="AQ37" s="140"/>
      <c r="AR37" s="140">
        <v>2717.55</v>
      </c>
      <c r="AS37" s="140">
        <v>2717.55</v>
      </c>
      <c r="AT37" s="140"/>
      <c r="AU37" s="140">
        <v>2629.88</v>
      </c>
      <c r="AV37" s="140">
        <v>2629.88</v>
      </c>
      <c r="AW37" s="140"/>
      <c r="AX37" s="140"/>
      <c r="AY37" s="140"/>
      <c r="AZ37" s="140"/>
      <c r="BA37" s="140"/>
      <c r="BB37" s="140"/>
      <c r="BC37" s="140"/>
      <c r="BD37" s="140"/>
      <c r="BE37" s="140"/>
      <c r="BF37" s="140"/>
    </row>
    <row r="38" spans="1:58" ht="40.049999999999997" customHeight="1" thickTop="1" x14ac:dyDescent="0.25">
      <c r="A38" s="141">
        <v>37</v>
      </c>
      <c r="B38" s="142">
        <v>204</v>
      </c>
      <c r="C38" s="143" t="s">
        <v>129</v>
      </c>
      <c r="D38" s="144" t="s">
        <v>129</v>
      </c>
      <c r="E38" s="144" t="s">
        <v>198</v>
      </c>
      <c r="F38" s="143" t="s">
        <v>199</v>
      </c>
      <c r="G38" s="144" t="s">
        <v>200</v>
      </c>
      <c r="H38" s="145">
        <v>5.4980000000000002</v>
      </c>
      <c r="I38" s="143" t="s">
        <v>46</v>
      </c>
      <c r="J38" s="146">
        <v>735</v>
      </c>
      <c r="K38" s="143">
        <v>240</v>
      </c>
      <c r="L38" s="147">
        <v>32328</v>
      </c>
      <c r="M38" s="147">
        <v>3233</v>
      </c>
      <c r="N38" s="147">
        <v>35561</v>
      </c>
      <c r="O38" s="158" t="s">
        <v>201</v>
      </c>
      <c r="P38" s="126" t="s">
        <v>202</v>
      </c>
      <c r="Q38" s="127">
        <f t="shared" si="8"/>
        <v>240</v>
      </c>
      <c r="R38" s="128">
        <v>46144</v>
      </c>
      <c r="S38" s="128">
        <f t="shared" si="1"/>
        <v>46383</v>
      </c>
      <c r="T38" s="129">
        <v>30710.34</v>
      </c>
      <c r="U38" s="129">
        <f t="shared" si="2"/>
        <v>3071.03</v>
      </c>
      <c r="V38" s="129">
        <f t="shared" si="3"/>
        <v>33781.370000000003</v>
      </c>
      <c r="W38" s="127"/>
      <c r="X38" s="128">
        <f t="shared" si="4"/>
        <v>46144</v>
      </c>
      <c r="Y38" s="128" t="str">
        <f t="shared" si="5"/>
        <v/>
      </c>
      <c r="Z38" s="129"/>
      <c r="AA38" s="129">
        <f t="shared" si="6"/>
        <v>0</v>
      </c>
      <c r="AB38" s="129">
        <f t="shared" si="7"/>
        <v>0</v>
      </c>
      <c r="AC38" s="129"/>
      <c r="AD38" s="129"/>
      <c r="AE38" s="129"/>
      <c r="AF38" s="129"/>
      <c r="AG38" s="129"/>
      <c r="AH38" s="129"/>
      <c r="AI38" s="129">
        <v>4222.67</v>
      </c>
      <c r="AJ38" s="129">
        <v>4222.67</v>
      </c>
      <c r="AK38" s="129">
        <v>75876</v>
      </c>
      <c r="AL38" s="129">
        <v>4222.67</v>
      </c>
      <c r="AM38" s="129">
        <v>4222.67</v>
      </c>
      <c r="AN38" s="129">
        <v>79414</v>
      </c>
      <c r="AO38" s="129">
        <v>4363.43</v>
      </c>
      <c r="AP38" s="129">
        <v>4363.43</v>
      </c>
      <c r="AQ38" s="129">
        <v>77232</v>
      </c>
      <c r="AR38" s="129">
        <v>4363.43</v>
      </c>
      <c r="AS38" s="129">
        <v>4363.43</v>
      </c>
      <c r="AT38" s="129"/>
      <c r="AU38" s="129">
        <v>4222.67</v>
      </c>
      <c r="AV38" s="129">
        <v>4222.67</v>
      </c>
      <c r="AW38" s="129">
        <v>77665</v>
      </c>
      <c r="AX38" s="129"/>
      <c r="AY38" s="129"/>
      <c r="AZ38" s="129"/>
      <c r="BA38" s="129"/>
      <c r="BB38" s="129"/>
      <c r="BC38" s="129"/>
      <c r="BD38" s="129"/>
      <c r="BE38" s="129"/>
      <c r="BF38" s="129"/>
    </row>
    <row r="39" spans="1:58" ht="40.049999999999997" customHeight="1" x14ac:dyDescent="0.25">
      <c r="A39" s="98">
        <v>38</v>
      </c>
      <c r="B39" s="99">
        <v>204</v>
      </c>
      <c r="C39" s="100" t="s">
        <v>129</v>
      </c>
      <c r="D39" s="101" t="s">
        <v>129</v>
      </c>
      <c r="E39" s="101" t="s">
        <v>198</v>
      </c>
      <c r="F39" s="100" t="s">
        <v>209</v>
      </c>
      <c r="G39" s="101" t="s">
        <v>210</v>
      </c>
      <c r="H39" s="102">
        <v>3.012</v>
      </c>
      <c r="I39" s="100" t="s">
        <v>46</v>
      </c>
      <c r="J39" s="103">
        <v>735</v>
      </c>
      <c r="K39" s="100">
        <v>240</v>
      </c>
      <c r="L39" s="104">
        <v>17711</v>
      </c>
      <c r="M39" s="104">
        <v>1771</v>
      </c>
      <c r="N39" s="104">
        <v>19482</v>
      </c>
      <c r="O39" s="76" t="s">
        <v>201</v>
      </c>
      <c r="P39" s="77" t="s">
        <v>202</v>
      </c>
      <c r="Q39" s="78">
        <f t="shared" si="8"/>
        <v>240</v>
      </c>
      <c r="R39" s="79">
        <v>46144</v>
      </c>
      <c r="S39" s="79">
        <f t="shared" si="1"/>
        <v>46383</v>
      </c>
      <c r="T39" s="80">
        <v>16824.5</v>
      </c>
      <c r="U39" s="80">
        <f t="shared" si="2"/>
        <v>1682.45</v>
      </c>
      <c r="V39" s="80">
        <f t="shared" si="3"/>
        <v>18506.95</v>
      </c>
      <c r="W39" s="78"/>
      <c r="X39" s="79">
        <f t="shared" si="4"/>
        <v>46144</v>
      </c>
      <c r="Y39" s="79" t="str">
        <f t="shared" si="5"/>
        <v/>
      </c>
      <c r="Z39" s="80"/>
      <c r="AA39" s="80">
        <f t="shared" si="6"/>
        <v>0</v>
      </c>
      <c r="AB39" s="80">
        <f t="shared" si="7"/>
        <v>0</v>
      </c>
      <c r="AC39" s="80"/>
      <c r="AD39" s="80"/>
      <c r="AE39" s="80"/>
      <c r="AF39" s="80"/>
      <c r="AG39" s="80"/>
      <c r="AH39" s="80"/>
      <c r="AI39" s="80">
        <v>2313.37</v>
      </c>
      <c r="AJ39" s="80">
        <v>2313.37</v>
      </c>
      <c r="AK39" s="80"/>
      <c r="AL39" s="80">
        <v>2313.37</v>
      </c>
      <c r="AM39" s="80">
        <v>2313.37</v>
      </c>
      <c r="AN39" s="80"/>
      <c r="AO39" s="80">
        <v>2390.48</v>
      </c>
      <c r="AP39" s="80">
        <v>2390.48</v>
      </c>
      <c r="AQ39" s="80"/>
      <c r="AR39" s="80">
        <v>2390.48</v>
      </c>
      <c r="AS39" s="80">
        <v>2390.48</v>
      </c>
      <c r="AT39" s="80"/>
      <c r="AU39" s="80">
        <v>2313.37</v>
      </c>
      <c r="AV39" s="80">
        <v>2313.37</v>
      </c>
      <c r="AW39" s="80"/>
      <c r="AX39" s="80"/>
      <c r="AY39" s="80"/>
      <c r="AZ39" s="80"/>
      <c r="BA39" s="80"/>
      <c r="BB39" s="80"/>
      <c r="BC39" s="80"/>
      <c r="BD39" s="80"/>
      <c r="BE39" s="80"/>
      <c r="BF39" s="80"/>
    </row>
    <row r="40" spans="1:58" ht="40.049999999999997" customHeight="1" x14ac:dyDescent="0.25">
      <c r="A40" s="98">
        <v>39</v>
      </c>
      <c r="B40" s="99">
        <v>204</v>
      </c>
      <c r="C40" s="100" t="s">
        <v>129</v>
      </c>
      <c r="D40" s="101" t="s">
        <v>129</v>
      </c>
      <c r="E40" s="101" t="s">
        <v>198</v>
      </c>
      <c r="F40" s="100" t="s">
        <v>211</v>
      </c>
      <c r="G40" s="101" t="s">
        <v>212</v>
      </c>
      <c r="H40" s="102">
        <v>8.0860000000000003</v>
      </c>
      <c r="I40" s="100" t="s">
        <v>55</v>
      </c>
      <c r="J40" s="103">
        <v>887.5</v>
      </c>
      <c r="K40" s="100">
        <v>240</v>
      </c>
      <c r="L40" s="104">
        <v>57411</v>
      </c>
      <c r="M40" s="104">
        <v>5741</v>
      </c>
      <c r="N40" s="104">
        <v>63152</v>
      </c>
      <c r="O40" s="76" t="s">
        <v>201</v>
      </c>
      <c r="P40" s="77" t="s">
        <v>202</v>
      </c>
      <c r="Q40" s="78">
        <f t="shared" si="8"/>
        <v>240</v>
      </c>
      <c r="R40" s="79">
        <v>46144</v>
      </c>
      <c r="S40" s="79">
        <f t="shared" si="1"/>
        <v>46383</v>
      </c>
      <c r="T40" s="80">
        <v>54530</v>
      </c>
      <c r="U40" s="80">
        <f t="shared" si="2"/>
        <v>5453</v>
      </c>
      <c r="V40" s="80">
        <f t="shared" si="3"/>
        <v>59983</v>
      </c>
      <c r="W40" s="78"/>
      <c r="X40" s="79">
        <f t="shared" si="4"/>
        <v>46144</v>
      </c>
      <c r="Y40" s="79" t="str">
        <f t="shared" si="5"/>
        <v/>
      </c>
      <c r="Z40" s="80"/>
      <c r="AA40" s="80">
        <f t="shared" si="6"/>
        <v>0</v>
      </c>
      <c r="AB40" s="80">
        <f t="shared" si="7"/>
        <v>0</v>
      </c>
      <c r="AC40" s="80"/>
      <c r="AD40" s="80"/>
      <c r="AE40" s="80"/>
      <c r="AF40" s="80"/>
      <c r="AG40" s="80"/>
      <c r="AH40" s="80"/>
      <c r="AI40" s="80">
        <v>7490.62</v>
      </c>
      <c r="AJ40" s="80">
        <v>7490.62</v>
      </c>
      <c r="AK40" s="80"/>
      <c r="AL40" s="80">
        <v>7981.5</v>
      </c>
      <c r="AM40" s="80">
        <v>7981.5</v>
      </c>
      <c r="AN40" s="80"/>
      <c r="AO40" s="80">
        <v>7728.68</v>
      </c>
      <c r="AP40" s="80">
        <v>7728.68</v>
      </c>
      <c r="AQ40" s="80"/>
      <c r="AR40" s="80">
        <v>7565.27</v>
      </c>
      <c r="AS40" s="80">
        <v>7565.27</v>
      </c>
      <c r="AT40" s="80"/>
      <c r="AU40" s="80">
        <v>7872.88</v>
      </c>
      <c r="AV40" s="80">
        <v>7872.88</v>
      </c>
      <c r="AW40" s="80"/>
      <c r="AX40" s="80"/>
      <c r="AY40" s="80"/>
      <c r="AZ40" s="80"/>
      <c r="BA40" s="80"/>
      <c r="BB40" s="80"/>
      <c r="BC40" s="80"/>
      <c r="BD40" s="80"/>
      <c r="BE40" s="80"/>
      <c r="BF40" s="80"/>
    </row>
    <row r="41" spans="1:58" ht="40.049999999999997" customHeight="1" x14ac:dyDescent="0.25">
      <c r="A41" s="98">
        <v>40</v>
      </c>
      <c r="B41" s="99">
        <v>204</v>
      </c>
      <c r="C41" s="100" t="s">
        <v>129</v>
      </c>
      <c r="D41" s="101" t="s">
        <v>129</v>
      </c>
      <c r="E41" s="101" t="s">
        <v>213</v>
      </c>
      <c r="F41" s="100" t="s">
        <v>214</v>
      </c>
      <c r="G41" s="101" t="s">
        <v>215</v>
      </c>
      <c r="H41" s="102">
        <v>12.884</v>
      </c>
      <c r="I41" s="100" t="s">
        <v>55</v>
      </c>
      <c r="J41" s="103">
        <v>887.5</v>
      </c>
      <c r="K41" s="100">
        <v>240</v>
      </c>
      <c r="L41" s="104">
        <v>91476</v>
      </c>
      <c r="M41" s="104">
        <v>9148</v>
      </c>
      <c r="N41" s="104">
        <v>100624</v>
      </c>
      <c r="O41" s="76" t="s">
        <v>216</v>
      </c>
      <c r="P41" s="77" t="s">
        <v>202</v>
      </c>
      <c r="Q41" s="78">
        <f t="shared" si="8"/>
        <v>240</v>
      </c>
      <c r="R41" s="79">
        <v>46144</v>
      </c>
      <c r="S41" s="79">
        <f t="shared" si="1"/>
        <v>46383</v>
      </c>
      <c r="T41" s="80">
        <v>86896.5</v>
      </c>
      <c r="U41" s="80">
        <f t="shared" si="2"/>
        <v>8689.65</v>
      </c>
      <c r="V41" s="80">
        <f t="shared" si="3"/>
        <v>95586.15</v>
      </c>
      <c r="W41" s="78"/>
      <c r="X41" s="79">
        <f t="shared" si="4"/>
        <v>46144</v>
      </c>
      <c r="Y41" s="79" t="str">
        <f t="shared" si="5"/>
        <v/>
      </c>
      <c r="Z41" s="80"/>
      <c r="AA41" s="80">
        <f t="shared" si="6"/>
        <v>0</v>
      </c>
      <c r="AB41" s="80">
        <f t="shared" si="7"/>
        <v>0</v>
      </c>
      <c r="AC41" s="80"/>
      <c r="AD41" s="80"/>
      <c r="AE41" s="80"/>
      <c r="AF41" s="80"/>
      <c r="AG41" s="80"/>
      <c r="AH41" s="80"/>
      <c r="AI41" s="80">
        <v>12437</v>
      </c>
      <c r="AJ41" s="80">
        <v>12437</v>
      </c>
      <c r="AK41" s="80"/>
      <c r="AL41" s="80">
        <v>12096.18</v>
      </c>
      <c r="AM41" s="80">
        <v>12096.18</v>
      </c>
      <c r="AN41" s="80"/>
      <c r="AO41" s="80">
        <v>11960.04</v>
      </c>
      <c r="AP41" s="80">
        <v>11960.04</v>
      </c>
      <c r="AQ41" s="80"/>
      <c r="AR41" s="80">
        <v>12158.03</v>
      </c>
      <c r="AS41" s="80">
        <v>12158.03</v>
      </c>
      <c r="AT41" s="80"/>
      <c r="AU41" s="80">
        <v>13495.5</v>
      </c>
      <c r="AV41" s="80">
        <v>13495.5</v>
      </c>
      <c r="AW41" s="80"/>
      <c r="AX41" s="80"/>
      <c r="AY41" s="80"/>
      <c r="AZ41" s="80"/>
      <c r="BA41" s="80"/>
      <c r="BB41" s="80"/>
      <c r="BC41" s="80"/>
      <c r="BD41" s="80"/>
      <c r="BE41" s="80"/>
      <c r="BF41" s="80"/>
    </row>
    <row r="42" spans="1:58" ht="40.049999999999997" customHeight="1" x14ac:dyDescent="0.25">
      <c r="A42" s="98">
        <v>41</v>
      </c>
      <c r="B42" s="99">
        <v>204</v>
      </c>
      <c r="C42" s="100" t="s">
        <v>129</v>
      </c>
      <c r="D42" s="101" t="s">
        <v>129</v>
      </c>
      <c r="E42" s="101" t="s">
        <v>213</v>
      </c>
      <c r="F42" s="100" t="s">
        <v>217</v>
      </c>
      <c r="G42" s="101" t="s">
        <v>218</v>
      </c>
      <c r="H42" s="102">
        <v>17.52</v>
      </c>
      <c r="I42" s="100" t="s">
        <v>55</v>
      </c>
      <c r="J42" s="103">
        <v>887.5</v>
      </c>
      <c r="K42" s="100">
        <v>240</v>
      </c>
      <c r="L42" s="104">
        <v>124392</v>
      </c>
      <c r="M42" s="104">
        <v>12439</v>
      </c>
      <c r="N42" s="104">
        <v>136831</v>
      </c>
      <c r="O42" s="76" t="s">
        <v>216</v>
      </c>
      <c r="P42" s="77" t="s">
        <v>202</v>
      </c>
      <c r="Q42" s="78">
        <f t="shared" si="8"/>
        <v>240</v>
      </c>
      <c r="R42" s="79">
        <v>46144</v>
      </c>
      <c r="S42" s="79">
        <f t="shared" si="1"/>
        <v>46383</v>
      </c>
      <c r="T42" s="80">
        <v>118149.6</v>
      </c>
      <c r="U42" s="80">
        <f t="shared" si="2"/>
        <v>11814.96</v>
      </c>
      <c r="V42" s="80">
        <f t="shared" si="3"/>
        <v>129964.56</v>
      </c>
      <c r="W42" s="78"/>
      <c r="X42" s="79">
        <f t="shared" si="4"/>
        <v>46144</v>
      </c>
      <c r="Y42" s="79" t="str">
        <f t="shared" si="5"/>
        <v/>
      </c>
      <c r="Z42" s="80"/>
      <c r="AA42" s="80">
        <f t="shared" si="6"/>
        <v>0</v>
      </c>
      <c r="AB42" s="80">
        <f t="shared" si="7"/>
        <v>0</v>
      </c>
      <c r="AC42" s="80"/>
      <c r="AD42" s="80"/>
      <c r="AE42" s="80"/>
      <c r="AF42" s="80"/>
      <c r="AG42" s="80"/>
      <c r="AH42" s="80"/>
      <c r="AI42" s="80">
        <v>16498.810000000001</v>
      </c>
      <c r="AJ42" s="80">
        <v>16498.810000000001</v>
      </c>
      <c r="AK42" s="80"/>
      <c r="AL42" s="80">
        <v>17220.580000000002</v>
      </c>
      <c r="AM42" s="80">
        <v>17220.580000000002</v>
      </c>
      <c r="AN42" s="80"/>
      <c r="AO42" s="80">
        <v>17341.61</v>
      </c>
      <c r="AP42" s="80">
        <v>17341.61</v>
      </c>
      <c r="AQ42" s="80"/>
      <c r="AR42" s="80">
        <v>16573.939999999999</v>
      </c>
      <c r="AS42" s="80">
        <v>16573.939999999999</v>
      </c>
      <c r="AT42" s="80"/>
      <c r="AU42" s="80">
        <v>17342.740000000002</v>
      </c>
      <c r="AV42" s="80">
        <v>17342.740000000002</v>
      </c>
      <c r="AW42" s="80"/>
      <c r="AX42" s="80"/>
      <c r="AY42" s="80"/>
      <c r="AZ42" s="80"/>
      <c r="BA42" s="80"/>
      <c r="BB42" s="80"/>
      <c r="BC42" s="80"/>
      <c r="BD42" s="80"/>
      <c r="BE42" s="80"/>
      <c r="BF42" s="80"/>
    </row>
    <row r="43" spans="1:58" ht="40.049999999999997" customHeight="1" x14ac:dyDescent="0.25">
      <c r="A43" s="98">
        <v>42</v>
      </c>
      <c r="B43" s="99">
        <v>204</v>
      </c>
      <c r="C43" s="100" t="s">
        <v>129</v>
      </c>
      <c r="D43" s="101" t="s">
        <v>129</v>
      </c>
      <c r="E43" s="101" t="s">
        <v>213</v>
      </c>
      <c r="F43" s="100" t="s">
        <v>219</v>
      </c>
      <c r="G43" s="101" t="s">
        <v>220</v>
      </c>
      <c r="H43" s="102">
        <v>14.4</v>
      </c>
      <c r="I43" s="100" t="s">
        <v>55</v>
      </c>
      <c r="J43" s="103">
        <v>887.5</v>
      </c>
      <c r="K43" s="100">
        <v>240</v>
      </c>
      <c r="L43" s="104">
        <v>102240</v>
      </c>
      <c r="M43" s="104">
        <v>10225</v>
      </c>
      <c r="N43" s="104">
        <v>112465</v>
      </c>
      <c r="O43" s="76" t="s">
        <v>216</v>
      </c>
      <c r="P43" s="77" t="s">
        <v>202</v>
      </c>
      <c r="Q43" s="78">
        <f t="shared" si="8"/>
        <v>240</v>
      </c>
      <c r="R43" s="79">
        <v>46144</v>
      </c>
      <c r="S43" s="79">
        <f t="shared" si="1"/>
        <v>46383</v>
      </c>
      <c r="T43" s="80">
        <v>97128</v>
      </c>
      <c r="U43" s="80">
        <f t="shared" si="2"/>
        <v>9712.7999999999993</v>
      </c>
      <c r="V43" s="80">
        <f t="shared" si="3"/>
        <v>106840.8</v>
      </c>
      <c r="W43" s="78"/>
      <c r="X43" s="79">
        <f t="shared" si="4"/>
        <v>46144</v>
      </c>
      <c r="Y43" s="79" t="str">
        <f t="shared" si="5"/>
        <v/>
      </c>
      <c r="Z43" s="80"/>
      <c r="AA43" s="80">
        <f t="shared" si="6"/>
        <v>0</v>
      </c>
      <c r="AB43" s="80">
        <f t="shared" si="7"/>
        <v>0</v>
      </c>
      <c r="AC43" s="80"/>
      <c r="AD43" s="80"/>
      <c r="AE43" s="80"/>
      <c r="AF43" s="80"/>
      <c r="AG43" s="80"/>
      <c r="AH43" s="80"/>
      <c r="AI43" s="80">
        <v>13304.6</v>
      </c>
      <c r="AJ43" s="80">
        <v>13304.6</v>
      </c>
      <c r="AK43" s="80"/>
      <c r="AL43" s="80">
        <v>14513.37</v>
      </c>
      <c r="AM43" s="80">
        <v>14513.37</v>
      </c>
      <c r="AN43" s="80"/>
      <c r="AO43" s="80">
        <v>13356.88</v>
      </c>
      <c r="AP43" s="80">
        <v>13356.88</v>
      </c>
      <c r="AQ43" s="80"/>
      <c r="AR43" s="80">
        <v>13931.14</v>
      </c>
      <c r="AS43" s="80">
        <v>13931.14</v>
      </c>
      <c r="AT43" s="80"/>
      <c r="AU43" s="80">
        <v>13862.33</v>
      </c>
      <c r="AV43" s="80">
        <v>13862.33</v>
      </c>
      <c r="AW43" s="80"/>
      <c r="AX43" s="80"/>
      <c r="AY43" s="80"/>
      <c r="AZ43" s="80"/>
      <c r="BA43" s="80"/>
      <c r="BB43" s="80"/>
      <c r="BC43" s="80"/>
      <c r="BD43" s="80"/>
      <c r="BE43" s="80"/>
      <c r="BF43" s="80"/>
    </row>
    <row r="44" spans="1:58" ht="40.049999999999997" customHeight="1" x14ac:dyDescent="0.25">
      <c r="A44" s="98">
        <v>43</v>
      </c>
      <c r="B44" s="99">
        <v>204</v>
      </c>
      <c r="C44" s="100" t="s">
        <v>129</v>
      </c>
      <c r="D44" s="101" t="s">
        <v>129</v>
      </c>
      <c r="E44" s="101" t="s">
        <v>213</v>
      </c>
      <c r="F44" s="100" t="s">
        <v>221</v>
      </c>
      <c r="G44" s="101" t="s">
        <v>222</v>
      </c>
      <c r="H44" s="102">
        <v>9.0299999999999994</v>
      </c>
      <c r="I44" s="100" t="s">
        <v>55</v>
      </c>
      <c r="J44" s="103">
        <v>887.5</v>
      </c>
      <c r="K44" s="100">
        <v>240</v>
      </c>
      <c r="L44" s="104">
        <v>64113</v>
      </c>
      <c r="M44" s="104">
        <v>6411</v>
      </c>
      <c r="N44" s="104">
        <v>70524</v>
      </c>
      <c r="O44" s="76" t="s">
        <v>216</v>
      </c>
      <c r="P44" s="77" t="s">
        <v>202</v>
      </c>
      <c r="Q44" s="78">
        <f t="shared" si="8"/>
        <v>240</v>
      </c>
      <c r="R44" s="79">
        <v>46144</v>
      </c>
      <c r="S44" s="79">
        <f t="shared" si="1"/>
        <v>46383</v>
      </c>
      <c r="T44" s="80">
        <v>60907.040000000001</v>
      </c>
      <c r="U44" s="80">
        <f t="shared" si="2"/>
        <v>6090.7</v>
      </c>
      <c r="V44" s="80">
        <f t="shared" si="3"/>
        <v>66997.740000000005</v>
      </c>
      <c r="W44" s="78"/>
      <c r="X44" s="79">
        <f t="shared" si="4"/>
        <v>46144</v>
      </c>
      <c r="Y44" s="79" t="str">
        <f t="shared" si="5"/>
        <v/>
      </c>
      <c r="Z44" s="80"/>
      <c r="AA44" s="80">
        <f t="shared" si="6"/>
        <v>0</v>
      </c>
      <c r="AB44" s="80">
        <f t="shared" si="7"/>
        <v>0</v>
      </c>
      <c r="AC44" s="80"/>
      <c r="AD44" s="80"/>
      <c r="AE44" s="80"/>
      <c r="AF44" s="80"/>
      <c r="AG44" s="80"/>
      <c r="AH44" s="80"/>
      <c r="AI44" s="80">
        <v>8112.95</v>
      </c>
      <c r="AJ44" s="80">
        <v>8112.95</v>
      </c>
      <c r="AK44" s="80"/>
      <c r="AL44" s="80">
        <v>9029.67</v>
      </c>
      <c r="AM44" s="80">
        <v>9029.67</v>
      </c>
      <c r="AN44" s="80"/>
      <c r="AO44" s="80">
        <v>8195.31</v>
      </c>
      <c r="AP44" s="80">
        <v>8195.31</v>
      </c>
      <c r="AQ44" s="80"/>
      <c r="AR44" s="80">
        <v>8788.64</v>
      </c>
      <c r="AS44" s="80">
        <v>8788.64</v>
      </c>
      <c r="AT44" s="80"/>
      <c r="AU44" s="80">
        <v>8696.58</v>
      </c>
      <c r="AV44" s="80">
        <v>8696.58</v>
      </c>
      <c r="AW44" s="80"/>
      <c r="AX44" s="80"/>
      <c r="AY44" s="80"/>
      <c r="AZ44" s="80"/>
      <c r="BA44" s="80"/>
      <c r="BB44" s="80"/>
      <c r="BC44" s="80"/>
      <c r="BD44" s="80"/>
      <c r="BE44" s="80"/>
      <c r="BF44" s="80"/>
    </row>
    <row r="45" spans="1:58" ht="40.049999999999997" customHeight="1" thickBot="1" x14ac:dyDescent="0.3">
      <c r="A45" s="130">
        <v>44</v>
      </c>
      <c r="B45" s="131">
        <v>204</v>
      </c>
      <c r="C45" s="132" t="s">
        <v>129</v>
      </c>
      <c r="D45" s="133" t="s">
        <v>129</v>
      </c>
      <c r="E45" s="133" t="s">
        <v>213</v>
      </c>
      <c r="F45" s="132" t="s">
        <v>223</v>
      </c>
      <c r="G45" s="133" t="s">
        <v>224</v>
      </c>
      <c r="H45" s="134">
        <v>12.56</v>
      </c>
      <c r="I45" s="132" t="s">
        <v>55</v>
      </c>
      <c r="J45" s="135">
        <v>887.5</v>
      </c>
      <c r="K45" s="132">
        <v>240</v>
      </c>
      <c r="L45" s="136">
        <v>89176</v>
      </c>
      <c r="M45" s="136">
        <v>8918</v>
      </c>
      <c r="N45" s="136">
        <v>98094</v>
      </c>
      <c r="O45" s="159" t="s">
        <v>216</v>
      </c>
      <c r="P45" s="137" t="s">
        <v>202</v>
      </c>
      <c r="Q45" s="138">
        <f t="shared" si="8"/>
        <v>240</v>
      </c>
      <c r="R45" s="139">
        <v>46144</v>
      </c>
      <c r="S45" s="139">
        <f t="shared" si="1"/>
        <v>46383</v>
      </c>
      <c r="T45" s="140">
        <v>84711.5</v>
      </c>
      <c r="U45" s="140">
        <f t="shared" si="2"/>
        <v>8471.15</v>
      </c>
      <c r="V45" s="140">
        <f t="shared" si="3"/>
        <v>93182.65</v>
      </c>
      <c r="W45" s="138"/>
      <c r="X45" s="139">
        <f t="shared" si="4"/>
        <v>46144</v>
      </c>
      <c r="Y45" s="139" t="str">
        <f t="shared" si="5"/>
        <v/>
      </c>
      <c r="Z45" s="140"/>
      <c r="AA45" s="140">
        <f t="shared" si="6"/>
        <v>0</v>
      </c>
      <c r="AB45" s="140">
        <f t="shared" si="7"/>
        <v>0</v>
      </c>
      <c r="AC45" s="140"/>
      <c r="AD45" s="140"/>
      <c r="AE45" s="140"/>
      <c r="AF45" s="140"/>
      <c r="AG45" s="140"/>
      <c r="AH45" s="140"/>
      <c r="AI45" s="140">
        <v>11496.02</v>
      </c>
      <c r="AJ45" s="140">
        <v>11496.02</v>
      </c>
      <c r="AK45" s="140"/>
      <c r="AL45" s="140">
        <v>12037.1</v>
      </c>
      <c r="AM45" s="140">
        <v>12037.1</v>
      </c>
      <c r="AN45" s="140"/>
      <c r="AO45" s="140">
        <v>11895.48</v>
      </c>
      <c r="AP45" s="140">
        <v>11895.48</v>
      </c>
      <c r="AQ45" s="140"/>
      <c r="AR45" s="140">
        <v>11893.88</v>
      </c>
      <c r="AS45" s="140">
        <v>11893.88</v>
      </c>
      <c r="AT45" s="140"/>
      <c r="AU45" s="140">
        <v>12314.62</v>
      </c>
      <c r="AV45" s="140">
        <v>12314.62</v>
      </c>
      <c r="AW45" s="140"/>
      <c r="AX45" s="140"/>
      <c r="AY45" s="140"/>
      <c r="AZ45" s="140"/>
      <c r="BA45" s="140"/>
      <c r="BB45" s="140"/>
      <c r="BC45" s="140"/>
      <c r="BD45" s="140"/>
      <c r="BE45" s="140"/>
      <c r="BF45" s="140"/>
    </row>
    <row r="46" spans="1:58" ht="40.049999999999997" customHeight="1" thickTop="1" x14ac:dyDescent="0.25">
      <c r="A46" s="119">
        <v>45</v>
      </c>
      <c r="B46" s="120">
        <v>203</v>
      </c>
      <c r="C46" s="121" t="s">
        <v>129</v>
      </c>
      <c r="D46" s="122" t="s">
        <v>225</v>
      </c>
      <c r="E46" s="122" t="s">
        <v>226</v>
      </c>
      <c r="F46" s="121" t="s">
        <v>227</v>
      </c>
      <c r="G46" s="122" t="s">
        <v>228</v>
      </c>
      <c r="H46" s="123">
        <v>26.9</v>
      </c>
      <c r="I46" s="121" t="s">
        <v>46</v>
      </c>
      <c r="J46" s="124">
        <v>735</v>
      </c>
      <c r="K46" s="121">
        <v>240</v>
      </c>
      <c r="L46" s="125">
        <v>158172</v>
      </c>
      <c r="M46" s="125">
        <v>15817</v>
      </c>
      <c r="N46" s="125">
        <v>173989</v>
      </c>
      <c r="O46" s="158" t="s">
        <v>229</v>
      </c>
      <c r="P46" s="126" t="s">
        <v>230</v>
      </c>
      <c r="Q46" s="127">
        <f t="shared" si="8"/>
        <v>240</v>
      </c>
      <c r="R46" s="128">
        <v>46162</v>
      </c>
      <c r="S46" s="128">
        <f t="shared" si="1"/>
        <v>46401</v>
      </c>
      <c r="T46" s="129">
        <v>150263.4</v>
      </c>
      <c r="U46" s="129">
        <f t="shared" si="2"/>
        <v>15026.34</v>
      </c>
      <c r="V46" s="129">
        <f t="shared" si="3"/>
        <v>165289.74</v>
      </c>
      <c r="W46" s="127">
        <v>222</v>
      </c>
      <c r="X46" s="128">
        <f t="shared" si="4"/>
        <v>46162</v>
      </c>
      <c r="Y46" s="128">
        <f t="shared" si="5"/>
        <v>46383</v>
      </c>
      <c r="Z46" s="129">
        <v>138993.65</v>
      </c>
      <c r="AA46" s="129">
        <f t="shared" si="6"/>
        <v>13899.37</v>
      </c>
      <c r="AB46" s="129">
        <f t="shared" si="7"/>
        <v>152893.01999999999</v>
      </c>
      <c r="AC46" s="129"/>
      <c r="AD46" s="129"/>
      <c r="AE46" s="129"/>
      <c r="AF46" s="129"/>
      <c r="AG46" s="129"/>
      <c r="AH46" s="129"/>
      <c r="AI46" s="129">
        <v>8264.49</v>
      </c>
      <c r="AJ46" s="129">
        <v>8264.49</v>
      </c>
      <c r="AK46" s="129">
        <v>25022</v>
      </c>
      <c r="AL46" s="129">
        <v>20661.22</v>
      </c>
      <c r="AM46" s="129">
        <v>20661.22</v>
      </c>
      <c r="AN46" s="129">
        <v>25856</v>
      </c>
      <c r="AO46" s="129">
        <v>21349.919999999998</v>
      </c>
      <c r="AP46" s="129">
        <v>21349.919999999998</v>
      </c>
      <c r="AQ46" s="129">
        <v>51318</v>
      </c>
      <c r="AR46" s="129">
        <v>21349.919999999998</v>
      </c>
      <c r="AS46" s="129">
        <v>21349.919999999998</v>
      </c>
      <c r="AT46" s="129">
        <v>3695</v>
      </c>
      <c r="AU46" s="129">
        <v>20661.22</v>
      </c>
      <c r="AV46" s="129">
        <v>20661.22</v>
      </c>
      <c r="AW46" s="129">
        <v>45265</v>
      </c>
      <c r="AX46" s="129"/>
      <c r="AY46" s="129"/>
      <c r="AZ46" s="129"/>
      <c r="BA46" s="129"/>
      <c r="BB46" s="129"/>
      <c r="BC46" s="129"/>
      <c r="BD46" s="129"/>
      <c r="BE46" s="129"/>
      <c r="BF46" s="129"/>
    </row>
    <row r="47" spans="1:58" ht="40.049999999999997" customHeight="1" x14ac:dyDescent="0.25">
      <c r="A47" s="91">
        <v>46</v>
      </c>
      <c r="B47" s="92">
        <v>203</v>
      </c>
      <c r="C47" s="93" t="s">
        <v>129</v>
      </c>
      <c r="D47" s="94" t="s">
        <v>225</v>
      </c>
      <c r="E47" s="94" t="s">
        <v>237</v>
      </c>
      <c r="F47" s="93" t="s">
        <v>238</v>
      </c>
      <c r="G47" s="94" t="s">
        <v>239</v>
      </c>
      <c r="H47" s="95">
        <v>5.15</v>
      </c>
      <c r="I47" s="93" t="s">
        <v>46</v>
      </c>
      <c r="J47" s="96">
        <v>735</v>
      </c>
      <c r="K47" s="93">
        <v>240</v>
      </c>
      <c r="L47" s="97">
        <v>30282</v>
      </c>
      <c r="M47" s="97">
        <v>3028</v>
      </c>
      <c r="N47" s="97">
        <v>33310</v>
      </c>
      <c r="O47" s="76" t="s">
        <v>240</v>
      </c>
      <c r="P47" s="77" t="s">
        <v>230</v>
      </c>
      <c r="Q47" s="78">
        <f t="shared" si="8"/>
        <v>240</v>
      </c>
      <c r="R47" s="79">
        <v>46113</v>
      </c>
      <c r="S47" s="79">
        <f t="shared" si="1"/>
        <v>46352</v>
      </c>
      <c r="T47" s="80">
        <v>30280</v>
      </c>
      <c r="U47" s="80">
        <f t="shared" si="2"/>
        <v>3028</v>
      </c>
      <c r="V47" s="80">
        <f t="shared" si="3"/>
        <v>33308</v>
      </c>
      <c r="W47" s="78"/>
      <c r="X47" s="79">
        <f t="shared" si="4"/>
        <v>46113</v>
      </c>
      <c r="Y47" s="79" t="str">
        <f t="shared" si="5"/>
        <v/>
      </c>
      <c r="Z47" s="80"/>
      <c r="AA47" s="80">
        <f t="shared" si="6"/>
        <v>0</v>
      </c>
      <c r="AB47" s="80">
        <f t="shared" si="7"/>
        <v>0</v>
      </c>
      <c r="AC47" s="80"/>
      <c r="AD47" s="80"/>
      <c r="AE47" s="80"/>
      <c r="AF47" s="80">
        <v>4163.5</v>
      </c>
      <c r="AG47" s="80">
        <v>4163.5</v>
      </c>
      <c r="AH47" s="80"/>
      <c r="AI47" s="80">
        <v>4302.29</v>
      </c>
      <c r="AJ47" s="80">
        <v>4302.29</v>
      </c>
      <c r="AK47" s="80"/>
      <c r="AL47" s="80">
        <v>4163.5</v>
      </c>
      <c r="AM47" s="80">
        <v>4163.5</v>
      </c>
      <c r="AN47" s="80"/>
      <c r="AO47" s="80">
        <v>4302.29</v>
      </c>
      <c r="AP47" s="80">
        <v>4302.29</v>
      </c>
      <c r="AQ47" s="80"/>
      <c r="AR47" s="80">
        <v>4302.29</v>
      </c>
      <c r="AS47" s="80">
        <v>4302.29</v>
      </c>
      <c r="AT47" s="80"/>
      <c r="AU47" s="80">
        <v>4163.5</v>
      </c>
      <c r="AV47" s="80">
        <v>4163.5</v>
      </c>
      <c r="AW47" s="80"/>
      <c r="AX47" s="80"/>
      <c r="AY47" s="80"/>
      <c r="AZ47" s="80"/>
      <c r="BA47" s="80"/>
      <c r="BB47" s="80"/>
      <c r="BC47" s="80"/>
      <c r="BD47" s="80"/>
      <c r="BE47" s="80"/>
      <c r="BF47" s="80"/>
    </row>
    <row r="48" spans="1:58" ht="40.049999999999997" customHeight="1" x14ac:dyDescent="0.25">
      <c r="A48" s="91">
        <v>47</v>
      </c>
      <c r="B48" s="92">
        <v>203</v>
      </c>
      <c r="C48" s="93" t="s">
        <v>129</v>
      </c>
      <c r="D48" s="94" t="s">
        <v>225</v>
      </c>
      <c r="E48" s="94" t="s">
        <v>225</v>
      </c>
      <c r="F48" s="93" t="s">
        <v>241</v>
      </c>
      <c r="G48" s="94" t="s">
        <v>242</v>
      </c>
      <c r="H48" s="95">
        <v>9.3640000000000008</v>
      </c>
      <c r="I48" s="93" t="s">
        <v>46</v>
      </c>
      <c r="J48" s="96">
        <v>735</v>
      </c>
      <c r="K48" s="93">
        <v>240</v>
      </c>
      <c r="L48" s="97">
        <v>55060</v>
      </c>
      <c r="M48" s="97">
        <v>5506</v>
      </c>
      <c r="N48" s="97">
        <v>60566</v>
      </c>
      <c r="O48" s="76" t="s">
        <v>243</v>
      </c>
      <c r="P48" s="77" t="s">
        <v>230</v>
      </c>
      <c r="Q48" s="78">
        <f t="shared" si="8"/>
        <v>240</v>
      </c>
      <c r="R48" s="79">
        <v>46113</v>
      </c>
      <c r="S48" s="79">
        <f t="shared" si="1"/>
        <v>46352</v>
      </c>
      <c r="T48" s="80">
        <v>44000</v>
      </c>
      <c r="U48" s="80">
        <f t="shared" si="2"/>
        <v>4400</v>
      </c>
      <c r="V48" s="80">
        <f t="shared" si="3"/>
        <v>48400</v>
      </c>
      <c r="W48" s="78"/>
      <c r="X48" s="79">
        <f t="shared" si="4"/>
        <v>46113</v>
      </c>
      <c r="Y48" s="79" t="str">
        <f t="shared" si="5"/>
        <v/>
      </c>
      <c r="Z48" s="80"/>
      <c r="AA48" s="80">
        <f t="shared" si="6"/>
        <v>0</v>
      </c>
      <c r="AB48" s="80">
        <f t="shared" si="7"/>
        <v>0</v>
      </c>
      <c r="AC48" s="80"/>
      <c r="AD48" s="80"/>
      <c r="AE48" s="80"/>
      <c r="AF48" s="80">
        <v>6050</v>
      </c>
      <c r="AG48" s="80">
        <v>6050</v>
      </c>
      <c r="AH48" s="80"/>
      <c r="AI48" s="80">
        <v>6251.66</v>
      </c>
      <c r="AJ48" s="80">
        <v>6251.66</v>
      </c>
      <c r="AK48" s="80"/>
      <c r="AL48" s="80">
        <v>6050</v>
      </c>
      <c r="AM48" s="80">
        <v>6050</v>
      </c>
      <c r="AN48" s="80"/>
      <c r="AO48" s="80">
        <v>6251.66</v>
      </c>
      <c r="AP48" s="80">
        <v>6251.66</v>
      </c>
      <c r="AQ48" s="80"/>
      <c r="AR48" s="80">
        <v>6251.66</v>
      </c>
      <c r="AS48" s="80">
        <v>6251.66</v>
      </c>
      <c r="AT48" s="80"/>
      <c r="AU48" s="80">
        <v>6050</v>
      </c>
      <c r="AV48" s="80">
        <v>6050</v>
      </c>
      <c r="AW48" s="80"/>
      <c r="AX48" s="80"/>
      <c r="AY48" s="80"/>
      <c r="AZ48" s="80"/>
      <c r="BA48" s="80"/>
      <c r="BB48" s="80"/>
      <c r="BC48" s="80"/>
      <c r="BD48" s="80"/>
      <c r="BE48" s="80"/>
      <c r="BF48" s="80"/>
    </row>
    <row r="49" spans="1:58" ht="40.049999999999997" customHeight="1" x14ac:dyDescent="0.25">
      <c r="A49" s="91">
        <v>48</v>
      </c>
      <c r="B49" s="92">
        <v>203</v>
      </c>
      <c r="C49" s="93" t="s">
        <v>129</v>
      </c>
      <c r="D49" s="94" t="s">
        <v>225</v>
      </c>
      <c r="E49" s="94" t="s">
        <v>244</v>
      </c>
      <c r="F49" s="93" t="s">
        <v>245</v>
      </c>
      <c r="G49" s="94" t="s">
        <v>246</v>
      </c>
      <c r="H49" s="95">
        <v>7.62</v>
      </c>
      <c r="I49" s="93" t="s">
        <v>46</v>
      </c>
      <c r="J49" s="96">
        <v>735</v>
      </c>
      <c r="K49" s="93">
        <v>240</v>
      </c>
      <c r="L49" s="97">
        <v>44806</v>
      </c>
      <c r="M49" s="97">
        <v>4481</v>
      </c>
      <c r="N49" s="97">
        <v>49287</v>
      </c>
      <c r="O49" s="76" t="s">
        <v>247</v>
      </c>
      <c r="P49" s="77" t="s">
        <v>230</v>
      </c>
      <c r="Q49" s="78">
        <f t="shared" si="8"/>
        <v>240</v>
      </c>
      <c r="R49" s="79">
        <v>46113</v>
      </c>
      <c r="S49" s="79">
        <f t="shared" si="1"/>
        <v>46352</v>
      </c>
      <c r="T49" s="80">
        <v>44000</v>
      </c>
      <c r="U49" s="80">
        <f t="shared" si="2"/>
        <v>4400</v>
      </c>
      <c r="V49" s="80">
        <f t="shared" si="3"/>
        <v>48400</v>
      </c>
      <c r="W49" s="78"/>
      <c r="X49" s="79">
        <f t="shared" si="4"/>
        <v>46113</v>
      </c>
      <c r="Y49" s="79" t="str">
        <f t="shared" si="5"/>
        <v/>
      </c>
      <c r="Z49" s="80"/>
      <c r="AA49" s="80">
        <f t="shared" si="6"/>
        <v>0</v>
      </c>
      <c r="AB49" s="80">
        <f t="shared" si="7"/>
        <v>0</v>
      </c>
      <c r="AC49" s="80"/>
      <c r="AD49" s="80"/>
      <c r="AE49" s="80"/>
      <c r="AF49" s="80">
        <v>6050</v>
      </c>
      <c r="AG49" s="80">
        <v>6050</v>
      </c>
      <c r="AH49" s="80"/>
      <c r="AI49" s="80">
        <v>6251.66</v>
      </c>
      <c r="AJ49" s="80">
        <v>6251.66</v>
      </c>
      <c r="AK49" s="80"/>
      <c r="AL49" s="80">
        <v>6050</v>
      </c>
      <c r="AM49" s="80">
        <v>6050</v>
      </c>
      <c r="AN49" s="80"/>
      <c r="AO49" s="80">
        <v>6251.66</v>
      </c>
      <c r="AP49" s="80">
        <v>6251.66</v>
      </c>
      <c r="AQ49" s="80"/>
      <c r="AR49" s="80">
        <v>6251.66</v>
      </c>
      <c r="AS49" s="80">
        <v>6251.66</v>
      </c>
      <c r="AT49" s="80"/>
      <c r="AU49" s="80">
        <v>6050</v>
      </c>
      <c r="AV49" s="80">
        <v>6050</v>
      </c>
      <c r="AW49" s="80"/>
      <c r="AX49" s="80"/>
      <c r="AY49" s="80"/>
      <c r="AZ49" s="80"/>
      <c r="BA49" s="80"/>
      <c r="BB49" s="80"/>
      <c r="BC49" s="80"/>
      <c r="BD49" s="80"/>
      <c r="BE49" s="80"/>
      <c r="BF49" s="80"/>
    </row>
    <row r="50" spans="1:58" ht="40.049999999999997" customHeight="1" x14ac:dyDescent="0.25">
      <c r="A50" s="91">
        <v>49</v>
      </c>
      <c r="B50" s="92">
        <v>203</v>
      </c>
      <c r="C50" s="93" t="s">
        <v>129</v>
      </c>
      <c r="D50" s="94" t="s">
        <v>225</v>
      </c>
      <c r="E50" s="94" t="s">
        <v>248</v>
      </c>
      <c r="F50" s="93" t="s">
        <v>249</v>
      </c>
      <c r="G50" s="94" t="s">
        <v>250</v>
      </c>
      <c r="H50" s="95">
        <v>8.24</v>
      </c>
      <c r="I50" s="93" t="s">
        <v>46</v>
      </c>
      <c r="J50" s="96">
        <v>735</v>
      </c>
      <c r="K50" s="93">
        <v>240</v>
      </c>
      <c r="L50" s="97">
        <v>48451</v>
      </c>
      <c r="M50" s="97">
        <v>4845</v>
      </c>
      <c r="N50" s="97">
        <v>53296</v>
      </c>
      <c r="O50" s="76" t="s">
        <v>251</v>
      </c>
      <c r="P50" s="77" t="s">
        <v>230</v>
      </c>
      <c r="Q50" s="78">
        <f t="shared" si="8"/>
        <v>240</v>
      </c>
      <c r="R50" s="79">
        <v>46113</v>
      </c>
      <c r="S50" s="79">
        <f t="shared" si="1"/>
        <v>46352</v>
      </c>
      <c r="T50" s="80">
        <v>44000</v>
      </c>
      <c r="U50" s="80">
        <f t="shared" si="2"/>
        <v>4400</v>
      </c>
      <c r="V50" s="80">
        <f t="shared" si="3"/>
        <v>48400</v>
      </c>
      <c r="W50" s="78"/>
      <c r="X50" s="79">
        <f t="shared" si="4"/>
        <v>46113</v>
      </c>
      <c r="Y50" s="79" t="str">
        <f t="shared" si="5"/>
        <v/>
      </c>
      <c r="Z50" s="80"/>
      <c r="AA50" s="80">
        <f t="shared" si="6"/>
        <v>0</v>
      </c>
      <c r="AB50" s="80">
        <f t="shared" si="7"/>
        <v>0</v>
      </c>
      <c r="AC50" s="80"/>
      <c r="AD50" s="80"/>
      <c r="AE50" s="80"/>
      <c r="AF50" s="80">
        <v>6050</v>
      </c>
      <c r="AG50" s="80">
        <v>6050</v>
      </c>
      <c r="AH50" s="80"/>
      <c r="AI50" s="80">
        <v>6251.66</v>
      </c>
      <c r="AJ50" s="80">
        <v>6251.66</v>
      </c>
      <c r="AK50" s="80"/>
      <c r="AL50" s="80">
        <v>6050</v>
      </c>
      <c r="AM50" s="80">
        <v>6050</v>
      </c>
      <c r="AN50" s="80"/>
      <c r="AO50" s="80">
        <v>6251.66</v>
      </c>
      <c r="AP50" s="80">
        <v>6251.66</v>
      </c>
      <c r="AQ50" s="80"/>
      <c r="AR50" s="80">
        <v>6251.66</v>
      </c>
      <c r="AS50" s="80">
        <v>6251.66</v>
      </c>
      <c r="AT50" s="80"/>
      <c r="AU50" s="80">
        <v>6050</v>
      </c>
      <c r="AV50" s="80">
        <v>6050</v>
      </c>
      <c r="AW50" s="80"/>
      <c r="AX50" s="80"/>
      <c r="AY50" s="80"/>
      <c r="AZ50" s="80"/>
      <c r="BA50" s="80"/>
      <c r="BB50" s="80"/>
      <c r="BC50" s="80"/>
      <c r="BD50" s="80"/>
      <c r="BE50" s="80"/>
      <c r="BF50" s="80"/>
    </row>
    <row r="51" spans="1:58" ht="40.049999999999997" customHeight="1" thickBot="1" x14ac:dyDescent="0.3">
      <c r="A51" s="148">
        <v>50</v>
      </c>
      <c r="B51" s="149">
        <v>203</v>
      </c>
      <c r="C51" s="150" t="s">
        <v>129</v>
      </c>
      <c r="D51" s="151" t="s">
        <v>225</v>
      </c>
      <c r="E51" s="151" t="s">
        <v>252</v>
      </c>
      <c r="F51" s="150" t="s">
        <v>253</v>
      </c>
      <c r="G51" s="151" t="s">
        <v>254</v>
      </c>
      <c r="H51" s="152">
        <v>6.4459999999999997</v>
      </c>
      <c r="I51" s="150" t="s">
        <v>46</v>
      </c>
      <c r="J51" s="153">
        <v>735</v>
      </c>
      <c r="K51" s="150">
        <v>240</v>
      </c>
      <c r="L51" s="154">
        <v>37902</v>
      </c>
      <c r="M51" s="154">
        <v>3790</v>
      </c>
      <c r="N51" s="154">
        <v>41692</v>
      </c>
      <c r="O51" s="159" t="s">
        <v>255</v>
      </c>
      <c r="P51" s="137" t="s">
        <v>230</v>
      </c>
      <c r="Q51" s="138">
        <f t="shared" si="8"/>
        <v>240</v>
      </c>
      <c r="R51" s="139">
        <v>46113</v>
      </c>
      <c r="S51" s="139">
        <f t="shared" si="1"/>
        <v>46352</v>
      </c>
      <c r="T51" s="140">
        <v>37900</v>
      </c>
      <c r="U51" s="140">
        <f t="shared" si="2"/>
        <v>3790</v>
      </c>
      <c r="V51" s="140">
        <f t="shared" si="3"/>
        <v>41690</v>
      </c>
      <c r="W51" s="138"/>
      <c r="X51" s="139">
        <f t="shared" si="4"/>
        <v>46113</v>
      </c>
      <c r="Y51" s="139" t="str">
        <f t="shared" si="5"/>
        <v/>
      </c>
      <c r="Z51" s="140"/>
      <c r="AA51" s="140">
        <f t="shared" si="6"/>
        <v>0</v>
      </c>
      <c r="AB51" s="140">
        <f t="shared" si="7"/>
        <v>0</v>
      </c>
      <c r="AC51" s="140"/>
      <c r="AD51" s="140"/>
      <c r="AE51" s="140"/>
      <c r="AF51" s="140">
        <v>5211.25</v>
      </c>
      <c r="AG51" s="140">
        <v>5211.25</v>
      </c>
      <c r="AH51" s="140"/>
      <c r="AI51" s="140">
        <v>5384.96</v>
      </c>
      <c r="AJ51" s="140">
        <v>5384.96</v>
      </c>
      <c r="AK51" s="140"/>
      <c r="AL51" s="140">
        <v>5211.25</v>
      </c>
      <c r="AM51" s="140">
        <v>5211.25</v>
      </c>
      <c r="AN51" s="140"/>
      <c r="AO51" s="140">
        <v>5384.96</v>
      </c>
      <c r="AP51" s="140">
        <v>5384.96</v>
      </c>
      <c r="AQ51" s="140"/>
      <c r="AR51" s="140">
        <v>5384.96</v>
      </c>
      <c r="AS51" s="140">
        <v>5384.96</v>
      </c>
      <c r="AT51" s="140"/>
      <c r="AU51" s="140">
        <v>5211.25</v>
      </c>
      <c r="AV51" s="140">
        <v>5211.25</v>
      </c>
      <c r="AW51" s="140"/>
      <c r="AX51" s="140"/>
      <c r="AY51" s="140"/>
      <c r="AZ51" s="140"/>
      <c r="BA51" s="140"/>
      <c r="BB51" s="140"/>
      <c r="BC51" s="140"/>
      <c r="BD51" s="140"/>
      <c r="BE51" s="140"/>
      <c r="BF51" s="140"/>
    </row>
    <row r="52" spans="1:58" ht="40.049999999999997" customHeight="1" thickTop="1" x14ac:dyDescent="0.25">
      <c r="A52" s="141">
        <v>51</v>
      </c>
      <c r="B52" s="142">
        <v>105</v>
      </c>
      <c r="C52" s="143" t="s">
        <v>258</v>
      </c>
      <c r="D52" s="144" t="s">
        <v>259</v>
      </c>
      <c r="E52" s="144" t="s">
        <v>260</v>
      </c>
      <c r="F52" s="144" t="s">
        <v>261</v>
      </c>
      <c r="G52" s="144" t="s">
        <v>262</v>
      </c>
      <c r="H52" s="145">
        <v>17</v>
      </c>
      <c r="I52" s="143" t="s">
        <v>46</v>
      </c>
      <c r="J52" s="146">
        <v>804</v>
      </c>
      <c r="K52" s="143">
        <v>240</v>
      </c>
      <c r="L52" s="147">
        <v>109344</v>
      </c>
      <c r="M52" s="147">
        <v>10935</v>
      </c>
      <c r="N52" s="147">
        <v>120279</v>
      </c>
      <c r="O52" s="126" t="s">
        <v>263</v>
      </c>
      <c r="P52" s="126" t="s">
        <v>264</v>
      </c>
      <c r="Q52" s="127">
        <f t="shared" si="8"/>
        <v>240</v>
      </c>
      <c r="R52" s="128">
        <v>46119</v>
      </c>
      <c r="S52" s="128">
        <f t="shared" si="1"/>
        <v>46358</v>
      </c>
      <c r="T52" s="129">
        <v>109344</v>
      </c>
      <c r="U52" s="129">
        <f t="shared" si="2"/>
        <v>10934.4</v>
      </c>
      <c r="V52" s="129">
        <f t="shared" si="3"/>
        <v>120278.39999999999</v>
      </c>
      <c r="W52" s="127"/>
      <c r="X52" s="128">
        <f t="shared" si="4"/>
        <v>46119</v>
      </c>
      <c r="Y52" s="128" t="str">
        <f t="shared" si="5"/>
        <v/>
      </c>
      <c r="Z52" s="129"/>
      <c r="AA52" s="129">
        <f t="shared" si="6"/>
        <v>0</v>
      </c>
      <c r="AB52" s="129">
        <f t="shared" si="7"/>
        <v>0</v>
      </c>
      <c r="AC52" s="129"/>
      <c r="AD52" s="129"/>
      <c r="AE52" s="129"/>
      <c r="AF52" s="129">
        <v>12027.84</v>
      </c>
      <c r="AG52" s="129">
        <v>12027.84</v>
      </c>
      <c r="AH52" s="129"/>
      <c r="AI52" s="129">
        <v>15535.96</v>
      </c>
      <c r="AJ52" s="129">
        <v>15535.96</v>
      </c>
      <c r="AK52" s="129">
        <v>6443</v>
      </c>
      <c r="AL52" s="129">
        <v>15034.8</v>
      </c>
      <c r="AM52" s="129">
        <v>15034.8</v>
      </c>
      <c r="AN52" s="129">
        <v>309166</v>
      </c>
      <c r="AO52" s="129">
        <v>15535.96</v>
      </c>
      <c r="AP52" s="129">
        <v>15535.96</v>
      </c>
      <c r="AQ52" s="129">
        <v>211304</v>
      </c>
      <c r="AR52" s="129">
        <v>15535.96</v>
      </c>
      <c r="AS52" s="129">
        <v>15535.96</v>
      </c>
      <c r="AT52" s="129">
        <v>218347</v>
      </c>
      <c r="AU52" s="129"/>
      <c r="AV52" s="129"/>
      <c r="AW52" s="129">
        <v>218347</v>
      </c>
      <c r="AX52" s="129"/>
      <c r="AY52" s="129"/>
      <c r="AZ52" s="129"/>
      <c r="BA52" s="129"/>
      <c r="BB52" s="129"/>
      <c r="BC52" s="129"/>
      <c r="BD52" s="129"/>
      <c r="BE52" s="129"/>
      <c r="BF52" s="129"/>
    </row>
    <row r="53" spans="1:58" ht="40.049999999999997" customHeight="1" x14ac:dyDescent="0.25">
      <c r="A53" s="98">
        <v>52</v>
      </c>
      <c r="B53" s="99">
        <v>105</v>
      </c>
      <c r="C53" s="100" t="s">
        <v>258</v>
      </c>
      <c r="D53" s="101" t="s">
        <v>259</v>
      </c>
      <c r="E53" s="101" t="s">
        <v>271</v>
      </c>
      <c r="F53" s="101" t="s">
        <v>272</v>
      </c>
      <c r="G53" s="101" t="s">
        <v>273</v>
      </c>
      <c r="H53" s="102">
        <v>14.086</v>
      </c>
      <c r="I53" s="100" t="s">
        <v>46</v>
      </c>
      <c r="J53" s="103">
        <v>798</v>
      </c>
      <c r="K53" s="100">
        <v>240</v>
      </c>
      <c r="L53" s="104">
        <v>89926</v>
      </c>
      <c r="M53" s="104">
        <v>8993</v>
      </c>
      <c r="N53" s="104">
        <v>98919</v>
      </c>
      <c r="O53" s="77" t="s">
        <v>274</v>
      </c>
      <c r="P53" s="77" t="s">
        <v>275</v>
      </c>
      <c r="Q53" s="78">
        <f t="shared" si="8"/>
        <v>240</v>
      </c>
      <c r="R53" s="79">
        <v>46119</v>
      </c>
      <c r="S53" s="79">
        <f t="shared" si="1"/>
        <v>46358</v>
      </c>
      <c r="T53" s="80">
        <v>89926</v>
      </c>
      <c r="U53" s="80">
        <f t="shared" si="2"/>
        <v>8992.6</v>
      </c>
      <c r="V53" s="80">
        <f t="shared" si="3"/>
        <v>98918.6</v>
      </c>
      <c r="W53" s="78"/>
      <c r="X53" s="79">
        <f t="shared" si="4"/>
        <v>46119</v>
      </c>
      <c r="Y53" s="79" t="str">
        <f t="shared" si="5"/>
        <v/>
      </c>
      <c r="Z53" s="80"/>
      <c r="AA53" s="80">
        <f t="shared" si="6"/>
        <v>0</v>
      </c>
      <c r="AB53" s="80">
        <f t="shared" si="7"/>
        <v>0</v>
      </c>
      <c r="AC53" s="80"/>
      <c r="AD53" s="80"/>
      <c r="AE53" s="80"/>
      <c r="AF53" s="80">
        <v>9891.8700000000008</v>
      </c>
      <c r="AG53" s="80">
        <v>9891.8700000000008</v>
      </c>
      <c r="AH53" s="80"/>
      <c r="AI53" s="80">
        <v>12776.98</v>
      </c>
      <c r="AJ53" s="80">
        <v>12776.98</v>
      </c>
      <c r="AK53" s="80"/>
      <c r="AL53" s="80">
        <v>12364.82</v>
      </c>
      <c r="AM53" s="80">
        <v>12364.82</v>
      </c>
      <c r="AN53" s="80"/>
      <c r="AO53" s="80">
        <v>12776.98</v>
      </c>
      <c r="AP53" s="80">
        <v>12776.98</v>
      </c>
      <c r="AQ53" s="80"/>
      <c r="AR53" s="80">
        <v>12776.98</v>
      </c>
      <c r="AS53" s="80">
        <v>12776.98</v>
      </c>
      <c r="AT53" s="80"/>
      <c r="AU53" s="80"/>
      <c r="AV53" s="80"/>
      <c r="AW53" s="80"/>
      <c r="AX53" s="80"/>
      <c r="AY53" s="80"/>
      <c r="AZ53" s="80"/>
      <c r="BA53" s="80"/>
      <c r="BB53" s="80"/>
      <c r="BC53" s="80"/>
      <c r="BD53" s="80"/>
      <c r="BE53" s="80"/>
      <c r="BF53" s="80"/>
    </row>
    <row r="54" spans="1:58" ht="40.049999999999997" customHeight="1" x14ac:dyDescent="0.25">
      <c r="A54" s="98">
        <v>53</v>
      </c>
      <c r="B54" s="99">
        <v>105</v>
      </c>
      <c r="C54" s="100" t="s">
        <v>258</v>
      </c>
      <c r="D54" s="101" t="s">
        <v>259</v>
      </c>
      <c r="E54" s="101" t="s">
        <v>259</v>
      </c>
      <c r="F54" s="101" t="s">
        <v>276</v>
      </c>
      <c r="G54" s="101" t="s">
        <v>277</v>
      </c>
      <c r="H54" s="102">
        <v>14.829000000000001</v>
      </c>
      <c r="I54" s="100" t="s">
        <v>46</v>
      </c>
      <c r="J54" s="103">
        <v>808</v>
      </c>
      <c r="K54" s="100">
        <v>240</v>
      </c>
      <c r="L54" s="104">
        <v>95855</v>
      </c>
      <c r="M54" s="104">
        <v>9586</v>
      </c>
      <c r="N54" s="104">
        <v>105441</v>
      </c>
      <c r="O54" s="77" t="s">
        <v>278</v>
      </c>
      <c r="P54" s="77" t="s">
        <v>275</v>
      </c>
      <c r="Q54" s="78">
        <f t="shared" si="8"/>
        <v>240</v>
      </c>
      <c r="R54" s="79">
        <v>46127</v>
      </c>
      <c r="S54" s="79">
        <f t="shared" si="1"/>
        <v>46366</v>
      </c>
      <c r="T54" s="80">
        <v>95855</v>
      </c>
      <c r="U54" s="80">
        <f t="shared" si="2"/>
        <v>9585.5</v>
      </c>
      <c r="V54" s="80">
        <f t="shared" si="3"/>
        <v>105440.5</v>
      </c>
      <c r="W54" s="78"/>
      <c r="X54" s="79">
        <f t="shared" si="4"/>
        <v>46127</v>
      </c>
      <c r="Y54" s="79" t="str">
        <f t="shared" si="5"/>
        <v/>
      </c>
      <c r="Z54" s="80"/>
      <c r="AA54" s="80">
        <f t="shared" si="6"/>
        <v>0</v>
      </c>
      <c r="AB54" s="80">
        <f t="shared" si="7"/>
        <v>0</v>
      </c>
      <c r="AC54" s="80"/>
      <c r="AD54" s="80"/>
      <c r="AE54" s="80"/>
      <c r="AF54" s="80">
        <v>7029.35</v>
      </c>
      <c r="AG54" s="80">
        <v>7029.35</v>
      </c>
      <c r="AH54" s="80"/>
      <c r="AI54" s="80">
        <v>13619.39</v>
      </c>
      <c r="AJ54" s="80">
        <v>13619.39</v>
      </c>
      <c r="AK54" s="80"/>
      <c r="AL54" s="80">
        <v>13180.06</v>
      </c>
      <c r="AM54" s="80">
        <v>13180.06</v>
      </c>
      <c r="AN54" s="80"/>
      <c r="AO54" s="80">
        <v>13619.39</v>
      </c>
      <c r="AP54" s="80">
        <v>13619.39</v>
      </c>
      <c r="AQ54" s="80"/>
      <c r="AR54" s="80">
        <v>13619.39</v>
      </c>
      <c r="AS54" s="80">
        <v>13619.39</v>
      </c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80"/>
      <c r="BE54" s="80"/>
      <c r="BF54" s="80"/>
    </row>
    <row r="55" spans="1:58" ht="40.049999999999997" customHeight="1" x14ac:dyDescent="0.25">
      <c r="A55" s="98">
        <v>54</v>
      </c>
      <c r="B55" s="99">
        <v>105</v>
      </c>
      <c r="C55" s="100" t="s">
        <v>258</v>
      </c>
      <c r="D55" s="101" t="s">
        <v>259</v>
      </c>
      <c r="E55" s="101" t="s">
        <v>259</v>
      </c>
      <c r="F55" s="101" t="s">
        <v>279</v>
      </c>
      <c r="G55" s="101" t="s">
        <v>280</v>
      </c>
      <c r="H55" s="102">
        <v>7.4710000000000001</v>
      </c>
      <c r="I55" s="100" t="s">
        <v>46</v>
      </c>
      <c r="J55" s="103">
        <v>824</v>
      </c>
      <c r="K55" s="100">
        <v>240</v>
      </c>
      <c r="L55" s="104">
        <v>49249</v>
      </c>
      <c r="M55" s="104">
        <v>4925</v>
      </c>
      <c r="N55" s="104">
        <v>54174</v>
      </c>
      <c r="O55" s="77" t="s">
        <v>281</v>
      </c>
      <c r="P55" s="77" t="s">
        <v>264</v>
      </c>
      <c r="Q55" s="78">
        <f t="shared" si="8"/>
        <v>240</v>
      </c>
      <c r="R55" s="79">
        <v>46127</v>
      </c>
      <c r="S55" s="79">
        <f t="shared" si="1"/>
        <v>46366</v>
      </c>
      <c r="T55" s="80">
        <v>49249</v>
      </c>
      <c r="U55" s="80">
        <f t="shared" si="2"/>
        <v>4924.8999999999996</v>
      </c>
      <c r="V55" s="80">
        <f t="shared" si="3"/>
        <v>54173.9</v>
      </c>
      <c r="W55" s="78"/>
      <c r="X55" s="79">
        <f t="shared" si="4"/>
        <v>46127</v>
      </c>
      <c r="Y55" s="79" t="str">
        <f t="shared" si="5"/>
        <v/>
      </c>
      <c r="Z55" s="80"/>
      <c r="AA55" s="80">
        <f t="shared" si="6"/>
        <v>0</v>
      </c>
      <c r="AB55" s="80">
        <f t="shared" si="7"/>
        <v>0</v>
      </c>
      <c r="AC55" s="80"/>
      <c r="AD55" s="80"/>
      <c r="AE55" s="80"/>
      <c r="AF55" s="80">
        <v>3611.57</v>
      </c>
      <c r="AG55" s="80">
        <v>3611.57</v>
      </c>
      <c r="AH55" s="80"/>
      <c r="AI55" s="80">
        <v>6997.46</v>
      </c>
      <c r="AJ55" s="80">
        <v>6997.46</v>
      </c>
      <c r="AK55" s="80"/>
      <c r="AL55" s="80">
        <v>6771.74</v>
      </c>
      <c r="AM55" s="80">
        <v>6771.74</v>
      </c>
      <c r="AN55" s="80"/>
      <c r="AO55" s="80">
        <v>6997.46</v>
      </c>
      <c r="AP55" s="80">
        <v>6997.46</v>
      </c>
      <c r="AQ55" s="80"/>
      <c r="AR55" s="80">
        <v>6997.46</v>
      </c>
      <c r="AS55" s="80">
        <v>6997.46</v>
      </c>
      <c r="AT55" s="80"/>
      <c r="AU55" s="80"/>
      <c r="AV55" s="80"/>
      <c r="AW55" s="80"/>
      <c r="AX55" s="80"/>
      <c r="AY55" s="80"/>
      <c r="AZ55" s="80"/>
      <c r="BA55" s="80"/>
      <c r="BB55" s="80"/>
      <c r="BC55" s="80"/>
      <c r="BD55" s="80"/>
      <c r="BE55" s="80"/>
      <c r="BF55" s="80"/>
    </row>
    <row r="56" spans="1:58" ht="40.049999999999997" customHeight="1" x14ac:dyDescent="0.25">
      <c r="A56" s="98">
        <v>55</v>
      </c>
      <c r="B56" s="99">
        <v>105</v>
      </c>
      <c r="C56" s="100" t="s">
        <v>258</v>
      </c>
      <c r="D56" s="101" t="s">
        <v>259</v>
      </c>
      <c r="E56" s="101" t="s">
        <v>259</v>
      </c>
      <c r="F56" s="101" t="s">
        <v>282</v>
      </c>
      <c r="G56" s="101" t="s">
        <v>283</v>
      </c>
      <c r="H56" s="102">
        <v>11.487</v>
      </c>
      <c r="I56" s="100" t="s">
        <v>46</v>
      </c>
      <c r="J56" s="103">
        <v>806</v>
      </c>
      <c r="K56" s="100">
        <v>240</v>
      </c>
      <c r="L56" s="104">
        <v>74069</v>
      </c>
      <c r="M56" s="104">
        <v>7407</v>
      </c>
      <c r="N56" s="104">
        <v>81476</v>
      </c>
      <c r="O56" s="77" t="s">
        <v>284</v>
      </c>
      <c r="P56" s="77" t="s">
        <v>275</v>
      </c>
      <c r="Q56" s="78">
        <f t="shared" si="8"/>
        <v>240</v>
      </c>
      <c r="R56" s="79">
        <v>46122</v>
      </c>
      <c r="S56" s="79">
        <f t="shared" si="1"/>
        <v>46361</v>
      </c>
      <c r="T56" s="80">
        <v>74069</v>
      </c>
      <c r="U56" s="80">
        <f t="shared" si="2"/>
        <v>7406.9</v>
      </c>
      <c r="V56" s="80">
        <f t="shared" si="3"/>
        <v>81475.899999999994</v>
      </c>
      <c r="W56" s="78"/>
      <c r="X56" s="79">
        <f t="shared" si="4"/>
        <v>46122</v>
      </c>
      <c r="Y56" s="79" t="str">
        <f t="shared" si="5"/>
        <v/>
      </c>
      <c r="Z56" s="80"/>
      <c r="AA56" s="80">
        <f t="shared" si="6"/>
        <v>0</v>
      </c>
      <c r="AB56" s="80">
        <f t="shared" si="7"/>
        <v>0</v>
      </c>
      <c r="AC56" s="80"/>
      <c r="AD56" s="80"/>
      <c r="AE56" s="80"/>
      <c r="AF56" s="80">
        <v>7129.11</v>
      </c>
      <c r="AG56" s="80">
        <v>7129.11</v>
      </c>
      <c r="AH56" s="80"/>
      <c r="AI56" s="80">
        <v>10523.97</v>
      </c>
      <c r="AJ56" s="80">
        <v>10523.97</v>
      </c>
      <c r="AK56" s="80"/>
      <c r="AL56" s="80">
        <v>10184.49</v>
      </c>
      <c r="AM56" s="80">
        <v>10184.49</v>
      </c>
      <c r="AN56" s="80"/>
      <c r="AO56" s="80">
        <v>10523.97</v>
      </c>
      <c r="AP56" s="80">
        <v>10523.97</v>
      </c>
      <c r="AQ56" s="80"/>
      <c r="AR56" s="80">
        <v>10523.97</v>
      </c>
      <c r="AS56" s="80">
        <v>10523.97</v>
      </c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/>
      <c r="BE56" s="80"/>
      <c r="BF56" s="80"/>
    </row>
    <row r="57" spans="1:58" ht="40.049999999999997" customHeight="1" x14ac:dyDescent="0.25">
      <c r="A57" s="98">
        <v>56</v>
      </c>
      <c r="B57" s="99">
        <v>105</v>
      </c>
      <c r="C57" s="100" t="s">
        <v>258</v>
      </c>
      <c r="D57" s="101" t="s">
        <v>259</v>
      </c>
      <c r="E57" s="101" t="s">
        <v>285</v>
      </c>
      <c r="F57" s="101" t="s">
        <v>286</v>
      </c>
      <c r="G57" s="101" t="s">
        <v>287</v>
      </c>
      <c r="H57" s="102">
        <v>9.2629999999999999</v>
      </c>
      <c r="I57" s="100" t="s">
        <v>46</v>
      </c>
      <c r="J57" s="103">
        <v>842</v>
      </c>
      <c r="K57" s="100">
        <v>240</v>
      </c>
      <c r="L57" s="104">
        <v>62396</v>
      </c>
      <c r="M57" s="104">
        <v>6240</v>
      </c>
      <c r="N57" s="104">
        <v>68636</v>
      </c>
      <c r="O57" s="77" t="s">
        <v>288</v>
      </c>
      <c r="P57" s="77" t="s">
        <v>275</v>
      </c>
      <c r="Q57" s="78">
        <f t="shared" si="8"/>
        <v>240</v>
      </c>
      <c r="R57" s="79">
        <v>46129</v>
      </c>
      <c r="S57" s="79">
        <f t="shared" si="1"/>
        <v>46368</v>
      </c>
      <c r="T57" s="80">
        <v>62396</v>
      </c>
      <c r="U57" s="80">
        <f t="shared" si="2"/>
        <v>6239.6</v>
      </c>
      <c r="V57" s="80">
        <f t="shared" si="3"/>
        <v>68635.600000000006</v>
      </c>
      <c r="W57" s="78"/>
      <c r="X57" s="79">
        <f t="shared" si="4"/>
        <v>46129</v>
      </c>
      <c r="Y57" s="79" t="str">
        <f t="shared" si="5"/>
        <v/>
      </c>
      <c r="Z57" s="80"/>
      <c r="AA57" s="80">
        <f t="shared" si="6"/>
        <v>0</v>
      </c>
      <c r="AB57" s="80">
        <f t="shared" si="7"/>
        <v>0</v>
      </c>
      <c r="AC57" s="80"/>
      <c r="AD57" s="80"/>
      <c r="AE57" s="80"/>
      <c r="AF57" s="80">
        <v>4003.75</v>
      </c>
      <c r="AG57" s="80">
        <v>4003.75</v>
      </c>
      <c r="AH57" s="80"/>
      <c r="AI57" s="80">
        <v>8865.42</v>
      </c>
      <c r="AJ57" s="80">
        <v>8865.42</v>
      </c>
      <c r="AK57" s="80"/>
      <c r="AL57" s="80">
        <v>8579.4500000000007</v>
      </c>
      <c r="AM57" s="80">
        <v>8579.4500000000007</v>
      </c>
      <c r="AN57" s="80"/>
      <c r="AO57" s="80">
        <v>8865.42</v>
      </c>
      <c r="AP57" s="80">
        <v>8865.42</v>
      </c>
      <c r="AQ57" s="80"/>
      <c r="AR57" s="80">
        <v>8865.42</v>
      </c>
      <c r="AS57" s="80">
        <v>8865.42</v>
      </c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</row>
    <row r="58" spans="1:58" ht="40.049999999999997" customHeight="1" x14ac:dyDescent="0.25">
      <c r="A58" s="98">
        <v>57</v>
      </c>
      <c r="B58" s="99">
        <v>105</v>
      </c>
      <c r="C58" s="100" t="s">
        <v>258</v>
      </c>
      <c r="D58" s="101" t="s">
        <v>259</v>
      </c>
      <c r="E58" s="101" t="s">
        <v>289</v>
      </c>
      <c r="F58" s="101" t="s">
        <v>290</v>
      </c>
      <c r="G58" s="101" t="s">
        <v>291</v>
      </c>
      <c r="H58" s="102">
        <v>12.122</v>
      </c>
      <c r="I58" s="100" t="s">
        <v>46</v>
      </c>
      <c r="J58" s="103">
        <v>796</v>
      </c>
      <c r="K58" s="100">
        <v>240</v>
      </c>
      <c r="L58" s="104">
        <v>77193</v>
      </c>
      <c r="M58" s="104">
        <v>7719</v>
      </c>
      <c r="N58" s="104">
        <v>84912</v>
      </c>
      <c r="O58" s="77" t="s">
        <v>292</v>
      </c>
      <c r="P58" s="77" t="s">
        <v>293</v>
      </c>
      <c r="Q58" s="78">
        <f t="shared" si="8"/>
        <v>240</v>
      </c>
      <c r="R58" s="79">
        <v>46136</v>
      </c>
      <c r="S58" s="79">
        <f t="shared" si="1"/>
        <v>46375</v>
      </c>
      <c r="T58" s="80">
        <v>77193</v>
      </c>
      <c r="U58" s="80">
        <f t="shared" si="2"/>
        <v>7719.3</v>
      </c>
      <c r="V58" s="80">
        <f t="shared" si="3"/>
        <v>84912.3</v>
      </c>
      <c r="W58" s="78"/>
      <c r="X58" s="79">
        <f t="shared" si="4"/>
        <v>46136</v>
      </c>
      <c r="Y58" s="79" t="str">
        <f t="shared" si="5"/>
        <v/>
      </c>
      <c r="Z58" s="80"/>
      <c r="AA58" s="80">
        <f t="shared" si="6"/>
        <v>0</v>
      </c>
      <c r="AB58" s="80">
        <f t="shared" si="7"/>
        <v>0</v>
      </c>
      <c r="AC58" s="80"/>
      <c r="AD58" s="80"/>
      <c r="AE58" s="80"/>
      <c r="AF58" s="80">
        <v>2476.6</v>
      </c>
      <c r="AG58" s="80">
        <v>2476.6</v>
      </c>
      <c r="AH58" s="80"/>
      <c r="AI58" s="80">
        <v>10967.83</v>
      </c>
      <c r="AJ58" s="80">
        <v>10967.83</v>
      </c>
      <c r="AK58" s="80"/>
      <c r="AL58" s="80">
        <v>10614.04</v>
      </c>
      <c r="AM58" s="80">
        <v>10614.04</v>
      </c>
      <c r="AN58" s="80"/>
      <c r="AO58" s="80">
        <v>10967.83</v>
      </c>
      <c r="AP58" s="80">
        <v>10967.83</v>
      </c>
      <c r="AQ58" s="80"/>
      <c r="AR58" s="80">
        <v>10967.83</v>
      </c>
      <c r="AS58" s="80">
        <v>10967.83</v>
      </c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</row>
    <row r="59" spans="1:58" ht="40.049999999999997" customHeight="1" x14ac:dyDescent="0.25">
      <c r="A59" s="98">
        <v>58</v>
      </c>
      <c r="B59" s="99">
        <v>105</v>
      </c>
      <c r="C59" s="100" t="s">
        <v>258</v>
      </c>
      <c r="D59" s="101" t="s">
        <v>259</v>
      </c>
      <c r="E59" s="101" t="s">
        <v>294</v>
      </c>
      <c r="F59" s="101" t="s">
        <v>295</v>
      </c>
      <c r="G59" s="101" t="s">
        <v>296</v>
      </c>
      <c r="H59" s="102">
        <v>10.013999999999999</v>
      </c>
      <c r="I59" s="100" t="s">
        <v>46</v>
      </c>
      <c r="J59" s="103">
        <v>796</v>
      </c>
      <c r="K59" s="100">
        <v>240</v>
      </c>
      <c r="L59" s="104">
        <v>63770</v>
      </c>
      <c r="M59" s="104">
        <v>6377</v>
      </c>
      <c r="N59" s="104">
        <v>70147</v>
      </c>
      <c r="O59" s="77" t="s">
        <v>297</v>
      </c>
      <c r="P59" s="77" t="s">
        <v>264</v>
      </c>
      <c r="Q59" s="78">
        <f t="shared" si="8"/>
        <v>240</v>
      </c>
      <c r="R59" s="79">
        <v>46122</v>
      </c>
      <c r="S59" s="79">
        <f t="shared" si="1"/>
        <v>46361</v>
      </c>
      <c r="T59" s="80">
        <v>63770</v>
      </c>
      <c r="U59" s="80">
        <f t="shared" si="2"/>
        <v>6377</v>
      </c>
      <c r="V59" s="80">
        <f t="shared" si="3"/>
        <v>70147</v>
      </c>
      <c r="W59" s="78"/>
      <c r="X59" s="79">
        <f t="shared" si="4"/>
        <v>46122</v>
      </c>
      <c r="Y59" s="79" t="str">
        <f t="shared" si="5"/>
        <v/>
      </c>
      <c r="Z59" s="80"/>
      <c r="AA59" s="80">
        <f t="shared" si="6"/>
        <v>0</v>
      </c>
      <c r="AB59" s="80">
        <f t="shared" si="7"/>
        <v>0</v>
      </c>
      <c r="AC59" s="80"/>
      <c r="AD59" s="80"/>
      <c r="AE59" s="80"/>
      <c r="AF59" s="80">
        <v>6137.85</v>
      </c>
      <c r="AG59" s="80">
        <v>6137.85</v>
      </c>
      <c r="AH59" s="80"/>
      <c r="AI59" s="80">
        <v>9060.65</v>
      </c>
      <c r="AJ59" s="80">
        <v>9060.65</v>
      </c>
      <c r="AK59" s="80"/>
      <c r="AL59" s="80">
        <v>8768.3700000000008</v>
      </c>
      <c r="AM59" s="80">
        <v>8768.3700000000008</v>
      </c>
      <c r="AN59" s="80"/>
      <c r="AO59" s="80">
        <v>9060.65</v>
      </c>
      <c r="AP59" s="80">
        <v>9060.65</v>
      </c>
      <c r="AQ59" s="80"/>
      <c r="AR59" s="80">
        <v>9060.65</v>
      </c>
      <c r="AS59" s="80">
        <v>9060.65</v>
      </c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</row>
    <row r="60" spans="1:58" ht="40.049999999999997" customHeight="1" x14ac:dyDescent="0.25">
      <c r="A60" s="98">
        <v>59</v>
      </c>
      <c r="B60" s="99">
        <v>105</v>
      </c>
      <c r="C60" s="100" t="s">
        <v>258</v>
      </c>
      <c r="D60" s="101" t="s">
        <v>259</v>
      </c>
      <c r="E60" s="101" t="s">
        <v>298</v>
      </c>
      <c r="F60" s="101" t="s">
        <v>299</v>
      </c>
      <c r="G60" s="101" t="s">
        <v>300</v>
      </c>
      <c r="H60" s="102">
        <v>15.811999999999999</v>
      </c>
      <c r="I60" s="100" t="s">
        <v>46</v>
      </c>
      <c r="J60" s="103">
        <v>810</v>
      </c>
      <c r="K60" s="100">
        <v>240</v>
      </c>
      <c r="L60" s="104">
        <v>102462</v>
      </c>
      <c r="M60" s="104">
        <v>10246</v>
      </c>
      <c r="N60" s="104">
        <v>112708</v>
      </c>
      <c r="O60" s="77" t="s">
        <v>301</v>
      </c>
      <c r="P60" s="77" t="s">
        <v>264</v>
      </c>
      <c r="Q60" s="78">
        <f t="shared" si="8"/>
        <v>240</v>
      </c>
      <c r="R60" s="79">
        <v>46121</v>
      </c>
      <c r="S60" s="79">
        <f t="shared" si="1"/>
        <v>46360</v>
      </c>
      <c r="T60" s="80">
        <v>102462</v>
      </c>
      <c r="U60" s="80">
        <f t="shared" si="2"/>
        <v>10246.200000000001</v>
      </c>
      <c r="V60" s="80">
        <f t="shared" si="3"/>
        <v>112708.2</v>
      </c>
      <c r="W60" s="78"/>
      <c r="X60" s="79">
        <f t="shared" si="4"/>
        <v>46121</v>
      </c>
      <c r="Y60" s="79" t="str">
        <f t="shared" si="5"/>
        <v/>
      </c>
      <c r="Z60" s="80"/>
      <c r="AA60" s="80">
        <f t="shared" si="6"/>
        <v>0</v>
      </c>
      <c r="AB60" s="80">
        <f t="shared" si="7"/>
        <v>0</v>
      </c>
      <c r="AC60" s="80"/>
      <c r="AD60" s="80"/>
      <c r="AE60" s="80"/>
      <c r="AF60" s="80">
        <v>10331.56</v>
      </c>
      <c r="AG60" s="80">
        <v>10331.56</v>
      </c>
      <c r="AH60" s="80"/>
      <c r="AI60" s="80">
        <v>14558.14</v>
      </c>
      <c r="AJ60" s="80">
        <v>14558.14</v>
      </c>
      <c r="AK60" s="80"/>
      <c r="AL60" s="80">
        <v>14088.52</v>
      </c>
      <c r="AM60" s="80">
        <v>14088.52</v>
      </c>
      <c r="AN60" s="80"/>
      <c r="AO60" s="80">
        <v>14558.14</v>
      </c>
      <c r="AP60" s="80">
        <v>14558.14</v>
      </c>
      <c r="AQ60" s="80"/>
      <c r="AR60" s="80">
        <v>14558.14</v>
      </c>
      <c r="AS60" s="80">
        <v>14558.14</v>
      </c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80"/>
      <c r="BF60" s="80"/>
    </row>
    <row r="61" spans="1:58" ht="40.049999999999997" customHeight="1" x14ac:dyDescent="0.25">
      <c r="A61" s="98">
        <v>60</v>
      </c>
      <c r="B61" s="99">
        <v>105</v>
      </c>
      <c r="C61" s="100" t="s">
        <v>258</v>
      </c>
      <c r="D61" s="101" t="s">
        <v>259</v>
      </c>
      <c r="E61" s="101" t="s">
        <v>298</v>
      </c>
      <c r="F61" s="101" t="s">
        <v>302</v>
      </c>
      <c r="G61" s="101" t="s">
        <v>303</v>
      </c>
      <c r="H61" s="102">
        <v>10.122</v>
      </c>
      <c r="I61" s="100" t="s">
        <v>46</v>
      </c>
      <c r="J61" s="103">
        <v>805</v>
      </c>
      <c r="K61" s="100">
        <v>240</v>
      </c>
      <c r="L61" s="104">
        <v>65186</v>
      </c>
      <c r="M61" s="104">
        <v>6519</v>
      </c>
      <c r="N61" s="104">
        <v>71705</v>
      </c>
      <c r="O61" s="77" t="s">
        <v>304</v>
      </c>
      <c r="P61" s="77" t="s">
        <v>305</v>
      </c>
      <c r="Q61" s="78">
        <f t="shared" si="8"/>
        <v>240</v>
      </c>
      <c r="R61" s="79">
        <v>46146</v>
      </c>
      <c r="S61" s="79">
        <f t="shared" si="1"/>
        <v>46385</v>
      </c>
      <c r="T61" s="80">
        <v>65186</v>
      </c>
      <c r="U61" s="80">
        <f t="shared" si="2"/>
        <v>6518.6</v>
      </c>
      <c r="V61" s="80">
        <f t="shared" si="3"/>
        <v>71704.600000000006</v>
      </c>
      <c r="W61" s="78">
        <v>226</v>
      </c>
      <c r="X61" s="79">
        <f t="shared" si="4"/>
        <v>46146</v>
      </c>
      <c r="Y61" s="79">
        <f t="shared" si="5"/>
        <v>46371</v>
      </c>
      <c r="Z61" s="80">
        <v>61383.19</v>
      </c>
      <c r="AA61" s="80">
        <f t="shared" si="6"/>
        <v>6138.32</v>
      </c>
      <c r="AB61" s="80">
        <f t="shared" si="7"/>
        <v>67521.510000000009</v>
      </c>
      <c r="AC61" s="80"/>
      <c r="AD61" s="80"/>
      <c r="AE61" s="80"/>
      <c r="AF61" s="80"/>
      <c r="AG61" s="80"/>
      <c r="AH61" s="80"/>
      <c r="AI61" s="80">
        <v>8365.48</v>
      </c>
      <c r="AJ61" s="80">
        <v>8365.48</v>
      </c>
      <c r="AK61" s="80"/>
      <c r="AL61" s="80">
        <v>8963.0300000000007</v>
      </c>
      <c r="AM61" s="80">
        <v>8963.0300000000007</v>
      </c>
      <c r="AN61" s="80"/>
      <c r="AO61" s="80">
        <v>9261.7999999999993</v>
      </c>
      <c r="AP61" s="80">
        <v>9261.7999999999993</v>
      </c>
      <c r="AQ61" s="80"/>
      <c r="AR61" s="80">
        <v>9261.7999999999993</v>
      </c>
      <c r="AS61" s="80">
        <v>9261.7999999999993</v>
      </c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0"/>
    </row>
    <row r="62" spans="1:58" ht="40.049999999999997" customHeight="1" x14ac:dyDescent="0.25">
      <c r="A62" s="98">
        <v>61</v>
      </c>
      <c r="B62" s="99">
        <v>105</v>
      </c>
      <c r="C62" s="100" t="s">
        <v>258</v>
      </c>
      <c r="D62" s="101" t="s">
        <v>259</v>
      </c>
      <c r="E62" s="101" t="s">
        <v>306</v>
      </c>
      <c r="F62" s="101" t="s">
        <v>307</v>
      </c>
      <c r="G62" s="101" t="s">
        <v>308</v>
      </c>
      <c r="H62" s="102">
        <v>13.443</v>
      </c>
      <c r="I62" s="100" t="s">
        <v>46</v>
      </c>
      <c r="J62" s="103">
        <v>804</v>
      </c>
      <c r="K62" s="100">
        <v>240</v>
      </c>
      <c r="L62" s="104">
        <v>86466</v>
      </c>
      <c r="M62" s="104">
        <v>8647</v>
      </c>
      <c r="N62" s="104">
        <v>95113</v>
      </c>
      <c r="O62" s="77" t="s">
        <v>309</v>
      </c>
      <c r="P62" s="77" t="s">
        <v>264</v>
      </c>
      <c r="Q62" s="78">
        <f t="shared" si="8"/>
        <v>240</v>
      </c>
      <c r="R62" s="79">
        <v>46122</v>
      </c>
      <c r="S62" s="79">
        <f t="shared" si="1"/>
        <v>46361</v>
      </c>
      <c r="T62" s="80">
        <v>86466</v>
      </c>
      <c r="U62" s="80">
        <f t="shared" si="2"/>
        <v>8646.6</v>
      </c>
      <c r="V62" s="80">
        <f t="shared" si="3"/>
        <v>95112.6</v>
      </c>
      <c r="W62" s="78"/>
      <c r="X62" s="79">
        <f t="shared" si="4"/>
        <v>46122</v>
      </c>
      <c r="Y62" s="79" t="str">
        <f t="shared" si="5"/>
        <v/>
      </c>
      <c r="Z62" s="80"/>
      <c r="AA62" s="80">
        <f t="shared" si="6"/>
        <v>0</v>
      </c>
      <c r="AB62" s="80">
        <f t="shared" si="7"/>
        <v>0</v>
      </c>
      <c r="AC62" s="80"/>
      <c r="AD62" s="80"/>
      <c r="AE62" s="80"/>
      <c r="AF62" s="80">
        <v>8322.32</v>
      </c>
      <c r="AG62" s="80">
        <v>8322.32</v>
      </c>
      <c r="AH62" s="80"/>
      <c r="AI62" s="80">
        <v>12285.38</v>
      </c>
      <c r="AJ62" s="80">
        <v>12285.38</v>
      </c>
      <c r="AK62" s="80"/>
      <c r="AL62" s="80">
        <v>11889.07</v>
      </c>
      <c r="AM62" s="80">
        <v>11889.07</v>
      </c>
      <c r="AN62" s="80"/>
      <c r="AO62" s="80">
        <v>12285.38</v>
      </c>
      <c r="AP62" s="80">
        <v>12285.38</v>
      </c>
      <c r="AQ62" s="80"/>
      <c r="AR62" s="80">
        <v>12285.38</v>
      </c>
      <c r="AS62" s="80">
        <v>12285.38</v>
      </c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</row>
    <row r="63" spans="1:58" ht="40.049999999999997" customHeight="1" x14ac:dyDescent="0.25">
      <c r="A63" s="98">
        <v>62</v>
      </c>
      <c r="B63" s="99">
        <v>105</v>
      </c>
      <c r="C63" s="100" t="s">
        <v>258</v>
      </c>
      <c r="D63" s="101" t="s">
        <v>259</v>
      </c>
      <c r="E63" s="101" t="s">
        <v>310</v>
      </c>
      <c r="F63" s="101" t="s">
        <v>311</v>
      </c>
      <c r="G63" s="101" t="s">
        <v>312</v>
      </c>
      <c r="H63" s="102">
        <v>5.17</v>
      </c>
      <c r="I63" s="100" t="s">
        <v>46</v>
      </c>
      <c r="J63" s="103">
        <v>795</v>
      </c>
      <c r="K63" s="100">
        <v>240</v>
      </c>
      <c r="L63" s="104">
        <v>32882</v>
      </c>
      <c r="M63" s="104">
        <v>3289</v>
      </c>
      <c r="N63" s="104">
        <v>36171</v>
      </c>
      <c r="O63" s="77" t="s">
        <v>313</v>
      </c>
      <c r="P63" s="77" t="s">
        <v>314</v>
      </c>
      <c r="Q63" s="78">
        <f t="shared" si="8"/>
        <v>240</v>
      </c>
      <c r="R63" s="79">
        <v>46097</v>
      </c>
      <c r="S63" s="79">
        <f t="shared" si="1"/>
        <v>46336</v>
      </c>
      <c r="T63" s="80">
        <v>32882</v>
      </c>
      <c r="U63" s="80">
        <f t="shared" si="2"/>
        <v>3288.2</v>
      </c>
      <c r="V63" s="80">
        <f t="shared" si="3"/>
        <v>36170.199999999997</v>
      </c>
      <c r="W63" s="78"/>
      <c r="X63" s="79">
        <f t="shared" si="4"/>
        <v>46097</v>
      </c>
      <c r="Y63" s="79" t="str">
        <f t="shared" si="5"/>
        <v/>
      </c>
      <c r="Z63" s="80"/>
      <c r="AA63" s="80">
        <f t="shared" si="6"/>
        <v>0</v>
      </c>
      <c r="AB63" s="80">
        <f t="shared" si="7"/>
        <v>0</v>
      </c>
      <c r="AC63" s="80">
        <v>2411.37</v>
      </c>
      <c r="AD63" s="80">
        <v>2411.37</v>
      </c>
      <c r="AE63" s="80"/>
      <c r="AF63" s="80">
        <v>4521.33</v>
      </c>
      <c r="AG63" s="80">
        <v>4521.33</v>
      </c>
      <c r="AH63" s="80"/>
      <c r="AI63" s="80">
        <v>4671.99</v>
      </c>
      <c r="AJ63" s="80">
        <v>4671.99</v>
      </c>
      <c r="AK63" s="80"/>
      <c r="AL63" s="80">
        <v>4521.2700000000004</v>
      </c>
      <c r="AM63" s="80">
        <v>4521.2700000000004</v>
      </c>
      <c r="AN63" s="80"/>
      <c r="AO63" s="80">
        <v>4671.9799999999996</v>
      </c>
      <c r="AP63" s="80">
        <v>4671.9799999999996</v>
      </c>
      <c r="AQ63" s="80"/>
      <c r="AR63" s="80">
        <v>4671.9799999999996</v>
      </c>
      <c r="AS63" s="80">
        <v>4671.9799999999996</v>
      </c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</row>
    <row r="64" spans="1:58" ht="40.049999999999997" customHeight="1" x14ac:dyDescent="0.25">
      <c r="A64" s="98">
        <v>63</v>
      </c>
      <c r="B64" s="99">
        <v>105</v>
      </c>
      <c r="C64" s="100" t="s">
        <v>258</v>
      </c>
      <c r="D64" s="101" t="s">
        <v>259</v>
      </c>
      <c r="E64" s="101" t="s">
        <v>315</v>
      </c>
      <c r="F64" s="101" t="s">
        <v>316</v>
      </c>
      <c r="G64" s="101" t="s">
        <v>317</v>
      </c>
      <c r="H64" s="102">
        <v>10.585000000000001</v>
      </c>
      <c r="I64" s="100" t="s">
        <v>46</v>
      </c>
      <c r="J64" s="103">
        <v>812</v>
      </c>
      <c r="K64" s="100">
        <v>240</v>
      </c>
      <c r="L64" s="104">
        <v>68761</v>
      </c>
      <c r="M64" s="104">
        <v>6876</v>
      </c>
      <c r="N64" s="104">
        <v>75637</v>
      </c>
      <c r="O64" s="77" t="s">
        <v>318</v>
      </c>
      <c r="P64" s="77" t="s">
        <v>319</v>
      </c>
      <c r="Q64" s="78">
        <f t="shared" si="8"/>
        <v>240</v>
      </c>
      <c r="R64" s="79">
        <v>46150</v>
      </c>
      <c r="S64" s="79">
        <f t="shared" si="1"/>
        <v>46389</v>
      </c>
      <c r="T64" s="80">
        <v>68761</v>
      </c>
      <c r="U64" s="80">
        <f t="shared" si="2"/>
        <v>6876.1</v>
      </c>
      <c r="V64" s="80">
        <f t="shared" si="3"/>
        <v>75637.100000000006</v>
      </c>
      <c r="W64" s="78">
        <v>222</v>
      </c>
      <c r="X64" s="79">
        <f t="shared" si="4"/>
        <v>46150</v>
      </c>
      <c r="Y64" s="79">
        <f t="shared" si="5"/>
        <v>46371</v>
      </c>
      <c r="Z64" s="80">
        <v>63603.15</v>
      </c>
      <c r="AA64" s="80">
        <f t="shared" si="6"/>
        <v>6360.32</v>
      </c>
      <c r="AB64" s="80">
        <f t="shared" si="7"/>
        <v>69963.47</v>
      </c>
      <c r="AC64" s="80"/>
      <c r="AD64" s="80"/>
      <c r="AE64" s="80"/>
      <c r="AF64" s="80"/>
      <c r="AG64" s="80"/>
      <c r="AH64" s="80"/>
      <c r="AI64" s="80">
        <v>7563.62</v>
      </c>
      <c r="AJ64" s="80">
        <v>7563.62</v>
      </c>
      <c r="AK64" s="80"/>
      <c r="AL64" s="80">
        <v>9454.52</v>
      </c>
      <c r="AM64" s="80">
        <v>9454.52</v>
      </c>
      <c r="AN64" s="80"/>
      <c r="AO64" s="80">
        <v>9769.67</v>
      </c>
      <c r="AP64" s="80">
        <v>9769.67</v>
      </c>
      <c r="AQ64" s="80"/>
      <c r="AR64" s="80">
        <v>9769.67</v>
      </c>
      <c r="AS64" s="80">
        <v>9769.67</v>
      </c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</row>
    <row r="65" spans="1:58" ht="40.049999999999997" customHeight="1" x14ac:dyDescent="0.25">
      <c r="A65" s="98">
        <v>64</v>
      </c>
      <c r="B65" s="99">
        <v>105</v>
      </c>
      <c r="C65" s="100" t="s">
        <v>258</v>
      </c>
      <c r="D65" s="101" t="s">
        <v>259</v>
      </c>
      <c r="E65" s="101" t="s">
        <v>320</v>
      </c>
      <c r="F65" s="101" t="s">
        <v>321</v>
      </c>
      <c r="G65" s="101" t="s">
        <v>322</v>
      </c>
      <c r="H65" s="102">
        <v>7.2140000000000004</v>
      </c>
      <c r="I65" s="100" t="s">
        <v>46</v>
      </c>
      <c r="J65" s="103">
        <v>762</v>
      </c>
      <c r="K65" s="100">
        <v>240</v>
      </c>
      <c r="L65" s="104">
        <v>43977</v>
      </c>
      <c r="M65" s="104">
        <v>4398</v>
      </c>
      <c r="N65" s="104">
        <v>48375</v>
      </c>
      <c r="O65" s="77" t="s">
        <v>323</v>
      </c>
      <c r="P65" s="77" t="s">
        <v>264</v>
      </c>
      <c r="Q65" s="78">
        <f t="shared" si="8"/>
        <v>240</v>
      </c>
      <c r="R65" s="79">
        <v>46093</v>
      </c>
      <c r="S65" s="79">
        <f t="shared" si="1"/>
        <v>46332</v>
      </c>
      <c r="T65" s="80">
        <v>43977</v>
      </c>
      <c r="U65" s="80">
        <f t="shared" si="2"/>
        <v>4397.7</v>
      </c>
      <c r="V65" s="80">
        <f t="shared" si="3"/>
        <v>48374.7</v>
      </c>
      <c r="W65" s="78"/>
      <c r="X65" s="79">
        <f t="shared" si="4"/>
        <v>46093</v>
      </c>
      <c r="Y65" s="79" t="str">
        <f t="shared" si="5"/>
        <v/>
      </c>
      <c r="Z65" s="80"/>
      <c r="AA65" s="80">
        <f t="shared" si="6"/>
        <v>0</v>
      </c>
      <c r="AB65" s="80">
        <f t="shared" si="7"/>
        <v>0</v>
      </c>
      <c r="AC65" s="80">
        <v>4031.28</v>
      </c>
      <c r="AD65" s="80">
        <v>4031.28</v>
      </c>
      <c r="AE65" s="80"/>
      <c r="AF65" s="80">
        <v>6046.92</v>
      </c>
      <c r="AG65" s="80">
        <v>6046.92</v>
      </c>
      <c r="AH65" s="80"/>
      <c r="AI65" s="80">
        <v>6248.4</v>
      </c>
      <c r="AJ65" s="80">
        <v>6248.4</v>
      </c>
      <c r="AK65" s="80"/>
      <c r="AL65" s="80">
        <v>6046.84</v>
      </c>
      <c r="AM65" s="80">
        <v>6046.84</v>
      </c>
      <c r="AN65" s="80"/>
      <c r="AO65" s="80">
        <v>6248.39</v>
      </c>
      <c r="AP65" s="80">
        <v>6248.39</v>
      </c>
      <c r="AQ65" s="80"/>
      <c r="AR65" s="80">
        <v>6248.39</v>
      </c>
      <c r="AS65" s="80">
        <v>6248.39</v>
      </c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</row>
    <row r="66" spans="1:58" ht="40.049999999999997" customHeight="1" x14ac:dyDescent="0.25">
      <c r="A66" s="98">
        <v>65</v>
      </c>
      <c r="B66" s="99">
        <v>105</v>
      </c>
      <c r="C66" s="100" t="s">
        <v>258</v>
      </c>
      <c r="D66" s="101" t="s">
        <v>259</v>
      </c>
      <c r="E66" s="101" t="s">
        <v>324</v>
      </c>
      <c r="F66" s="101" t="s">
        <v>325</v>
      </c>
      <c r="G66" s="101" t="s">
        <v>326</v>
      </c>
      <c r="H66" s="102">
        <v>8.9320000000000004</v>
      </c>
      <c r="I66" s="100" t="s">
        <v>46</v>
      </c>
      <c r="J66" s="103">
        <v>821</v>
      </c>
      <c r="K66" s="100">
        <v>240</v>
      </c>
      <c r="L66" s="104">
        <v>58666</v>
      </c>
      <c r="M66" s="104">
        <v>5867</v>
      </c>
      <c r="N66" s="104">
        <v>64533</v>
      </c>
      <c r="O66" s="77" t="s">
        <v>327</v>
      </c>
      <c r="P66" s="77" t="s">
        <v>275</v>
      </c>
      <c r="Q66" s="78">
        <f t="shared" si="8"/>
        <v>240</v>
      </c>
      <c r="R66" s="79">
        <v>46122</v>
      </c>
      <c r="S66" s="79">
        <f t="shared" ref="S66:S129" si="9">IF(Q66+R66=0,"",Q66+R66-1)</f>
        <v>46361</v>
      </c>
      <c r="T66" s="80">
        <v>58666</v>
      </c>
      <c r="U66" s="80">
        <f t="shared" ref="U66:U129" si="10">+ROUND(T66*0.1,2)</f>
        <v>5866.6</v>
      </c>
      <c r="V66" s="80">
        <f t="shared" ref="V66:V129" si="11">+SUM(T66:U66)</f>
        <v>64532.6</v>
      </c>
      <c r="W66" s="78"/>
      <c r="X66" s="79">
        <f t="shared" ref="X66:X129" si="12">+$R66</f>
        <v>46122</v>
      </c>
      <c r="Y66" s="79" t="str">
        <f t="shared" ref="Y66:Y129" si="13">IF(W66&gt;0,X66+W66-1,"")</f>
        <v/>
      </c>
      <c r="Z66" s="80"/>
      <c r="AA66" s="80">
        <f t="shared" ref="AA66:AA129" si="14">+ROUND(Z66*0.1,2)</f>
        <v>0</v>
      </c>
      <c r="AB66" s="80">
        <f t="shared" ref="AB66:AB129" si="15">+SUM(Z66:AA66)</f>
        <v>0</v>
      </c>
      <c r="AC66" s="80"/>
      <c r="AD66" s="80"/>
      <c r="AE66" s="80"/>
      <c r="AF66" s="80">
        <v>5646.6</v>
      </c>
      <c r="AG66" s="80">
        <v>5646.6</v>
      </c>
      <c r="AH66" s="80"/>
      <c r="AI66" s="80">
        <v>8335.4500000000007</v>
      </c>
      <c r="AJ66" s="80">
        <v>8335.4500000000007</v>
      </c>
      <c r="AK66" s="80"/>
      <c r="AL66" s="80">
        <v>8066.57</v>
      </c>
      <c r="AM66" s="80">
        <v>8066.57</v>
      </c>
      <c r="AN66" s="80"/>
      <c r="AO66" s="80">
        <v>8335.4500000000007</v>
      </c>
      <c r="AP66" s="80">
        <v>8335.4500000000007</v>
      </c>
      <c r="AQ66" s="80"/>
      <c r="AR66" s="80">
        <v>8335.4500000000007</v>
      </c>
      <c r="AS66" s="80">
        <v>8335.4500000000007</v>
      </c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0"/>
    </row>
    <row r="67" spans="1:58" ht="40.049999999999997" customHeight="1" x14ac:dyDescent="0.25">
      <c r="A67" s="98">
        <v>66</v>
      </c>
      <c r="B67" s="99">
        <v>105</v>
      </c>
      <c r="C67" s="100" t="s">
        <v>258</v>
      </c>
      <c r="D67" s="101" t="s">
        <v>259</v>
      </c>
      <c r="E67" s="101" t="s">
        <v>259</v>
      </c>
      <c r="F67" s="101" t="s">
        <v>328</v>
      </c>
      <c r="G67" s="101" t="s">
        <v>329</v>
      </c>
      <c r="H67" s="102">
        <v>15.84</v>
      </c>
      <c r="I67" s="100" t="s">
        <v>46</v>
      </c>
      <c r="J67" s="103">
        <v>810</v>
      </c>
      <c r="K67" s="100">
        <v>240</v>
      </c>
      <c r="L67" s="104">
        <v>102644</v>
      </c>
      <c r="M67" s="104">
        <v>10265</v>
      </c>
      <c r="N67" s="104">
        <v>112909</v>
      </c>
      <c r="O67" s="77" t="s">
        <v>330</v>
      </c>
      <c r="P67" s="77" t="s">
        <v>331</v>
      </c>
      <c r="Q67" s="78">
        <f t="shared" si="8"/>
        <v>240</v>
      </c>
      <c r="R67" s="79">
        <v>46149</v>
      </c>
      <c r="S67" s="79">
        <f t="shared" si="9"/>
        <v>46388</v>
      </c>
      <c r="T67" s="80">
        <v>102644</v>
      </c>
      <c r="U67" s="80">
        <f t="shared" si="10"/>
        <v>10264.4</v>
      </c>
      <c r="V67" s="80">
        <f t="shared" si="11"/>
        <v>112908.4</v>
      </c>
      <c r="W67" s="78">
        <v>223</v>
      </c>
      <c r="X67" s="79">
        <f t="shared" si="12"/>
        <v>46149</v>
      </c>
      <c r="Y67" s="79">
        <f t="shared" si="13"/>
        <v>46371</v>
      </c>
      <c r="Z67" s="80">
        <v>95372.64</v>
      </c>
      <c r="AA67" s="80">
        <f t="shared" si="14"/>
        <v>9537.26</v>
      </c>
      <c r="AB67" s="80">
        <f t="shared" si="15"/>
        <v>104909.9</v>
      </c>
      <c r="AC67" s="80"/>
      <c r="AD67" s="80"/>
      <c r="AE67" s="80"/>
      <c r="AF67" s="80"/>
      <c r="AG67" s="80"/>
      <c r="AH67" s="80"/>
      <c r="AI67" s="80">
        <v>11761.2</v>
      </c>
      <c r="AJ67" s="80">
        <v>11761.2</v>
      </c>
      <c r="AK67" s="80"/>
      <c r="AL67" s="80">
        <v>14113.44</v>
      </c>
      <c r="AM67" s="80">
        <v>14113.44</v>
      </c>
      <c r="AN67" s="80"/>
      <c r="AO67" s="80">
        <v>14583.88</v>
      </c>
      <c r="AP67" s="80">
        <v>14583.88</v>
      </c>
      <c r="AQ67" s="80"/>
      <c r="AR67" s="80">
        <v>14583.88</v>
      </c>
      <c r="AS67" s="80">
        <v>14583.88</v>
      </c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80"/>
    </row>
    <row r="68" spans="1:58" ht="40.049999999999997" customHeight="1" x14ac:dyDescent="0.25">
      <c r="A68" s="98">
        <v>67</v>
      </c>
      <c r="B68" s="99">
        <v>105</v>
      </c>
      <c r="C68" s="100" t="s">
        <v>258</v>
      </c>
      <c r="D68" s="101" t="s">
        <v>259</v>
      </c>
      <c r="E68" s="101" t="s">
        <v>285</v>
      </c>
      <c r="F68" s="101" t="s">
        <v>332</v>
      </c>
      <c r="G68" s="101" t="s">
        <v>333</v>
      </c>
      <c r="H68" s="102">
        <v>16.309999999999999</v>
      </c>
      <c r="I68" s="100" t="s">
        <v>46</v>
      </c>
      <c r="J68" s="103">
        <v>814</v>
      </c>
      <c r="K68" s="100">
        <v>240</v>
      </c>
      <c r="L68" s="104">
        <v>106211</v>
      </c>
      <c r="M68" s="104">
        <v>10622</v>
      </c>
      <c r="N68" s="104">
        <v>116833</v>
      </c>
      <c r="O68" s="77" t="s">
        <v>334</v>
      </c>
      <c r="P68" s="77" t="s">
        <v>331</v>
      </c>
      <c r="Q68" s="78">
        <f t="shared" si="8"/>
        <v>240</v>
      </c>
      <c r="R68" s="79">
        <v>46149</v>
      </c>
      <c r="S68" s="79">
        <f t="shared" si="9"/>
        <v>46388</v>
      </c>
      <c r="T68" s="80">
        <v>106211</v>
      </c>
      <c r="U68" s="80">
        <f t="shared" si="10"/>
        <v>10621.1</v>
      </c>
      <c r="V68" s="80">
        <f t="shared" si="11"/>
        <v>116832.1</v>
      </c>
      <c r="W68" s="78">
        <v>223</v>
      </c>
      <c r="X68" s="79">
        <f t="shared" si="12"/>
        <v>46149</v>
      </c>
      <c r="Y68" s="79">
        <f t="shared" si="13"/>
        <v>46371</v>
      </c>
      <c r="Z68" s="80">
        <v>98687.47</v>
      </c>
      <c r="AA68" s="80">
        <f t="shared" si="14"/>
        <v>9868.75</v>
      </c>
      <c r="AB68" s="80">
        <f t="shared" si="15"/>
        <v>108556.22</v>
      </c>
      <c r="AC68" s="80"/>
      <c r="AD68" s="80"/>
      <c r="AE68" s="80"/>
      <c r="AF68" s="80"/>
      <c r="AG68" s="80"/>
      <c r="AH68" s="80"/>
      <c r="AI68" s="80">
        <v>12169.98</v>
      </c>
      <c r="AJ68" s="80">
        <v>12169.98</v>
      </c>
      <c r="AK68" s="80"/>
      <c r="AL68" s="80">
        <v>14603.97</v>
      </c>
      <c r="AM68" s="80">
        <v>14603.97</v>
      </c>
      <c r="AN68" s="80"/>
      <c r="AO68" s="80">
        <v>15090.77</v>
      </c>
      <c r="AP68" s="80">
        <v>15090.77</v>
      </c>
      <c r="AQ68" s="80"/>
      <c r="AR68" s="80">
        <v>15090.77</v>
      </c>
      <c r="AS68" s="80">
        <v>15090.77</v>
      </c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  <c r="BE68" s="80"/>
      <c r="BF68" s="80"/>
    </row>
    <row r="69" spans="1:58" ht="40.049999999999997" customHeight="1" x14ac:dyDescent="0.25">
      <c r="A69" s="98">
        <v>68</v>
      </c>
      <c r="B69" s="99">
        <v>105</v>
      </c>
      <c r="C69" s="100" t="s">
        <v>258</v>
      </c>
      <c r="D69" s="101" t="s">
        <v>259</v>
      </c>
      <c r="E69" s="101" t="s">
        <v>335</v>
      </c>
      <c r="F69" s="101" t="s">
        <v>336</v>
      </c>
      <c r="G69" s="101" t="s">
        <v>337</v>
      </c>
      <c r="H69" s="102">
        <v>14.9</v>
      </c>
      <c r="I69" s="100" t="s">
        <v>46</v>
      </c>
      <c r="J69" s="103">
        <v>810</v>
      </c>
      <c r="K69" s="100">
        <v>240</v>
      </c>
      <c r="L69" s="104">
        <v>96552</v>
      </c>
      <c r="M69" s="104">
        <v>9656</v>
      </c>
      <c r="N69" s="104">
        <v>106208</v>
      </c>
      <c r="O69" s="77" t="s">
        <v>338</v>
      </c>
      <c r="P69" s="77" t="s">
        <v>264</v>
      </c>
      <c r="Q69" s="78">
        <f t="shared" si="8"/>
        <v>240</v>
      </c>
      <c r="R69" s="79">
        <v>46132</v>
      </c>
      <c r="S69" s="79">
        <f t="shared" si="9"/>
        <v>46371</v>
      </c>
      <c r="T69" s="80">
        <v>96552</v>
      </c>
      <c r="U69" s="80">
        <f t="shared" si="10"/>
        <v>9655.2000000000007</v>
      </c>
      <c r="V69" s="80">
        <f t="shared" si="11"/>
        <v>106207.2</v>
      </c>
      <c r="W69" s="78"/>
      <c r="X69" s="79">
        <f t="shared" si="12"/>
        <v>46132</v>
      </c>
      <c r="Y69" s="79" t="str">
        <f t="shared" si="13"/>
        <v/>
      </c>
      <c r="Z69" s="80"/>
      <c r="AA69" s="80">
        <f t="shared" si="14"/>
        <v>0</v>
      </c>
      <c r="AB69" s="80">
        <f t="shared" si="15"/>
        <v>0</v>
      </c>
      <c r="AC69" s="80"/>
      <c r="AD69" s="80"/>
      <c r="AE69" s="80"/>
      <c r="AF69" s="80">
        <v>4867.83</v>
      </c>
      <c r="AG69" s="80">
        <v>4867.83</v>
      </c>
      <c r="AH69" s="80"/>
      <c r="AI69" s="80">
        <v>13718.43</v>
      </c>
      <c r="AJ69" s="80">
        <v>13718.43</v>
      </c>
      <c r="AK69" s="80"/>
      <c r="AL69" s="80">
        <v>13275.9</v>
      </c>
      <c r="AM69" s="80">
        <v>13275.9</v>
      </c>
      <c r="AN69" s="80"/>
      <c r="AO69" s="80">
        <v>13718.43</v>
      </c>
      <c r="AP69" s="80">
        <v>13718.43</v>
      </c>
      <c r="AQ69" s="80"/>
      <c r="AR69" s="80">
        <v>13718.43</v>
      </c>
      <c r="AS69" s="80">
        <v>13718.43</v>
      </c>
      <c r="AT69" s="80"/>
      <c r="AU69" s="80"/>
      <c r="AV69" s="80"/>
      <c r="AW69" s="80"/>
      <c r="AX69" s="80"/>
      <c r="AY69" s="80"/>
      <c r="AZ69" s="80"/>
      <c r="BA69" s="80"/>
      <c r="BB69" s="80"/>
      <c r="BC69" s="80"/>
      <c r="BD69" s="80"/>
      <c r="BE69" s="80"/>
      <c r="BF69" s="80"/>
    </row>
    <row r="70" spans="1:58" ht="40.049999999999997" customHeight="1" thickBot="1" x14ac:dyDescent="0.3">
      <c r="A70" s="130">
        <v>69</v>
      </c>
      <c r="B70" s="131">
        <v>105</v>
      </c>
      <c r="C70" s="132" t="s">
        <v>258</v>
      </c>
      <c r="D70" s="133" t="s">
        <v>259</v>
      </c>
      <c r="E70" s="133" t="s">
        <v>339</v>
      </c>
      <c r="F70" s="133" t="s">
        <v>340</v>
      </c>
      <c r="G70" s="133" t="s">
        <v>341</v>
      </c>
      <c r="H70" s="134">
        <v>23.268000000000001</v>
      </c>
      <c r="I70" s="132" t="s">
        <v>46</v>
      </c>
      <c r="J70" s="135">
        <v>812</v>
      </c>
      <c r="K70" s="132">
        <v>240</v>
      </c>
      <c r="L70" s="136">
        <v>151149</v>
      </c>
      <c r="M70" s="136">
        <v>15115</v>
      </c>
      <c r="N70" s="136">
        <v>166264</v>
      </c>
      <c r="O70" s="137" t="s">
        <v>342</v>
      </c>
      <c r="P70" s="137" t="s">
        <v>264</v>
      </c>
      <c r="Q70" s="138">
        <f t="shared" si="8"/>
        <v>240</v>
      </c>
      <c r="R70" s="139">
        <v>46132</v>
      </c>
      <c r="S70" s="139">
        <f t="shared" si="9"/>
        <v>46371</v>
      </c>
      <c r="T70" s="140">
        <v>151149</v>
      </c>
      <c r="U70" s="140">
        <f t="shared" si="10"/>
        <v>15114.9</v>
      </c>
      <c r="V70" s="140">
        <f t="shared" si="11"/>
        <v>166263.9</v>
      </c>
      <c r="W70" s="138"/>
      <c r="X70" s="139">
        <f t="shared" si="12"/>
        <v>46132</v>
      </c>
      <c r="Y70" s="139" t="str">
        <f t="shared" si="13"/>
        <v/>
      </c>
      <c r="Z70" s="140"/>
      <c r="AA70" s="140">
        <f t="shared" si="14"/>
        <v>0</v>
      </c>
      <c r="AB70" s="140">
        <f t="shared" si="15"/>
        <v>0</v>
      </c>
      <c r="AC70" s="140"/>
      <c r="AD70" s="140"/>
      <c r="AE70" s="140"/>
      <c r="AF70" s="140">
        <v>7620.42</v>
      </c>
      <c r="AG70" s="140">
        <v>7620.42</v>
      </c>
      <c r="AH70" s="140"/>
      <c r="AI70" s="140">
        <v>21475.75</v>
      </c>
      <c r="AJ70" s="140">
        <v>21475.75</v>
      </c>
      <c r="AK70" s="140"/>
      <c r="AL70" s="140">
        <v>20782.990000000002</v>
      </c>
      <c r="AM70" s="140">
        <v>20782.990000000002</v>
      </c>
      <c r="AN70" s="140"/>
      <c r="AO70" s="140">
        <v>21475.75</v>
      </c>
      <c r="AP70" s="140">
        <v>21475.75</v>
      </c>
      <c r="AQ70" s="140"/>
      <c r="AR70" s="140">
        <v>21475.75</v>
      </c>
      <c r="AS70" s="140">
        <v>21475.75</v>
      </c>
      <c r="AT70" s="140"/>
      <c r="AU70" s="140"/>
      <c r="AV70" s="140"/>
      <c r="AW70" s="140"/>
      <c r="AX70" s="140"/>
      <c r="AY70" s="140"/>
      <c r="AZ70" s="140"/>
      <c r="BA70" s="140"/>
      <c r="BB70" s="140"/>
      <c r="BC70" s="140"/>
      <c r="BD70" s="140"/>
      <c r="BE70" s="140"/>
      <c r="BF70" s="140"/>
    </row>
    <row r="71" spans="1:58" ht="40.049999999999997" customHeight="1" thickTop="1" x14ac:dyDescent="0.25">
      <c r="A71" s="119">
        <v>70</v>
      </c>
      <c r="B71" s="120">
        <v>150</v>
      </c>
      <c r="C71" s="121" t="s">
        <v>258</v>
      </c>
      <c r="D71" s="122" t="s">
        <v>343</v>
      </c>
      <c r="E71" s="122" t="s">
        <v>344</v>
      </c>
      <c r="F71" s="122" t="s">
        <v>345</v>
      </c>
      <c r="G71" s="122" t="s">
        <v>346</v>
      </c>
      <c r="H71" s="123">
        <v>32.884</v>
      </c>
      <c r="I71" s="121" t="s">
        <v>46</v>
      </c>
      <c r="J71" s="124">
        <v>885</v>
      </c>
      <c r="K71" s="121">
        <v>240</v>
      </c>
      <c r="L71" s="125">
        <v>232819</v>
      </c>
      <c r="M71" s="125">
        <v>23282</v>
      </c>
      <c r="N71" s="125">
        <v>256101</v>
      </c>
      <c r="O71" s="126" t="s">
        <v>347</v>
      </c>
      <c r="P71" s="126" t="s">
        <v>348</v>
      </c>
      <c r="Q71" s="127">
        <f t="shared" si="8"/>
        <v>240</v>
      </c>
      <c r="R71" s="128">
        <v>46134</v>
      </c>
      <c r="S71" s="128">
        <f t="shared" si="9"/>
        <v>46373</v>
      </c>
      <c r="T71" s="129">
        <v>232818.72</v>
      </c>
      <c r="U71" s="129">
        <f t="shared" si="10"/>
        <v>23281.87</v>
      </c>
      <c r="V71" s="129">
        <f t="shared" si="11"/>
        <v>256100.59</v>
      </c>
      <c r="W71" s="127"/>
      <c r="X71" s="128">
        <f t="shared" si="12"/>
        <v>46134</v>
      </c>
      <c r="Y71" s="128" t="str">
        <f t="shared" si="13"/>
        <v/>
      </c>
      <c r="Z71" s="129"/>
      <c r="AA71" s="129">
        <f t="shared" si="14"/>
        <v>0</v>
      </c>
      <c r="AB71" s="129">
        <f t="shared" si="15"/>
        <v>0</v>
      </c>
      <c r="AC71" s="129"/>
      <c r="AD71" s="129"/>
      <c r="AE71" s="129"/>
      <c r="AF71" s="129">
        <v>9603.6</v>
      </c>
      <c r="AG71" s="129">
        <v>9603.6</v>
      </c>
      <c r="AH71" s="129"/>
      <c r="AI71" s="129">
        <v>33079.72</v>
      </c>
      <c r="AJ71" s="129">
        <v>33079.72</v>
      </c>
      <c r="AK71" s="129"/>
      <c r="AL71" s="129">
        <v>32012.639999999999</v>
      </c>
      <c r="AM71" s="129">
        <v>32012.639999999999</v>
      </c>
      <c r="AN71" s="129"/>
      <c r="AO71" s="129">
        <v>33079.72</v>
      </c>
      <c r="AP71" s="129">
        <v>33079.72</v>
      </c>
      <c r="AQ71" s="129">
        <v>312453.44</v>
      </c>
      <c r="AR71" s="129">
        <v>33079.72</v>
      </c>
      <c r="AS71" s="129">
        <v>33079.72</v>
      </c>
      <c r="AT71" s="129">
        <v>504606.49</v>
      </c>
      <c r="AU71" s="129"/>
      <c r="AV71" s="129"/>
      <c r="AW71" s="129">
        <v>256439</v>
      </c>
      <c r="AX71" s="129"/>
      <c r="AY71" s="129"/>
      <c r="AZ71" s="129"/>
      <c r="BA71" s="129"/>
      <c r="BB71" s="129"/>
      <c r="BC71" s="129"/>
      <c r="BD71" s="129"/>
      <c r="BE71" s="129"/>
      <c r="BF71" s="129"/>
    </row>
    <row r="72" spans="1:58" ht="40.049999999999997" customHeight="1" x14ac:dyDescent="0.25">
      <c r="A72" s="91">
        <v>71</v>
      </c>
      <c r="B72" s="92">
        <v>150</v>
      </c>
      <c r="C72" s="93" t="s">
        <v>258</v>
      </c>
      <c r="D72" s="94" t="s">
        <v>343</v>
      </c>
      <c r="E72" s="94" t="s">
        <v>354</v>
      </c>
      <c r="F72" s="94" t="s">
        <v>355</v>
      </c>
      <c r="G72" s="94" t="s">
        <v>356</v>
      </c>
      <c r="H72" s="95">
        <v>25.396999999999998</v>
      </c>
      <c r="I72" s="93" t="s">
        <v>46</v>
      </c>
      <c r="J72" s="96">
        <v>840</v>
      </c>
      <c r="K72" s="93">
        <v>240</v>
      </c>
      <c r="L72" s="97">
        <v>170668</v>
      </c>
      <c r="M72" s="97">
        <v>17067</v>
      </c>
      <c r="N72" s="97">
        <v>187735</v>
      </c>
      <c r="O72" s="77" t="s">
        <v>357</v>
      </c>
      <c r="P72" s="77" t="s">
        <v>358</v>
      </c>
      <c r="Q72" s="78">
        <f t="shared" si="8"/>
        <v>240</v>
      </c>
      <c r="R72" s="79">
        <v>46134</v>
      </c>
      <c r="S72" s="79">
        <f t="shared" si="9"/>
        <v>46373</v>
      </c>
      <c r="T72" s="80">
        <v>170667.84</v>
      </c>
      <c r="U72" s="80">
        <f t="shared" si="10"/>
        <v>17066.78</v>
      </c>
      <c r="V72" s="80">
        <f t="shared" si="11"/>
        <v>187734.62</v>
      </c>
      <c r="W72" s="78"/>
      <c r="X72" s="79">
        <f t="shared" si="12"/>
        <v>46134</v>
      </c>
      <c r="Y72" s="79" t="str">
        <f t="shared" si="13"/>
        <v/>
      </c>
      <c r="Z72" s="80"/>
      <c r="AA72" s="80">
        <f t="shared" si="14"/>
        <v>0</v>
      </c>
      <c r="AB72" s="80">
        <f t="shared" si="15"/>
        <v>0</v>
      </c>
      <c r="AC72" s="80"/>
      <c r="AD72" s="80"/>
      <c r="AE72" s="80"/>
      <c r="AF72" s="80">
        <v>7039.72</v>
      </c>
      <c r="AG72" s="80">
        <v>7039.72</v>
      </c>
      <c r="AH72" s="80"/>
      <c r="AI72" s="80">
        <v>24249.19</v>
      </c>
      <c r="AJ72" s="80">
        <v>24249.19</v>
      </c>
      <c r="AK72" s="80"/>
      <c r="AL72" s="80">
        <v>23466.959999999999</v>
      </c>
      <c r="AM72" s="80">
        <v>23466.959999999999</v>
      </c>
      <c r="AN72" s="80"/>
      <c r="AO72" s="80">
        <v>24249.19</v>
      </c>
      <c r="AP72" s="80">
        <v>24249.19</v>
      </c>
      <c r="AQ72" s="80"/>
      <c r="AR72" s="80">
        <v>24249.19</v>
      </c>
      <c r="AS72" s="80">
        <v>24249.19</v>
      </c>
      <c r="AT72" s="80"/>
      <c r="AU72" s="80"/>
      <c r="AV72" s="80"/>
      <c r="AW72" s="80"/>
      <c r="AX72" s="80"/>
      <c r="AY72" s="80"/>
      <c r="AZ72" s="80"/>
      <c r="BA72" s="80"/>
      <c r="BB72" s="80"/>
      <c r="BC72" s="80"/>
      <c r="BD72" s="80"/>
      <c r="BE72" s="80"/>
      <c r="BF72" s="80"/>
    </row>
    <row r="73" spans="1:58" ht="40.049999999999997" customHeight="1" x14ac:dyDescent="0.25">
      <c r="A73" s="91">
        <v>72</v>
      </c>
      <c r="B73" s="92">
        <v>150</v>
      </c>
      <c r="C73" s="93" t="s">
        <v>258</v>
      </c>
      <c r="D73" s="94" t="s">
        <v>343</v>
      </c>
      <c r="E73" s="94" t="s">
        <v>359</v>
      </c>
      <c r="F73" s="94" t="s">
        <v>360</v>
      </c>
      <c r="G73" s="94" t="s">
        <v>361</v>
      </c>
      <c r="H73" s="95">
        <v>21.402999999999999</v>
      </c>
      <c r="I73" s="93" t="s">
        <v>46</v>
      </c>
      <c r="J73" s="96">
        <v>854</v>
      </c>
      <c r="K73" s="93">
        <v>210</v>
      </c>
      <c r="L73" s="97">
        <v>127948</v>
      </c>
      <c r="M73" s="97">
        <v>12795</v>
      </c>
      <c r="N73" s="97">
        <v>140743</v>
      </c>
      <c r="O73" s="77" t="s">
        <v>362</v>
      </c>
      <c r="P73" s="77" t="s">
        <v>363</v>
      </c>
      <c r="Q73" s="78">
        <f t="shared" si="8"/>
        <v>210</v>
      </c>
      <c r="R73" s="79">
        <v>46133</v>
      </c>
      <c r="S73" s="79">
        <f t="shared" si="9"/>
        <v>46342</v>
      </c>
      <c r="T73" s="80">
        <v>127947.13</v>
      </c>
      <c r="U73" s="80">
        <f t="shared" si="10"/>
        <v>12794.71</v>
      </c>
      <c r="V73" s="80">
        <f t="shared" si="11"/>
        <v>140741.84</v>
      </c>
      <c r="W73" s="78"/>
      <c r="X73" s="79">
        <f t="shared" si="12"/>
        <v>46133</v>
      </c>
      <c r="Y73" s="79" t="str">
        <f t="shared" si="13"/>
        <v/>
      </c>
      <c r="Z73" s="80"/>
      <c r="AA73" s="80">
        <f t="shared" si="14"/>
        <v>0</v>
      </c>
      <c r="AB73" s="80">
        <f t="shared" si="15"/>
        <v>0</v>
      </c>
      <c r="AC73" s="80"/>
      <c r="AD73" s="80"/>
      <c r="AE73" s="80"/>
      <c r="AF73" s="80">
        <v>6702.15</v>
      </c>
      <c r="AG73" s="80">
        <v>6702.15</v>
      </c>
      <c r="AH73" s="80"/>
      <c r="AI73" s="80">
        <v>20776.099999999999</v>
      </c>
      <c r="AJ73" s="80">
        <v>20776.099999999999</v>
      </c>
      <c r="AK73" s="80"/>
      <c r="AL73" s="80">
        <v>20105.91</v>
      </c>
      <c r="AM73" s="80">
        <v>20105.91</v>
      </c>
      <c r="AN73" s="80"/>
      <c r="AO73" s="80">
        <v>20776.099999999999</v>
      </c>
      <c r="AP73" s="80">
        <v>20776.099999999999</v>
      </c>
      <c r="AQ73" s="80"/>
      <c r="AR73" s="80">
        <v>20776.099999999999</v>
      </c>
      <c r="AS73" s="80">
        <v>20776.099999999999</v>
      </c>
      <c r="AT73" s="80"/>
      <c r="AU73" s="80"/>
      <c r="AV73" s="80"/>
      <c r="AW73" s="80"/>
      <c r="AX73" s="80"/>
      <c r="AY73" s="80"/>
      <c r="AZ73" s="80"/>
      <c r="BA73" s="80"/>
      <c r="BB73" s="80"/>
      <c r="BC73" s="80"/>
      <c r="BD73" s="80"/>
      <c r="BE73" s="80"/>
      <c r="BF73" s="80"/>
    </row>
    <row r="74" spans="1:58" ht="40.049999999999997" customHeight="1" x14ac:dyDescent="0.25">
      <c r="A74" s="91">
        <v>73</v>
      </c>
      <c r="B74" s="92">
        <v>150</v>
      </c>
      <c r="C74" s="93" t="s">
        <v>258</v>
      </c>
      <c r="D74" s="94" t="s">
        <v>343</v>
      </c>
      <c r="E74" s="94" t="s">
        <v>364</v>
      </c>
      <c r="F74" s="94" t="s">
        <v>365</v>
      </c>
      <c r="G74" s="94" t="s">
        <v>366</v>
      </c>
      <c r="H74" s="95">
        <v>18.922999999999998</v>
      </c>
      <c r="I74" s="93" t="s">
        <v>46</v>
      </c>
      <c r="J74" s="96">
        <v>930</v>
      </c>
      <c r="K74" s="93">
        <v>210</v>
      </c>
      <c r="L74" s="97">
        <v>123189</v>
      </c>
      <c r="M74" s="97">
        <v>12319</v>
      </c>
      <c r="N74" s="97">
        <v>135508</v>
      </c>
      <c r="O74" s="77" t="s">
        <v>367</v>
      </c>
      <c r="P74" s="77" t="s">
        <v>368</v>
      </c>
      <c r="Q74" s="78">
        <f t="shared" si="8"/>
        <v>210</v>
      </c>
      <c r="R74" s="79">
        <v>46133</v>
      </c>
      <c r="S74" s="79">
        <f t="shared" si="9"/>
        <v>46342</v>
      </c>
      <c r="T74" s="80">
        <v>123188.73</v>
      </c>
      <c r="U74" s="80">
        <f t="shared" si="10"/>
        <v>12318.87</v>
      </c>
      <c r="V74" s="80">
        <f t="shared" si="11"/>
        <v>135507.6</v>
      </c>
      <c r="W74" s="78"/>
      <c r="X74" s="79">
        <f t="shared" si="12"/>
        <v>46133</v>
      </c>
      <c r="Y74" s="79" t="str">
        <f t="shared" si="13"/>
        <v/>
      </c>
      <c r="Z74" s="80"/>
      <c r="AA74" s="80">
        <f t="shared" si="14"/>
        <v>0</v>
      </c>
      <c r="AB74" s="80">
        <f t="shared" si="15"/>
        <v>0</v>
      </c>
      <c r="AC74" s="80"/>
      <c r="AD74" s="80"/>
      <c r="AE74" s="80"/>
      <c r="AF74" s="80">
        <v>6452.97</v>
      </c>
      <c r="AG74" s="80">
        <v>6452.97</v>
      </c>
      <c r="AH74" s="80"/>
      <c r="AI74" s="80">
        <v>20003.400000000001</v>
      </c>
      <c r="AJ74" s="80">
        <v>20003.400000000001</v>
      </c>
      <c r="AK74" s="80"/>
      <c r="AL74" s="80">
        <v>19358.13</v>
      </c>
      <c r="AM74" s="80">
        <v>19358.13</v>
      </c>
      <c r="AN74" s="80"/>
      <c r="AO74" s="80">
        <v>20003.400000000001</v>
      </c>
      <c r="AP74" s="80">
        <v>20003.400000000001</v>
      </c>
      <c r="AQ74" s="80"/>
      <c r="AR74" s="80">
        <v>20003.400000000001</v>
      </c>
      <c r="AS74" s="80">
        <v>20003.400000000001</v>
      </c>
      <c r="AT74" s="80"/>
      <c r="AU74" s="80"/>
      <c r="AV74" s="80"/>
      <c r="AW74" s="80"/>
      <c r="AX74" s="80"/>
      <c r="AY74" s="80"/>
      <c r="AZ74" s="80"/>
      <c r="BA74" s="80"/>
      <c r="BB74" s="80"/>
      <c r="BC74" s="80"/>
      <c r="BD74" s="80"/>
      <c r="BE74" s="80"/>
      <c r="BF74" s="80"/>
    </row>
    <row r="75" spans="1:58" ht="40.049999999999997" customHeight="1" x14ac:dyDescent="0.25">
      <c r="A75" s="91">
        <v>74</v>
      </c>
      <c r="B75" s="92">
        <v>150</v>
      </c>
      <c r="C75" s="93" t="s">
        <v>258</v>
      </c>
      <c r="D75" s="94" t="s">
        <v>343</v>
      </c>
      <c r="E75" s="94" t="s">
        <v>369</v>
      </c>
      <c r="F75" s="94" t="s">
        <v>370</v>
      </c>
      <c r="G75" s="94" t="s">
        <v>371</v>
      </c>
      <c r="H75" s="95">
        <v>16.015000000000001</v>
      </c>
      <c r="I75" s="93" t="s">
        <v>46</v>
      </c>
      <c r="J75" s="96">
        <v>817</v>
      </c>
      <c r="K75" s="93">
        <v>210</v>
      </c>
      <c r="L75" s="97">
        <v>91590</v>
      </c>
      <c r="M75" s="97">
        <v>9159</v>
      </c>
      <c r="N75" s="97">
        <v>100749</v>
      </c>
      <c r="O75" s="77" t="s">
        <v>372</v>
      </c>
      <c r="P75" s="77" t="s">
        <v>363</v>
      </c>
      <c r="Q75" s="78">
        <f t="shared" si="8"/>
        <v>210</v>
      </c>
      <c r="R75" s="79">
        <v>46154</v>
      </c>
      <c r="S75" s="79">
        <f t="shared" si="9"/>
        <v>46363</v>
      </c>
      <c r="T75" s="80">
        <v>91589.79</v>
      </c>
      <c r="U75" s="80">
        <f t="shared" si="10"/>
        <v>9158.98</v>
      </c>
      <c r="V75" s="80">
        <f t="shared" si="11"/>
        <v>100748.76999999999</v>
      </c>
      <c r="W75" s="78"/>
      <c r="X75" s="79">
        <f t="shared" si="12"/>
        <v>46154</v>
      </c>
      <c r="Y75" s="79" t="str">
        <f t="shared" si="13"/>
        <v/>
      </c>
      <c r="Z75" s="80"/>
      <c r="AA75" s="80">
        <f t="shared" si="14"/>
        <v>0</v>
      </c>
      <c r="AB75" s="80">
        <f t="shared" si="15"/>
        <v>0</v>
      </c>
      <c r="AC75" s="80"/>
      <c r="AD75" s="80"/>
      <c r="AE75" s="80"/>
      <c r="AF75" s="80"/>
      <c r="AG75" s="80"/>
      <c r="AH75" s="80"/>
      <c r="AI75" s="80">
        <v>9595.39</v>
      </c>
      <c r="AJ75" s="80">
        <v>9595.39</v>
      </c>
      <c r="AK75" s="80"/>
      <c r="AL75" s="80">
        <v>14392.62</v>
      </c>
      <c r="AM75" s="80">
        <v>14392.62</v>
      </c>
      <c r="AN75" s="80"/>
      <c r="AO75" s="80">
        <v>14872.37</v>
      </c>
      <c r="AP75" s="80">
        <v>14872.37</v>
      </c>
      <c r="AQ75" s="80"/>
      <c r="AR75" s="80">
        <v>14872.37</v>
      </c>
      <c r="AS75" s="80">
        <v>14872.37</v>
      </c>
      <c r="AT75" s="80"/>
      <c r="AU75" s="80"/>
      <c r="AV75" s="80"/>
      <c r="AW75" s="80"/>
      <c r="AX75" s="80"/>
      <c r="AY75" s="80"/>
      <c r="AZ75" s="80"/>
      <c r="BA75" s="80"/>
      <c r="BB75" s="80"/>
      <c r="BC75" s="80"/>
      <c r="BD75" s="80"/>
      <c r="BE75" s="80"/>
      <c r="BF75" s="80"/>
    </row>
    <row r="76" spans="1:58" ht="40.049999999999997" customHeight="1" x14ac:dyDescent="0.25">
      <c r="A76" s="91">
        <v>75</v>
      </c>
      <c r="B76" s="92">
        <v>150</v>
      </c>
      <c r="C76" s="93" t="s">
        <v>258</v>
      </c>
      <c r="D76" s="94" t="s">
        <v>343</v>
      </c>
      <c r="E76" s="94" t="s">
        <v>373</v>
      </c>
      <c r="F76" s="94" t="s">
        <v>374</v>
      </c>
      <c r="G76" s="94" t="s">
        <v>375</v>
      </c>
      <c r="H76" s="95">
        <v>27.719000000000001</v>
      </c>
      <c r="I76" s="93" t="s">
        <v>46</v>
      </c>
      <c r="J76" s="96">
        <v>843</v>
      </c>
      <c r="K76" s="93">
        <v>210</v>
      </c>
      <c r="L76" s="97">
        <v>163570</v>
      </c>
      <c r="M76" s="97">
        <v>16357</v>
      </c>
      <c r="N76" s="97">
        <v>179927</v>
      </c>
      <c r="O76" s="77" t="s">
        <v>376</v>
      </c>
      <c r="P76" s="77" t="s">
        <v>377</v>
      </c>
      <c r="Q76" s="78">
        <f t="shared" ref="Q76:Q139" si="16">+$K76</f>
        <v>210</v>
      </c>
      <c r="R76" s="79">
        <v>46134</v>
      </c>
      <c r="S76" s="79">
        <f t="shared" si="9"/>
        <v>46343</v>
      </c>
      <c r="T76" s="80">
        <v>163570</v>
      </c>
      <c r="U76" s="80">
        <f t="shared" si="10"/>
        <v>16357</v>
      </c>
      <c r="V76" s="80">
        <f t="shared" si="11"/>
        <v>179927</v>
      </c>
      <c r="W76" s="78"/>
      <c r="X76" s="79">
        <f t="shared" si="12"/>
        <v>46134</v>
      </c>
      <c r="Y76" s="79" t="str">
        <f t="shared" si="13"/>
        <v/>
      </c>
      <c r="Z76" s="80"/>
      <c r="AA76" s="80">
        <f t="shared" si="14"/>
        <v>0</v>
      </c>
      <c r="AB76" s="80">
        <f t="shared" si="15"/>
        <v>0</v>
      </c>
      <c r="AC76" s="80"/>
      <c r="AD76" s="80"/>
      <c r="AE76" s="80"/>
      <c r="AF76" s="80">
        <v>7711.49</v>
      </c>
      <c r="AG76" s="80">
        <v>7711.49</v>
      </c>
      <c r="AH76" s="80"/>
      <c r="AI76" s="80">
        <v>26560.49</v>
      </c>
      <c r="AJ76" s="80">
        <v>26560.49</v>
      </c>
      <c r="AK76" s="80"/>
      <c r="AL76" s="80">
        <v>25703.7</v>
      </c>
      <c r="AM76" s="80">
        <v>25703.7</v>
      </c>
      <c r="AN76" s="80"/>
      <c r="AO76" s="80">
        <v>26560.49</v>
      </c>
      <c r="AP76" s="80">
        <v>26560.49</v>
      </c>
      <c r="AQ76" s="80"/>
      <c r="AR76" s="80">
        <v>26560.49</v>
      </c>
      <c r="AS76" s="80">
        <v>26560.49</v>
      </c>
      <c r="AT76" s="80"/>
      <c r="AU76" s="80"/>
      <c r="AV76" s="80"/>
      <c r="AW76" s="80"/>
      <c r="AX76" s="80"/>
      <c r="AY76" s="80"/>
      <c r="AZ76" s="80"/>
      <c r="BA76" s="80"/>
      <c r="BB76" s="80"/>
      <c r="BC76" s="80"/>
      <c r="BD76" s="80"/>
      <c r="BE76" s="80"/>
      <c r="BF76" s="80"/>
    </row>
    <row r="77" spans="1:58" ht="40.049999999999997" customHeight="1" x14ac:dyDescent="0.25">
      <c r="A77" s="91">
        <v>76</v>
      </c>
      <c r="B77" s="92">
        <v>150</v>
      </c>
      <c r="C77" s="93" t="s">
        <v>258</v>
      </c>
      <c r="D77" s="94" t="s">
        <v>343</v>
      </c>
      <c r="E77" s="94" t="s">
        <v>373</v>
      </c>
      <c r="F77" s="94" t="s">
        <v>378</v>
      </c>
      <c r="G77" s="94" t="s">
        <v>379</v>
      </c>
      <c r="H77" s="95">
        <v>20.59</v>
      </c>
      <c r="I77" s="93" t="s">
        <v>46</v>
      </c>
      <c r="J77" s="96">
        <v>823</v>
      </c>
      <c r="K77" s="93">
        <v>210</v>
      </c>
      <c r="L77" s="97">
        <v>118619</v>
      </c>
      <c r="M77" s="97">
        <v>11862</v>
      </c>
      <c r="N77" s="97">
        <v>130481</v>
      </c>
      <c r="O77" s="77" t="s">
        <v>380</v>
      </c>
      <c r="P77" s="77" t="s">
        <v>363</v>
      </c>
      <c r="Q77" s="78">
        <f t="shared" si="16"/>
        <v>210</v>
      </c>
      <c r="R77" s="79">
        <v>46154</v>
      </c>
      <c r="S77" s="79">
        <f t="shared" si="9"/>
        <v>46363</v>
      </c>
      <c r="T77" s="80">
        <v>118618.99</v>
      </c>
      <c r="U77" s="80">
        <f t="shared" si="10"/>
        <v>11861.9</v>
      </c>
      <c r="V77" s="80">
        <f t="shared" si="11"/>
        <v>130480.89</v>
      </c>
      <c r="W77" s="78"/>
      <c r="X77" s="79">
        <f t="shared" si="12"/>
        <v>46154</v>
      </c>
      <c r="Y77" s="79" t="str">
        <f t="shared" si="13"/>
        <v/>
      </c>
      <c r="Z77" s="80"/>
      <c r="AA77" s="80">
        <f t="shared" si="14"/>
        <v>0</v>
      </c>
      <c r="AB77" s="80">
        <f t="shared" si="15"/>
        <v>0</v>
      </c>
      <c r="AC77" s="80"/>
      <c r="AD77" s="80"/>
      <c r="AE77" s="80"/>
      <c r="AF77" s="80"/>
      <c r="AG77" s="80"/>
      <c r="AH77" s="80"/>
      <c r="AI77" s="80">
        <v>12427.09</v>
      </c>
      <c r="AJ77" s="80">
        <v>12427.09</v>
      </c>
      <c r="AK77" s="80"/>
      <c r="AL77" s="80">
        <v>18640.05</v>
      </c>
      <c r="AM77" s="80">
        <v>18640.05</v>
      </c>
      <c r="AN77" s="80"/>
      <c r="AO77" s="80">
        <v>19261.38</v>
      </c>
      <c r="AP77" s="80">
        <v>19261.38</v>
      </c>
      <c r="AQ77" s="80"/>
      <c r="AR77" s="80">
        <v>19261.38</v>
      </c>
      <c r="AS77" s="80">
        <v>19261.38</v>
      </c>
      <c r="AT77" s="80"/>
      <c r="AU77" s="80"/>
      <c r="AV77" s="80"/>
      <c r="AW77" s="80"/>
      <c r="AX77" s="80"/>
      <c r="AY77" s="80"/>
      <c r="AZ77" s="80"/>
      <c r="BA77" s="80"/>
      <c r="BB77" s="80"/>
      <c r="BC77" s="80"/>
      <c r="BD77" s="80"/>
      <c r="BE77" s="80"/>
      <c r="BF77" s="80"/>
    </row>
    <row r="78" spans="1:58" ht="40.049999999999997" customHeight="1" x14ac:dyDescent="0.25">
      <c r="A78" s="91">
        <v>77</v>
      </c>
      <c r="B78" s="92">
        <v>150</v>
      </c>
      <c r="C78" s="93" t="s">
        <v>258</v>
      </c>
      <c r="D78" s="94" t="s">
        <v>343</v>
      </c>
      <c r="E78" s="94" t="s">
        <v>373</v>
      </c>
      <c r="F78" s="94" t="s">
        <v>381</v>
      </c>
      <c r="G78" s="94" t="s">
        <v>382</v>
      </c>
      <c r="H78" s="95">
        <v>13.536</v>
      </c>
      <c r="I78" s="93" t="s">
        <v>46</v>
      </c>
      <c r="J78" s="96">
        <v>862</v>
      </c>
      <c r="K78" s="93">
        <v>210</v>
      </c>
      <c r="L78" s="97">
        <v>81677</v>
      </c>
      <c r="M78" s="97">
        <v>8168</v>
      </c>
      <c r="N78" s="97">
        <v>89845</v>
      </c>
      <c r="O78" s="77" t="s">
        <v>383</v>
      </c>
      <c r="P78" s="77" t="s">
        <v>384</v>
      </c>
      <c r="Q78" s="78">
        <f t="shared" si="16"/>
        <v>210</v>
      </c>
      <c r="R78" s="79">
        <v>46133</v>
      </c>
      <c r="S78" s="79">
        <f t="shared" si="9"/>
        <v>46342</v>
      </c>
      <c r="T78" s="80">
        <v>81676.22</v>
      </c>
      <c r="U78" s="80">
        <f t="shared" si="10"/>
        <v>8167.62</v>
      </c>
      <c r="V78" s="80">
        <f t="shared" si="11"/>
        <v>89843.839999999997</v>
      </c>
      <c r="W78" s="78"/>
      <c r="X78" s="79">
        <f t="shared" si="12"/>
        <v>46133</v>
      </c>
      <c r="Y78" s="79" t="str">
        <f t="shared" si="13"/>
        <v/>
      </c>
      <c r="Z78" s="80"/>
      <c r="AA78" s="80">
        <f t="shared" si="14"/>
        <v>0</v>
      </c>
      <c r="AB78" s="80">
        <f t="shared" si="15"/>
        <v>0</v>
      </c>
      <c r="AC78" s="80"/>
      <c r="AD78" s="80"/>
      <c r="AE78" s="80"/>
      <c r="AF78" s="80">
        <v>4278.59</v>
      </c>
      <c r="AG78" s="80">
        <v>4278.59</v>
      </c>
      <c r="AH78" s="80"/>
      <c r="AI78" s="80">
        <v>13262.45</v>
      </c>
      <c r="AJ78" s="80">
        <v>13262.45</v>
      </c>
      <c r="AK78" s="80"/>
      <c r="AL78" s="80">
        <v>12834.63</v>
      </c>
      <c r="AM78" s="80">
        <v>12834.63</v>
      </c>
      <c r="AN78" s="80"/>
      <c r="AO78" s="80">
        <v>13262.45</v>
      </c>
      <c r="AP78" s="80">
        <v>13262.45</v>
      </c>
      <c r="AQ78" s="80"/>
      <c r="AR78" s="80">
        <v>13262.45</v>
      </c>
      <c r="AS78" s="80">
        <v>13262.45</v>
      </c>
      <c r="AT78" s="80"/>
      <c r="AU78" s="80"/>
      <c r="AV78" s="80"/>
      <c r="AW78" s="80"/>
      <c r="AX78" s="80"/>
      <c r="AY78" s="80"/>
      <c r="AZ78" s="80"/>
      <c r="BA78" s="80"/>
      <c r="BB78" s="80"/>
      <c r="BC78" s="80"/>
      <c r="BD78" s="80"/>
      <c r="BE78" s="80"/>
      <c r="BF78" s="80"/>
    </row>
    <row r="79" spans="1:58" ht="40.049999999999997" customHeight="1" x14ac:dyDescent="0.25">
      <c r="A79" s="91">
        <v>78</v>
      </c>
      <c r="B79" s="92">
        <v>150</v>
      </c>
      <c r="C79" s="93" t="s">
        <v>258</v>
      </c>
      <c r="D79" s="94" t="s">
        <v>343</v>
      </c>
      <c r="E79" s="94" t="s">
        <v>373</v>
      </c>
      <c r="F79" s="94" t="s">
        <v>385</v>
      </c>
      <c r="G79" s="94" t="s">
        <v>386</v>
      </c>
      <c r="H79" s="95">
        <v>13.045999999999999</v>
      </c>
      <c r="I79" s="93" t="s">
        <v>46</v>
      </c>
      <c r="J79" s="96">
        <v>866</v>
      </c>
      <c r="K79" s="93">
        <v>210</v>
      </c>
      <c r="L79" s="97">
        <v>79085</v>
      </c>
      <c r="M79" s="97">
        <v>7909</v>
      </c>
      <c r="N79" s="97">
        <v>86994</v>
      </c>
      <c r="O79" s="77" t="s">
        <v>387</v>
      </c>
      <c r="P79" s="77" t="s">
        <v>388</v>
      </c>
      <c r="Q79" s="78">
        <f t="shared" si="16"/>
        <v>210</v>
      </c>
      <c r="R79" s="79">
        <v>46133</v>
      </c>
      <c r="S79" s="79">
        <f t="shared" si="9"/>
        <v>46342</v>
      </c>
      <c r="T79" s="80">
        <v>79085</v>
      </c>
      <c r="U79" s="80">
        <f t="shared" si="10"/>
        <v>7908.5</v>
      </c>
      <c r="V79" s="80">
        <f t="shared" si="11"/>
        <v>86993.5</v>
      </c>
      <c r="W79" s="78"/>
      <c r="X79" s="79">
        <f t="shared" si="12"/>
        <v>46133</v>
      </c>
      <c r="Y79" s="79" t="str">
        <f t="shared" si="13"/>
        <v/>
      </c>
      <c r="Z79" s="80"/>
      <c r="AA79" s="80">
        <f t="shared" si="14"/>
        <v>0</v>
      </c>
      <c r="AB79" s="80">
        <f t="shared" si="15"/>
        <v>0</v>
      </c>
      <c r="AC79" s="80"/>
      <c r="AD79" s="80"/>
      <c r="AE79" s="80"/>
      <c r="AF79" s="80">
        <v>4142.18</v>
      </c>
      <c r="AG79" s="80">
        <v>4142.18</v>
      </c>
      <c r="AH79" s="80"/>
      <c r="AI79" s="80">
        <v>12842.06</v>
      </c>
      <c r="AJ79" s="80">
        <v>12842.06</v>
      </c>
      <c r="AK79" s="80"/>
      <c r="AL79" s="80">
        <v>12427.8</v>
      </c>
      <c r="AM79" s="80">
        <v>12427.8</v>
      </c>
      <c r="AN79" s="80"/>
      <c r="AO79" s="80">
        <v>12842.06</v>
      </c>
      <c r="AP79" s="80">
        <v>12842.06</v>
      </c>
      <c r="AQ79" s="80"/>
      <c r="AR79" s="80">
        <v>12842.06</v>
      </c>
      <c r="AS79" s="80">
        <v>12842.06</v>
      </c>
      <c r="AT79" s="80"/>
      <c r="AU79" s="80"/>
      <c r="AV79" s="80"/>
      <c r="AW79" s="80"/>
      <c r="AX79" s="80"/>
      <c r="AY79" s="80"/>
      <c r="AZ79" s="80"/>
      <c r="BA79" s="80"/>
      <c r="BB79" s="80"/>
      <c r="BC79" s="80"/>
      <c r="BD79" s="80"/>
      <c r="BE79" s="80"/>
      <c r="BF79" s="80"/>
    </row>
    <row r="80" spans="1:58" ht="40.049999999999997" customHeight="1" x14ac:dyDescent="0.25">
      <c r="A80" s="91">
        <v>79</v>
      </c>
      <c r="B80" s="92">
        <v>150</v>
      </c>
      <c r="C80" s="93" t="s">
        <v>258</v>
      </c>
      <c r="D80" s="94" t="s">
        <v>343</v>
      </c>
      <c r="E80" s="94" t="s">
        <v>389</v>
      </c>
      <c r="F80" s="94" t="s">
        <v>390</v>
      </c>
      <c r="G80" s="94" t="s">
        <v>391</v>
      </c>
      <c r="H80" s="95">
        <v>22.372</v>
      </c>
      <c r="I80" s="93" t="s">
        <v>46</v>
      </c>
      <c r="J80" s="96">
        <v>900</v>
      </c>
      <c r="K80" s="93">
        <v>210</v>
      </c>
      <c r="L80" s="97">
        <v>140944</v>
      </c>
      <c r="M80" s="97">
        <v>14095</v>
      </c>
      <c r="N80" s="97">
        <v>155039</v>
      </c>
      <c r="O80" s="77" t="s">
        <v>392</v>
      </c>
      <c r="P80" s="77" t="s">
        <v>377</v>
      </c>
      <c r="Q80" s="78">
        <f t="shared" si="16"/>
        <v>210</v>
      </c>
      <c r="R80" s="79">
        <v>46134</v>
      </c>
      <c r="S80" s="79">
        <f t="shared" si="9"/>
        <v>46343</v>
      </c>
      <c r="T80" s="80">
        <v>140943.6</v>
      </c>
      <c r="U80" s="80">
        <f t="shared" si="10"/>
        <v>14094.36</v>
      </c>
      <c r="V80" s="80">
        <f t="shared" si="11"/>
        <v>155037.96000000002</v>
      </c>
      <c r="W80" s="78"/>
      <c r="X80" s="79">
        <f t="shared" si="12"/>
        <v>46134</v>
      </c>
      <c r="Y80" s="79" t="str">
        <f t="shared" si="13"/>
        <v/>
      </c>
      <c r="Z80" s="80"/>
      <c r="AA80" s="80">
        <f t="shared" si="14"/>
        <v>0</v>
      </c>
      <c r="AB80" s="80">
        <f t="shared" si="15"/>
        <v>0</v>
      </c>
      <c r="AC80" s="80"/>
      <c r="AD80" s="80"/>
      <c r="AE80" s="80"/>
      <c r="AF80" s="80">
        <v>6644.48</v>
      </c>
      <c r="AG80" s="80">
        <v>6644.48</v>
      </c>
      <c r="AH80" s="80"/>
      <c r="AI80" s="80">
        <v>22886.55</v>
      </c>
      <c r="AJ80" s="80">
        <v>22886.55</v>
      </c>
      <c r="AK80" s="80"/>
      <c r="AL80" s="80">
        <v>22148.28</v>
      </c>
      <c r="AM80" s="80">
        <v>22148.28</v>
      </c>
      <c r="AN80" s="80"/>
      <c r="AO80" s="80">
        <v>22886.55</v>
      </c>
      <c r="AP80" s="80">
        <v>22886.55</v>
      </c>
      <c r="AQ80" s="80"/>
      <c r="AR80" s="80">
        <v>22886.55</v>
      </c>
      <c r="AS80" s="80">
        <v>22886.55</v>
      </c>
      <c r="AT80" s="80"/>
      <c r="AU80" s="80"/>
      <c r="AV80" s="80"/>
      <c r="AW80" s="80"/>
      <c r="AX80" s="80"/>
      <c r="AY80" s="80"/>
      <c r="AZ80" s="80"/>
      <c r="BA80" s="80"/>
      <c r="BB80" s="80"/>
      <c r="BC80" s="80"/>
      <c r="BD80" s="80"/>
      <c r="BE80" s="80"/>
      <c r="BF80" s="80"/>
    </row>
    <row r="81" spans="1:58" ht="40.049999999999997" customHeight="1" x14ac:dyDescent="0.25">
      <c r="A81" s="91">
        <v>80</v>
      </c>
      <c r="B81" s="92">
        <v>150</v>
      </c>
      <c r="C81" s="93" t="s">
        <v>258</v>
      </c>
      <c r="D81" s="94" t="s">
        <v>343</v>
      </c>
      <c r="E81" s="94" t="s">
        <v>393</v>
      </c>
      <c r="F81" s="94" t="s">
        <v>394</v>
      </c>
      <c r="G81" s="94" t="s">
        <v>395</v>
      </c>
      <c r="H81" s="95">
        <v>10.592000000000001</v>
      </c>
      <c r="I81" s="93" t="s">
        <v>46</v>
      </c>
      <c r="J81" s="96">
        <v>885</v>
      </c>
      <c r="K81" s="93">
        <v>210</v>
      </c>
      <c r="L81" s="97">
        <v>65618</v>
      </c>
      <c r="M81" s="97">
        <v>6562</v>
      </c>
      <c r="N81" s="97">
        <v>72180</v>
      </c>
      <c r="O81" s="77" t="s">
        <v>396</v>
      </c>
      <c r="P81" s="77" t="s">
        <v>397</v>
      </c>
      <c r="Q81" s="78">
        <f t="shared" si="16"/>
        <v>210</v>
      </c>
      <c r="R81" s="79">
        <v>46134</v>
      </c>
      <c r="S81" s="79">
        <f t="shared" si="9"/>
        <v>46343</v>
      </c>
      <c r="T81" s="80">
        <v>65617</v>
      </c>
      <c r="U81" s="80">
        <f t="shared" si="10"/>
        <v>6561.7</v>
      </c>
      <c r="V81" s="80">
        <f t="shared" si="11"/>
        <v>72178.7</v>
      </c>
      <c r="W81" s="78"/>
      <c r="X81" s="79">
        <f t="shared" si="12"/>
        <v>46134</v>
      </c>
      <c r="Y81" s="79" t="str">
        <f t="shared" si="13"/>
        <v/>
      </c>
      <c r="Z81" s="80"/>
      <c r="AA81" s="80">
        <f t="shared" si="14"/>
        <v>0</v>
      </c>
      <c r="AB81" s="80">
        <f t="shared" si="15"/>
        <v>0</v>
      </c>
      <c r="AC81" s="80"/>
      <c r="AD81" s="80"/>
      <c r="AE81" s="80"/>
      <c r="AF81" s="80">
        <v>3093.64</v>
      </c>
      <c r="AG81" s="80">
        <v>3093.64</v>
      </c>
      <c r="AH81" s="80"/>
      <c r="AI81" s="80">
        <v>10654.88</v>
      </c>
      <c r="AJ81" s="80">
        <v>10654.88</v>
      </c>
      <c r="AK81" s="80"/>
      <c r="AL81" s="80">
        <v>10311.18</v>
      </c>
      <c r="AM81" s="80">
        <v>10311.18</v>
      </c>
      <c r="AN81" s="80"/>
      <c r="AO81" s="80">
        <v>10654.88</v>
      </c>
      <c r="AP81" s="80">
        <v>10654.88</v>
      </c>
      <c r="AQ81" s="80"/>
      <c r="AR81" s="80">
        <v>10654.88</v>
      </c>
      <c r="AS81" s="80">
        <v>10654.88</v>
      </c>
      <c r="AT81" s="80"/>
      <c r="AU81" s="80"/>
      <c r="AV81" s="80"/>
      <c r="AW81" s="80"/>
      <c r="AX81" s="80"/>
      <c r="AY81" s="80"/>
      <c r="AZ81" s="80"/>
      <c r="BA81" s="80"/>
      <c r="BB81" s="80"/>
      <c r="BC81" s="80"/>
      <c r="BD81" s="80"/>
      <c r="BE81" s="80"/>
      <c r="BF81" s="80"/>
    </row>
    <row r="82" spans="1:58" ht="40.049999999999997" customHeight="1" x14ac:dyDescent="0.25">
      <c r="A82" s="91">
        <v>81</v>
      </c>
      <c r="B82" s="92">
        <v>150</v>
      </c>
      <c r="C82" s="93" t="s">
        <v>258</v>
      </c>
      <c r="D82" s="94" t="s">
        <v>343</v>
      </c>
      <c r="E82" s="94" t="s">
        <v>364</v>
      </c>
      <c r="F82" s="94" t="s">
        <v>328</v>
      </c>
      <c r="G82" s="94" t="s">
        <v>398</v>
      </c>
      <c r="H82" s="95">
        <v>10.36</v>
      </c>
      <c r="I82" s="93" t="s">
        <v>46</v>
      </c>
      <c r="J82" s="96">
        <v>988</v>
      </c>
      <c r="K82" s="93">
        <v>210</v>
      </c>
      <c r="L82" s="97">
        <v>71650</v>
      </c>
      <c r="M82" s="97">
        <v>7165</v>
      </c>
      <c r="N82" s="97">
        <v>78815</v>
      </c>
      <c r="O82" s="77" t="s">
        <v>399</v>
      </c>
      <c r="P82" s="77" t="s">
        <v>348</v>
      </c>
      <c r="Q82" s="78">
        <f t="shared" si="16"/>
        <v>210</v>
      </c>
      <c r="R82" s="79">
        <v>46133</v>
      </c>
      <c r="S82" s="79">
        <f t="shared" si="9"/>
        <v>46342</v>
      </c>
      <c r="T82" s="80">
        <v>71650</v>
      </c>
      <c r="U82" s="80">
        <f t="shared" si="10"/>
        <v>7165</v>
      </c>
      <c r="V82" s="80">
        <f t="shared" si="11"/>
        <v>78815</v>
      </c>
      <c r="W82" s="78"/>
      <c r="X82" s="79">
        <f t="shared" si="12"/>
        <v>46133</v>
      </c>
      <c r="Y82" s="79" t="str">
        <f t="shared" si="13"/>
        <v/>
      </c>
      <c r="Z82" s="80"/>
      <c r="AA82" s="80">
        <f t="shared" si="14"/>
        <v>0</v>
      </c>
      <c r="AB82" s="80">
        <f t="shared" si="15"/>
        <v>0</v>
      </c>
      <c r="AC82" s="80"/>
      <c r="AD82" s="80"/>
      <c r="AE82" s="80"/>
      <c r="AF82" s="80">
        <v>3753.13</v>
      </c>
      <c r="AG82" s="80">
        <v>3753.13</v>
      </c>
      <c r="AH82" s="80"/>
      <c r="AI82" s="80">
        <v>11634.57</v>
      </c>
      <c r="AJ82" s="80">
        <v>11634.57</v>
      </c>
      <c r="AK82" s="80"/>
      <c r="AL82" s="80">
        <v>11259.27</v>
      </c>
      <c r="AM82" s="80">
        <v>11259.27</v>
      </c>
      <c r="AN82" s="80"/>
      <c r="AO82" s="80">
        <v>11634.57</v>
      </c>
      <c r="AP82" s="80">
        <v>11634.57</v>
      </c>
      <c r="AQ82" s="80"/>
      <c r="AR82" s="80">
        <v>11634.57</v>
      </c>
      <c r="AS82" s="80">
        <v>11634.57</v>
      </c>
      <c r="AT82" s="80"/>
      <c r="AU82" s="80"/>
      <c r="AV82" s="80"/>
      <c r="AW82" s="80"/>
      <c r="AX82" s="80"/>
      <c r="AY82" s="80"/>
      <c r="AZ82" s="80"/>
      <c r="BA82" s="80"/>
      <c r="BB82" s="80"/>
      <c r="BC82" s="80"/>
      <c r="BD82" s="80"/>
      <c r="BE82" s="80"/>
      <c r="BF82" s="80"/>
    </row>
    <row r="83" spans="1:58" ht="40.049999999999997" customHeight="1" x14ac:dyDescent="0.25">
      <c r="A83" s="91">
        <v>82</v>
      </c>
      <c r="B83" s="92">
        <v>150</v>
      </c>
      <c r="C83" s="93" t="s">
        <v>258</v>
      </c>
      <c r="D83" s="94" t="s">
        <v>343</v>
      </c>
      <c r="E83" s="94" t="s">
        <v>400</v>
      </c>
      <c r="F83" s="94" t="s">
        <v>401</v>
      </c>
      <c r="G83" s="94" t="s">
        <v>402</v>
      </c>
      <c r="H83" s="95">
        <v>10.569000000000001</v>
      </c>
      <c r="I83" s="93" t="s">
        <v>46</v>
      </c>
      <c r="J83" s="96">
        <v>869</v>
      </c>
      <c r="K83" s="93">
        <v>210</v>
      </c>
      <c r="L83" s="97">
        <v>64292</v>
      </c>
      <c r="M83" s="97">
        <v>6430</v>
      </c>
      <c r="N83" s="97">
        <v>70722</v>
      </c>
      <c r="O83" s="77" t="s">
        <v>403</v>
      </c>
      <c r="P83" s="77" t="s">
        <v>404</v>
      </c>
      <c r="Q83" s="78">
        <f t="shared" si="16"/>
        <v>210</v>
      </c>
      <c r="R83" s="79">
        <v>46133</v>
      </c>
      <c r="S83" s="79">
        <f t="shared" si="9"/>
        <v>46342</v>
      </c>
      <c r="T83" s="80">
        <v>64291.23</v>
      </c>
      <c r="U83" s="80">
        <f t="shared" si="10"/>
        <v>6429.12</v>
      </c>
      <c r="V83" s="80">
        <f t="shared" si="11"/>
        <v>70720.350000000006</v>
      </c>
      <c r="W83" s="78"/>
      <c r="X83" s="79">
        <f t="shared" si="12"/>
        <v>46133</v>
      </c>
      <c r="Y83" s="79" t="str">
        <f t="shared" si="13"/>
        <v/>
      </c>
      <c r="Z83" s="80"/>
      <c r="AA83" s="80">
        <f t="shared" si="14"/>
        <v>0</v>
      </c>
      <c r="AB83" s="80">
        <f t="shared" si="15"/>
        <v>0</v>
      </c>
      <c r="AC83" s="80"/>
      <c r="AD83" s="80"/>
      <c r="AE83" s="80"/>
      <c r="AF83" s="80">
        <v>3367.54</v>
      </c>
      <c r="AG83" s="80">
        <v>3367.54</v>
      </c>
      <c r="AH83" s="80"/>
      <c r="AI83" s="80">
        <v>10439.709999999999</v>
      </c>
      <c r="AJ83" s="80">
        <v>10439.709999999999</v>
      </c>
      <c r="AK83" s="80"/>
      <c r="AL83" s="80">
        <v>10102.950000000001</v>
      </c>
      <c r="AM83" s="80">
        <v>10102.950000000001</v>
      </c>
      <c r="AN83" s="80"/>
      <c r="AO83" s="80">
        <v>10439.709999999999</v>
      </c>
      <c r="AP83" s="80">
        <v>10439.709999999999</v>
      </c>
      <c r="AQ83" s="80"/>
      <c r="AR83" s="80">
        <v>10439.709999999999</v>
      </c>
      <c r="AS83" s="80">
        <v>10439.709999999999</v>
      </c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</row>
    <row r="84" spans="1:58" ht="40.049999999999997" customHeight="1" x14ac:dyDescent="0.25">
      <c r="A84" s="91">
        <v>83</v>
      </c>
      <c r="B84" s="92">
        <v>150</v>
      </c>
      <c r="C84" s="93" t="s">
        <v>258</v>
      </c>
      <c r="D84" s="94" t="s">
        <v>343</v>
      </c>
      <c r="E84" s="94" t="s">
        <v>373</v>
      </c>
      <c r="F84" s="94" t="s">
        <v>405</v>
      </c>
      <c r="G84" s="94" t="s">
        <v>406</v>
      </c>
      <c r="H84" s="95">
        <v>9.0299999999999994</v>
      </c>
      <c r="I84" s="93" t="s">
        <v>46</v>
      </c>
      <c r="J84" s="96">
        <v>943</v>
      </c>
      <c r="K84" s="93">
        <v>210</v>
      </c>
      <c r="L84" s="97">
        <v>59608</v>
      </c>
      <c r="M84" s="97">
        <v>5961</v>
      </c>
      <c r="N84" s="97">
        <v>65569</v>
      </c>
      <c r="O84" s="77" t="s">
        <v>407</v>
      </c>
      <c r="P84" s="77" t="s">
        <v>348</v>
      </c>
      <c r="Q84" s="78">
        <f t="shared" si="16"/>
        <v>210</v>
      </c>
      <c r="R84" s="79">
        <v>46133</v>
      </c>
      <c r="S84" s="79">
        <f t="shared" si="9"/>
        <v>46342</v>
      </c>
      <c r="T84" s="80">
        <v>59607.03</v>
      </c>
      <c r="U84" s="80">
        <f t="shared" si="10"/>
        <v>5960.7</v>
      </c>
      <c r="V84" s="80">
        <f t="shared" si="11"/>
        <v>65567.73</v>
      </c>
      <c r="W84" s="78"/>
      <c r="X84" s="79">
        <f t="shared" si="12"/>
        <v>46133</v>
      </c>
      <c r="Y84" s="79" t="str">
        <f t="shared" si="13"/>
        <v/>
      </c>
      <c r="Z84" s="80"/>
      <c r="AA84" s="80">
        <f t="shared" si="14"/>
        <v>0</v>
      </c>
      <c r="AB84" s="80">
        <f t="shared" si="15"/>
        <v>0</v>
      </c>
      <c r="AC84" s="80"/>
      <c r="AD84" s="80"/>
      <c r="AE84" s="80"/>
      <c r="AF84" s="80">
        <v>3122.48</v>
      </c>
      <c r="AG84" s="80">
        <v>3122.48</v>
      </c>
      <c r="AH84" s="80"/>
      <c r="AI84" s="80">
        <v>9678.9</v>
      </c>
      <c r="AJ84" s="80">
        <v>9678.9</v>
      </c>
      <c r="AK84" s="80"/>
      <c r="AL84" s="80">
        <v>9366.67</v>
      </c>
      <c r="AM84" s="80">
        <v>9366.67</v>
      </c>
      <c r="AN84" s="80"/>
      <c r="AO84" s="80">
        <v>9678.9</v>
      </c>
      <c r="AP84" s="80">
        <v>9678.9</v>
      </c>
      <c r="AQ84" s="80"/>
      <c r="AR84" s="80">
        <v>9678.9</v>
      </c>
      <c r="AS84" s="80">
        <v>9678.9</v>
      </c>
      <c r="AT84" s="80"/>
      <c r="AU84" s="80"/>
      <c r="AV84" s="80"/>
      <c r="AW84" s="80"/>
      <c r="AX84" s="80"/>
      <c r="AY84" s="80"/>
      <c r="AZ84" s="80"/>
      <c r="BA84" s="80"/>
      <c r="BB84" s="80"/>
      <c r="BC84" s="80"/>
      <c r="BD84" s="80"/>
      <c r="BE84" s="80"/>
      <c r="BF84" s="80"/>
    </row>
    <row r="85" spans="1:58" ht="40.049999999999997" customHeight="1" thickBot="1" x14ac:dyDescent="0.3">
      <c r="A85" s="148">
        <v>84</v>
      </c>
      <c r="B85" s="149">
        <v>150</v>
      </c>
      <c r="C85" s="150" t="s">
        <v>258</v>
      </c>
      <c r="D85" s="151" t="s">
        <v>343</v>
      </c>
      <c r="E85" s="151" t="s">
        <v>373</v>
      </c>
      <c r="F85" s="151" t="s">
        <v>408</v>
      </c>
      <c r="G85" s="151" t="s">
        <v>409</v>
      </c>
      <c r="H85" s="152">
        <v>6.3150000000000004</v>
      </c>
      <c r="I85" s="150" t="s">
        <v>46</v>
      </c>
      <c r="J85" s="153">
        <v>869</v>
      </c>
      <c r="K85" s="150">
        <v>215</v>
      </c>
      <c r="L85" s="154">
        <v>39329</v>
      </c>
      <c r="M85" s="154">
        <v>3933</v>
      </c>
      <c r="N85" s="154">
        <v>43262</v>
      </c>
      <c r="O85" s="137" t="s">
        <v>410</v>
      </c>
      <c r="P85" s="137" t="s">
        <v>411</v>
      </c>
      <c r="Q85" s="138">
        <f t="shared" si="16"/>
        <v>215</v>
      </c>
      <c r="R85" s="139">
        <v>46132</v>
      </c>
      <c r="S85" s="139">
        <f t="shared" si="9"/>
        <v>46346</v>
      </c>
      <c r="T85" s="140">
        <v>39328</v>
      </c>
      <c r="U85" s="140">
        <f t="shared" si="10"/>
        <v>3932.8</v>
      </c>
      <c r="V85" s="140">
        <f t="shared" si="11"/>
        <v>43260.800000000003</v>
      </c>
      <c r="W85" s="138"/>
      <c r="X85" s="139">
        <f t="shared" si="12"/>
        <v>46132</v>
      </c>
      <c r="Y85" s="139" t="str">
        <f t="shared" si="13"/>
        <v/>
      </c>
      <c r="Z85" s="140"/>
      <c r="AA85" s="140">
        <f t="shared" si="14"/>
        <v>0</v>
      </c>
      <c r="AB85" s="140">
        <f t="shared" si="15"/>
        <v>0</v>
      </c>
      <c r="AC85" s="140"/>
      <c r="AD85" s="140"/>
      <c r="AE85" s="140"/>
      <c r="AF85" s="140">
        <v>2213.4</v>
      </c>
      <c r="AG85" s="140">
        <v>2213.4</v>
      </c>
      <c r="AH85" s="140"/>
      <c r="AI85" s="140">
        <v>6237.57</v>
      </c>
      <c r="AJ85" s="140">
        <v>6237.57</v>
      </c>
      <c r="AK85" s="140"/>
      <c r="AL85" s="140">
        <v>6036.36</v>
      </c>
      <c r="AM85" s="140">
        <v>6036.36</v>
      </c>
      <c r="AN85" s="140"/>
      <c r="AO85" s="140">
        <v>6237.57</v>
      </c>
      <c r="AP85" s="140">
        <v>6237.57</v>
      </c>
      <c r="AQ85" s="140"/>
      <c r="AR85" s="140">
        <v>6237.57</v>
      </c>
      <c r="AS85" s="140">
        <v>6237.57</v>
      </c>
      <c r="AT85" s="140"/>
      <c r="AU85" s="140"/>
      <c r="AV85" s="140"/>
      <c r="AW85" s="140"/>
      <c r="AX85" s="140"/>
      <c r="AY85" s="140"/>
      <c r="AZ85" s="140"/>
      <c r="BA85" s="140"/>
      <c r="BB85" s="140"/>
      <c r="BC85" s="140"/>
      <c r="BD85" s="140"/>
      <c r="BE85" s="140"/>
      <c r="BF85" s="140"/>
    </row>
    <row r="86" spans="1:58" ht="40.049999999999997" customHeight="1" thickTop="1" x14ac:dyDescent="0.25">
      <c r="A86" s="141">
        <v>85</v>
      </c>
      <c r="B86" s="142">
        <v>74</v>
      </c>
      <c r="C86" s="143" t="s">
        <v>258</v>
      </c>
      <c r="D86" s="144" t="s">
        <v>412</v>
      </c>
      <c r="E86" s="144" t="s">
        <v>413</v>
      </c>
      <c r="F86" s="144" t="s">
        <v>414</v>
      </c>
      <c r="G86" s="144" t="s">
        <v>415</v>
      </c>
      <c r="H86" s="145">
        <v>8.5</v>
      </c>
      <c r="I86" s="143" t="s">
        <v>46</v>
      </c>
      <c r="J86" s="146">
        <v>804</v>
      </c>
      <c r="K86" s="143">
        <v>249</v>
      </c>
      <c r="L86" s="147">
        <v>56723</v>
      </c>
      <c r="M86" s="147">
        <v>5672</v>
      </c>
      <c r="N86" s="147">
        <v>62395</v>
      </c>
      <c r="O86" s="126" t="s">
        <v>416</v>
      </c>
      <c r="P86" s="126" t="s">
        <v>417</v>
      </c>
      <c r="Q86" s="127">
        <f t="shared" si="16"/>
        <v>249</v>
      </c>
      <c r="R86" s="128">
        <v>46146</v>
      </c>
      <c r="S86" s="128">
        <f t="shared" si="9"/>
        <v>46394</v>
      </c>
      <c r="T86" s="129">
        <v>56723</v>
      </c>
      <c r="U86" s="129">
        <f t="shared" si="10"/>
        <v>5672.3</v>
      </c>
      <c r="V86" s="129">
        <f t="shared" si="11"/>
        <v>62395.3</v>
      </c>
      <c r="W86" s="127">
        <v>240</v>
      </c>
      <c r="X86" s="128">
        <f t="shared" si="12"/>
        <v>46146</v>
      </c>
      <c r="Y86" s="128">
        <f t="shared" si="13"/>
        <v>46385</v>
      </c>
      <c r="Z86" s="129">
        <v>54672.77</v>
      </c>
      <c r="AA86" s="129">
        <f t="shared" si="14"/>
        <v>5467.28</v>
      </c>
      <c r="AB86" s="129">
        <f t="shared" si="15"/>
        <v>60140.049999999996</v>
      </c>
      <c r="AC86" s="129"/>
      <c r="AD86" s="129"/>
      <c r="AE86" s="129"/>
      <c r="AF86" s="129"/>
      <c r="AG86" s="129"/>
      <c r="AH86" s="129"/>
      <c r="AI86" s="129">
        <v>7016.32</v>
      </c>
      <c r="AJ86" s="129">
        <v>7016.32</v>
      </c>
      <c r="AK86" s="129"/>
      <c r="AL86" s="129">
        <v>7517.51</v>
      </c>
      <c r="AM86" s="129">
        <v>7517.51</v>
      </c>
      <c r="AN86" s="129">
        <v>76462</v>
      </c>
      <c r="AO86" s="129">
        <v>7768.09</v>
      </c>
      <c r="AP86" s="129">
        <v>7768.09</v>
      </c>
      <c r="AQ86" s="129">
        <v>32612</v>
      </c>
      <c r="AR86" s="129">
        <v>7768.09</v>
      </c>
      <c r="AS86" s="129">
        <v>7768.09</v>
      </c>
      <c r="AT86" s="129">
        <v>500421</v>
      </c>
      <c r="AU86" s="129"/>
      <c r="AV86" s="129"/>
      <c r="AW86" s="129">
        <v>293501</v>
      </c>
      <c r="AX86" s="129"/>
      <c r="AY86" s="129"/>
      <c r="AZ86" s="129"/>
      <c r="BA86" s="129"/>
      <c r="BB86" s="129"/>
      <c r="BC86" s="129"/>
      <c r="BD86" s="129"/>
      <c r="BE86" s="129"/>
      <c r="BF86" s="129"/>
    </row>
    <row r="87" spans="1:58" ht="40.049999999999997" customHeight="1" x14ac:dyDescent="0.25">
      <c r="A87" s="98">
        <v>86</v>
      </c>
      <c r="B87" s="99">
        <v>74</v>
      </c>
      <c r="C87" s="100" t="s">
        <v>258</v>
      </c>
      <c r="D87" s="101" t="s">
        <v>412</v>
      </c>
      <c r="E87" s="101" t="s">
        <v>413</v>
      </c>
      <c r="F87" s="101" t="s">
        <v>424</v>
      </c>
      <c r="G87" s="101" t="s">
        <v>425</v>
      </c>
      <c r="H87" s="102">
        <v>21.22</v>
      </c>
      <c r="I87" s="100" t="s">
        <v>46</v>
      </c>
      <c r="J87" s="103">
        <v>804</v>
      </c>
      <c r="K87" s="100">
        <v>249</v>
      </c>
      <c r="L87" s="104">
        <v>141606</v>
      </c>
      <c r="M87" s="104">
        <v>14160</v>
      </c>
      <c r="N87" s="104">
        <v>155766</v>
      </c>
      <c r="O87" s="77" t="s">
        <v>426</v>
      </c>
      <c r="P87" s="77" t="s">
        <v>427</v>
      </c>
      <c r="Q87" s="78">
        <f t="shared" si="16"/>
        <v>249</v>
      </c>
      <c r="R87" s="79">
        <v>46146</v>
      </c>
      <c r="S87" s="79">
        <f t="shared" si="9"/>
        <v>46394</v>
      </c>
      <c r="T87" s="80">
        <v>141606</v>
      </c>
      <c r="U87" s="80">
        <f t="shared" si="10"/>
        <v>14160.6</v>
      </c>
      <c r="V87" s="80">
        <f t="shared" si="11"/>
        <v>155766.6</v>
      </c>
      <c r="W87" s="78">
        <v>240</v>
      </c>
      <c r="X87" s="79">
        <f t="shared" si="12"/>
        <v>46146</v>
      </c>
      <c r="Y87" s="79">
        <f t="shared" si="13"/>
        <v>46385</v>
      </c>
      <c r="Z87" s="80">
        <v>136487.71</v>
      </c>
      <c r="AA87" s="80">
        <f t="shared" si="14"/>
        <v>13648.77</v>
      </c>
      <c r="AB87" s="80">
        <f t="shared" si="15"/>
        <v>150136.47999999998</v>
      </c>
      <c r="AC87" s="80"/>
      <c r="AD87" s="80"/>
      <c r="AE87" s="80"/>
      <c r="AF87" s="80"/>
      <c r="AG87" s="80"/>
      <c r="AH87" s="80"/>
      <c r="AI87" s="80">
        <v>17515.939999999999</v>
      </c>
      <c r="AJ87" s="80">
        <v>17515.939999999999</v>
      </c>
      <c r="AK87" s="80"/>
      <c r="AL87" s="80">
        <v>18767.05</v>
      </c>
      <c r="AM87" s="80">
        <v>18767.05</v>
      </c>
      <c r="AN87" s="80"/>
      <c r="AO87" s="80">
        <v>19392.62</v>
      </c>
      <c r="AP87" s="80">
        <v>19392.62</v>
      </c>
      <c r="AQ87" s="80"/>
      <c r="AR87" s="80">
        <v>19392.62</v>
      </c>
      <c r="AS87" s="80">
        <v>19392.62</v>
      </c>
      <c r="AT87" s="80"/>
      <c r="AU87" s="80"/>
      <c r="AV87" s="80"/>
      <c r="AW87" s="80"/>
      <c r="AX87" s="80"/>
      <c r="AY87" s="80"/>
      <c r="AZ87" s="80"/>
      <c r="BA87" s="80"/>
      <c r="BB87" s="80"/>
      <c r="BC87" s="80"/>
      <c r="BD87" s="80"/>
      <c r="BE87" s="80"/>
      <c r="BF87" s="80"/>
    </row>
    <row r="88" spans="1:58" ht="40.049999999999997" customHeight="1" x14ac:dyDescent="0.25">
      <c r="A88" s="98">
        <v>87</v>
      </c>
      <c r="B88" s="99">
        <v>74</v>
      </c>
      <c r="C88" s="100" t="s">
        <v>258</v>
      </c>
      <c r="D88" s="101" t="s">
        <v>412</v>
      </c>
      <c r="E88" s="101" t="s">
        <v>428</v>
      </c>
      <c r="F88" s="101" t="s">
        <v>429</v>
      </c>
      <c r="G88" s="101" t="s">
        <v>430</v>
      </c>
      <c r="H88" s="102">
        <v>13.826000000000001</v>
      </c>
      <c r="I88" s="100" t="s">
        <v>46</v>
      </c>
      <c r="J88" s="103">
        <v>799</v>
      </c>
      <c r="K88" s="100">
        <v>246</v>
      </c>
      <c r="L88" s="104">
        <v>90586</v>
      </c>
      <c r="M88" s="104">
        <v>9058</v>
      </c>
      <c r="N88" s="104">
        <v>99644</v>
      </c>
      <c r="O88" s="77" t="s">
        <v>431</v>
      </c>
      <c r="P88" s="77" t="s">
        <v>432</v>
      </c>
      <c r="Q88" s="78">
        <f t="shared" si="16"/>
        <v>246</v>
      </c>
      <c r="R88" s="79">
        <v>46147</v>
      </c>
      <c r="S88" s="79">
        <f t="shared" si="9"/>
        <v>46392</v>
      </c>
      <c r="T88" s="80">
        <v>90586</v>
      </c>
      <c r="U88" s="80">
        <f t="shared" si="10"/>
        <v>9058.6</v>
      </c>
      <c r="V88" s="80">
        <f t="shared" si="11"/>
        <v>99644.6</v>
      </c>
      <c r="W88" s="78">
        <v>240</v>
      </c>
      <c r="X88" s="79">
        <f t="shared" si="12"/>
        <v>46147</v>
      </c>
      <c r="Y88" s="79">
        <f t="shared" si="13"/>
        <v>46386</v>
      </c>
      <c r="Z88" s="80">
        <v>88376.59</v>
      </c>
      <c r="AA88" s="80">
        <f t="shared" si="14"/>
        <v>8837.66</v>
      </c>
      <c r="AB88" s="80">
        <f t="shared" si="15"/>
        <v>97214.25</v>
      </c>
      <c r="AC88" s="80"/>
      <c r="AD88" s="80"/>
      <c r="AE88" s="80"/>
      <c r="AF88" s="80"/>
      <c r="AG88" s="80"/>
      <c r="AH88" s="80"/>
      <c r="AI88" s="80">
        <v>10936.61</v>
      </c>
      <c r="AJ88" s="80">
        <v>10936.61</v>
      </c>
      <c r="AK88" s="80"/>
      <c r="AL88" s="80">
        <v>12151.77</v>
      </c>
      <c r="AM88" s="80">
        <v>12151.77</v>
      </c>
      <c r="AN88" s="80"/>
      <c r="AO88" s="80">
        <v>12556.84</v>
      </c>
      <c r="AP88" s="80">
        <v>12556.84</v>
      </c>
      <c r="AQ88" s="80"/>
      <c r="AR88" s="80">
        <v>12556.84</v>
      </c>
      <c r="AS88" s="80">
        <v>12556.84</v>
      </c>
      <c r="AT88" s="80"/>
      <c r="AU88" s="80"/>
      <c r="AV88" s="80"/>
      <c r="AW88" s="80"/>
      <c r="AX88" s="80"/>
      <c r="AY88" s="80"/>
      <c r="AZ88" s="80"/>
      <c r="BA88" s="80"/>
      <c r="BB88" s="80"/>
      <c r="BC88" s="80"/>
      <c r="BD88" s="80"/>
      <c r="BE88" s="80"/>
      <c r="BF88" s="80"/>
    </row>
    <row r="89" spans="1:58" ht="40.049999999999997" customHeight="1" x14ac:dyDescent="0.25">
      <c r="A89" s="98">
        <v>88</v>
      </c>
      <c r="B89" s="99">
        <v>74</v>
      </c>
      <c r="C89" s="100" t="s">
        <v>258</v>
      </c>
      <c r="D89" s="101" t="s">
        <v>412</v>
      </c>
      <c r="E89" s="101" t="s">
        <v>428</v>
      </c>
      <c r="F89" s="101" t="s">
        <v>433</v>
      </c>
      <c r="G89" s="101" t="s">
        <v>434</v>
      </c>
      <c r="H89" s="102">
        <v>21.193999999999999</v>
      </c>
      <c r="I89" s="100" t="s">
        <v>46</v>
      </c>
      <c r="J89" s="103">
        <v>799</v>
      </c>
      <c r="K89" s="100">
        <v>246</v>
      </c>
      <c r="L89" s="104">
        <v>138859</v>
      </c>
      <c r="M89" s="104">
        <v>13885</v>
      </c>
      <c r="N89" s="104">
        <v>152744</v>
      </c>
      <c r="O89" s="77" t="s">
        <v>435</v>
      </c>
      <c r="P89" s="77" t="s">
        <v>432</v>
      </c>
      <c r="Q89" s="78">
        <f t="shared" si="16"/>
        <v>246</v>
      </c>
      <c r="R89" s="79">
        <v>46148</v>
      </c>
      <c r="S89" s="79">
        <f t="shared" si="9"/>
        <v>46393</v>
      </c>
      <c r="T89" s="80">
        <v>138859</v>
      </c>
      <c r="U89" s="80">
        <f t="shared" si="10"/>
        <v>13885.9</v>
      </c>
      <c r="V89" s="80">
        <f t="shared" si="11"/>
        <v>152744.9</v>
      </c>
      <c r="W89" s="78">
        <v>240</v>
      </c>
      <c r="X89" s="79">
        <f t="shared" si="12"/>
        <v>46148</v>
      </c>
      <c r="Y89" s="79">
        <f t="shared" si="13"/>
        <v>46387</v>
      </c>
      <c r="Z89" s="80">
        <v>135472.20000000001</v>
      </c>
      <c r="AA89" s="80">
        <f t="shared" si="14"/>
        <v>13547.22</v>
      </c>
      <c r="AB89" s="80">
        <f t="shared" si="15"/>
        <v>149019.42000000001</v>
      </c>
      <c r="AC89" s="80"/>
      <c r="AD89" s="80"/>
      <c r="AE89" s="80"/>
      <c r="AF89" s="80"/>
      <c r="AG89" s="80"/>
      <c r="AH89" s="80"/>
      <c r="AI89" s="80">
        <v>16143.76</v>
      </c>
      <c r="AJ89" s="80">
        <v>16143.76</v>
      </c>
      <c r="AK89" s="80"/>
      <c r="AL89" s="80">
        <v>18627.43</v>
      </c>
      <c r="AM89" s="80">
        <v>18627.43</v>
      </c>
      <c r="AN89" s="80"/>
      <c r="AO89" s="80">
        <v>19248.330000000002</v>
      </c>
      <c r="AP89" s="80">
        <v>19248.330000000002</v>
      </c>
      <c r="AQ89" s="80"/>
      <c r="AR89" s="80">
        <v>19248.330000000002</v>
      </c>
      <c r="AS89" s="80">
        <v>19248.330000000002</v>
      </c>
      <c r="AT89" s="80"/>
      <c r="AU89" s="80"/>
      <c r="AV89" s="80"/>
      <c r="AW89" s="80"/>
      <c r="AX89" s="80"/>
      <c r="AY89" s="80"/>
      <c r="AZ89" s="80"/>
      <c r="BA89" s="80"/>
      <c r="BB89" s="80"/>
      <c r="BC89" s="80"/>
      <c r="BD89" s="80"/>
      <c r="BE89" s="80"/>
      <c r="BF89" s="80"/>
    </row>
    <row r="90" spans="1:58" ht="40.049999999999997" customHeight="1" x14ac:dyDescent="0.25">
      <c r="A90" s="98">
        <v>89</v>
      </c>
      <c r="B90" s="99">
        <v>74</v>
      </c>
      <c r="C90" s="100" t="s">
        <v>258</v>
      </c>
      <c r="D90" s="101" t="s">
        <v>412</v>
      </c>
      <c r="E90" s="101" t="s">
        <v>436</v>
      </c>
      <c r="F90" s="101" t="s">
        <v>437</v>
      </c>
      <c r="G90" s="101" t="s">
        <v>438</v>
      </c>
      <c r="H90" s="102">
        <v>26.74</v>
      </c>
      <c r="I90" s="100" t="s">
        <v>46</v>
      </c>
      <c r="J90" s="103">
        <v>948</v>
      </c>
      <c r="K90" s="100">
        <v>249</v>
      </c>
      <c r="L90" s="104">
        <v>210402</v>
      </c>
      <c r="M90" s="104">
        <v>21040</v>
      </c>
      <c r="N90" s="104">
        <v>231442</v>
      </c>
      <c r="O90" s="77" t="s">
        <v>439</v>
      </c>
      <c r="P90" s="77" t="s">
        <v>440</v>
      </c>
      <c r="Q90" s="78">
        <f t="shared" si="16"/>
        <v>249</v>
      </c>
      <c r="R90" s="79">
        <v>46184</v>
      </c>
      <c r="S90" s="79">
        <f t="shared" si="9"/>
        <v>46432</v>
      </c>
      <c r="T90" s="80">
        <v>210402</v>
      </c>
      <c r="U90" s="80">
        <f t="shared" si="10"/>
        <v>21040.2</v>
      </c>
      <c r="V90" s="80">
        <f t="shared" si="11"/>
        <v>231442.2</v>
      </c>
      <c r="W90" s="78">
        <v>204</v>
      </c>
      <c r="X90" s="79">
        <f t="shared" si="12"/>
        <v>46184</v>
      </c>
      <c r="Y90" s="79">
        <f t="shared" si="13"/>
        <v>46387</v>
      </c>
      <c r="Z90" s="80">
        <v>172377.54</v>
      </c>
      <c r="AA90" s="80">
        <f t="shared" si="14"/>
        <v>17237.75</v>
      </c>
      <c r="AB90" s="80">
        <f t="shared" si="15"/>
        <v>189615.29</v>
      </c>
      <c r="AC90" s="80"/>
      <c r="AD90" s="80"/>
      <c r="AE90" s="80"/>
      <c r="AF90" s="80"/>
      <c r="AG90" s="80"/>
      <c r="AH90" s="80"/>
      <c r="AI90" s="80">
        <v>0</v>
      </c>
      <c r="AJ90" s="80">
        <v>0</v>
      </c>
      <c r="AK90" s="80"/>
      <c r="AL90" s="80">
        <v>18589.71</v>
      </c>
      <c r="AM90" s="80">
        <v>18589.71</v>
      </c>
      <c r="AN90" s="80"/>
      <c r="AO90" s="80">
        <v>28814.09</v>
      </c>
      <c r="AP90" s="80">
        <v>28814.09</v>
      </c>
      <c r="AQ90" s="80"/>
      <c r="AR90" s="80">
        <v>28814.09</v>
      </c>
      <c r="AS90" s="80">
        <v>28814.09</v>
      </c>
      <c r="AT90" s="80"/>
      <c r="AU90" s="80"/>
      <c r="AV90" s="80"/>
      <c r="AW90" s="80"/>
      <c r="AX90" s="80"/>
      <c r="AY90" s="80"/>
      <c r="AZ90" s="80"/>
      <c r="BA90" s="80"/>
      <c r="BB90" s="80"/>
      <c r="BC90" s="80"/>
      <c r="BD90" s="80"/>
      <c r="BE90" s="80"/>
      <c r="BF90" s="80"/>
    </row>
    <row r="91" spans="1:58" ht="40.049999999999997" customHeight="1" x14ac:dyDescent="0.25">
      <c r="A91" s="98">
        <v>90</v>
      </c>
      <c r="B91" s="99">
        <v>74</v>
      </c>
      <c r="C91" s="100" t="s">
        <v>258</v>
      </c>
      <c r="D91" s="101" t="s">
        <v>412</v>
      </c>
      <c r="E91" s="101" t="s">
        <v>441</v>
      </c>
      <c r="F91" s="101" t="s">
        <v>442</v>
      </c>
      <c r="G91" s="101" t="s">
        <v>443</v>
      </c>
      <c r="H91" s="102">
        <v>33.622</v>
      </c>
      <c r="I91" s="100" t="s">
        <v>46</v>
      </c>
      <c r="J91" s="103">
        <v>960</v>
      </c>
      <c r="K91" s="100">
        <v>249</v>
      </c>
      <c r="L91" s="104">
        <v>267901</v>
      </c>
      <c r="M91" s="104">
        <v>26790</v>
      </c>
      <c r="N91" s="104">
        <v>294691</v>
      </c>
      <c r="O91" s="77" t="s">
        <v>444</v>
      </c>
      <c r="P91" s="77" t="s">
        <v>445</v>
      </c>
      <c r="Q91" s="78">
        <f t="shared" si="16"/>
        <v>249</v>
      </c>
      <c r="R91" s="79">
        <v>46184</v>
      </c>
      <c r="S91" s="79">
        <f t="shared" si="9"/>
        <v>46432</v>
      </c>
      <c r="T91" s="80">
        <v>267901</v>
      </c>
      <c r="U91" s="80">
        <f t="shared" si="10"/>
        <v>26790.1</v>
      </c>
      <c r="V91" s="80">
        <f t="shared" si="11"/>
        <v>294691.09999999998</v>
      </c>
      <c r="W91" s="78">
        <v>204</v>
      </c>
      <c r="X91" s="79">
        <f t="shared" si="12"/>
        <v>46184</v>
      </c>
      <c r="Y91" s="79">
        <f t="shared" si="13"/>
        <v>46387</v>
      </c>
      <c r="Z91" s="80">
        <v>219485.16</v>
      </c>
      <c r="AA91" s="80">
        <f t="shared" si="14"/>
        <v>21948.52</v>
      </c>
      <c r="AB91" s="80">
        <f t="shared" si="15"/>
        <v>241433.68</v>
      </c>
      <c r="AC91" s="80"/>
      <c r="AD91" s="80"/>
      <c r="AE91" s="80"/>
      <c r="AF91" s="80"/>
      <c r="AG91" s="80"/>
      <c r="AH91" s="80"/>
      <c r="AI91" s="80">
        <v>0</v>
      </c>
      <c r="AJ91" s="80">
        <v>0</v>
      </c>
      <c r="AK91" s="80"/>
      <c r="AL91" s="80">
        <v>23669.95</v>
      </c>
      <c r="AM91" s="80">
        <v>23669.95</v>
      </c>
      <c r="AN91" s="80"/>
      <c r="AO91" s="80">
        <v>36688.449999999997</v>
      </c>
      <c r="AP91" s="80">
        <v>36688.449999999997</v>
      </c>
      <c r="AQ91" s="80"/>
      <c r="AR91" s="80">
        <v>36688.449999999997</v>
      </c>
      <c r="AS91" s="80">
        <v>36688.449999999997</v>
      </c>
      <c r="AT91" s="80"/>
      <c r="AU91" s="80"/>
      <c r="AV91" s="80"/>
      <c r="AW91" s="80"/>
      <c r="AX91" s="80"/>
      <c r="AY91" s="80"/>
      <c r="AZ91" s="80"/>
      <c r="BA91" s="80"/>
      <c r="BB91" s="80"/>
      <c r="BC91" s="80"/>
      <c r="BD91" s="80"/>
      <c r="BE91" s="80"/>
      <c r="BF91" s="80"/>
    </row>
    <row r="92" spans="1:58" ht="40.049999999999997" customHeight="1" x14ac:dyDescent="0.25">
      <c r="A92" s="98">
        <v>91</v>
      </c>
      <c r="B92" s="99">
        <v>74</v>
      </c>
      <c r="C92" s="100" t="s">
        <v>258</v>
      </c>
      <c r="D92" s="101" t="s">
        <v>412</v>
      </c>
      <c r="E92" s="101" t="s">
        <v>446</v>
      </c>
      <c r="F92" s="101" t="s">
        <v>447</v>
      </c>
      <c r="G92" s="101" t="s">
        <v>448</v>
      </c>
      <c r="H92" s="102">
        <v>19.72</v>
      </c>
      <c r="I92" s="100" t="s">
        <v>46</v>
      </c>
      <c r="J92" s="103">
        <v>947</v>
      </c>
      <c r="K92" s="100">
        <v>249</v>
      </c>
      <c r="L92" s="104">
        <v>155002</v>
      </c>
      <c r="M92" s="104">
        <v>15500</v>
      </c>
      <c r="N92" s="104">
        <v>170502</v>
      </c>
      <c r="O92" s="77" t="s">
        <v>449</v>
      </c>
      <c r="P92" s="77" t="s">
        <v>450</v>
      </c>
      <c r="Q92" s="78">
        <f t="shared" si="16"/>
        <v>249</v>
      </c>
      <c r="R92" s="79">
        <v>46191</v>
      </c>
      <c r="S92" s="79">
        <f t="shared" si="9"/>
        <v>46439</v>
      </c>
      <c r="T92" s="80">
        <v>155002</v>
      </c>
      <c r="U92" s="80">
        <f t="shared" si="10"/>
        <v>15500.2</v>
      </c>
      <c r="V92" s="80">
        <f t="shared" si="11"/>
        <v>170502.2</v>
      </c>
      <c r="W92" s="78">
        <v>195</v>
      </c>
      <c r="X92" s="79">
        <f t="shared" si="12"/>
        <v>46191</v>
      </c>
      <c r="Y92" s="79">
        <f t="shared" si="13"/>
        <v>46385</v>
      </c>
      <c r="Z92" s="80">
        <v>121387.11</v>
      </c>
      <c r="AA92" s="80">
        <f t="shared" si="14"/>
        <v>12138.71</v>
      </c>
      <c r="AB92" s="80">
        <f t="shared" si="15"/>
        <v>133525.82</v>
      </c>
      <c r="AC92" s="80"/>
      <c r="AD92" s="80"/>
      <c r="AE92" s="80"/>
      <c r="AF92" s="80"/>
      <c r="AG92" s="80"/>
      <c r="AH92" s="80"/>
      <c r="AI92" s="80">
        <v>0</v>
      </c>
      <c r="AJ92" s="80">
        <v>0</v>
      </c>
      <c r="AK92" s="80"/>
      <c r="AL92" s="80">
        <v>8901.7099999999991</v>
      </c>
      <c r="AM92" s="80">
        <v>8901.7099999999991</v>
      </c>
      <c r="AN92" s="80"/>
      <c r="AO92" s="80">
        <v>21227.18</v>
      </c>
      <c r="AP92" s="80">
        <v>21227.18</v>
      </c>
      <c r="AQ92" s="80"/>
      <c r="AR92" s="80">
        <v>21227.18</v>
      </c>
      <c r="AS92" s="80">
        <v>21227.18</v>
      </c>
      <c r="AT92" s="80"/>
      <c r="AU92" s="80"/>
      <c r="AV92" s="80"/>
      <c r="AW92" s="80"/>
      <c r="AX92" s="80"/>
      <c r="AY92" s="80"/>
      <c r="AZ92" s="80"/>
      <c r="BA92" s="80"/>
      <c r="BB92" s="80"/>
      <c r="BC92" s="80"/>
      <c r="BD92" s="80"/>
      <c r="BE92" s="80"/>
      <c r="BF92" s="80"/>
    </row>
    <row r="93" spans="1:58" ht="40.049999999999997" customHeight="1" x14ac:dyDescent="0.25">
      <c r="A93" s="98">
        <v>92</v>
      </c>
      <c r="B93" s="99">
        <v>74</v>
      </c>
      <c r="C93" s="100" t="s">
        <v>258</v>
      </c>
      <c r="D93" s="101" t="s">
        <v>412</v>
      </c>
      <c r="E93" s="101" t="s">
        <v>451</v>
      </c>
      <c r="F93" s="101" t="s">
        <v>452</v>
      </c>
      <c r="G93" s="101" t="s">
        <v>453</v>
      </c>
      <c r="H93" s="102">
        <v>11.536</v>
      </c>
      <c r="I93" s="100" t="s">
        <v>46</v>
      </c>
      <c r="J93" s="103">
        <v>900</v>
      </c>
      <c r="K93" s="100">
        <v>246</v>
      </c>
      <c r="L93" s="104">
        <v>85136</v>
      </c>
      <c r="M93" s="104">
        <v>8513</v>
      </c>
      <c r="N93" s="104">
        <v>93649</v>
      </c>
      <c r="O93" s="77" t="s">
        <v>454</v>
      </c>
      <c r="P93" s="77" t="s">
        <v>417</v>
      </c>
      <c r="Q93" s="78">
        <f t="shared" si="16"/>
        <v>246</v>
      </c>
      <c r="R93" s="79">
        <v>46149</v>
      </c>
      <c r="S93" s="79">
        <f t="shared" si="9"/>
        <v>46394</v>
      </c>
      <c r="T93" s="80">
        <v>85136</v>
      </c>
      <c r="U93" s="80">
        <f t="shared" si="10"/>
        <v>8513.6</v>
      </c>
      <c r="V93" s="80">
        <f t="shared" si="11"/>
        <v>93649.600000000006</v>
      </c>
      <c r="W93" s="78">
        <v>237</v>
      </c>
      <c r="X93" s="79">
        <f t="shared" si="12"/>
        <v>46149</v>
      </c>
      <c r="Y93" s="79">
        <f t="shared" si="13"/>
        <v>46385</v>
      </c>
      <c r="Z93" s="80">
        <v>82021.27</v>
      </c>
      <c r="AA93" s="80">
        <f t="shared" si="14"/>
        <v>8202.1299999999992</v>
      </c>
      <c r="AB93" s="80">
        <f t="shared" si="15"/>
        <v>90223.400000000009</v>
      </c>
      <c r="AC93" s="80"/>
      <c r="AD93" s="80"/>
      <c r="AE93" s="80"/>
      <c r="AF93" s="80"/>
      <c r="AG93" s="80"/>
      <c r="AH93" s="80"/>
      <c r="AI93" s="80">
        <v>9517.23</v>
      </c>
      <c r="AJ93" s="80">
        <v>9517.23</v>
      </c>
      <c r="AK93" s="80"/>
      <c r="AL93" s="80">
        <v>11420.68</v>
      </c>
      <c r="AM93" s="80">
        <v>11420.68</v>
      </c>
      <c r="AN93" s="80"/>
      <c r="AO93" s="80">
        <v>11801.37</v>
      </c>
      <c r="AP93" s="80">
        <v>11801.37</v>
      </c>
      <c r="AQ93" s="80"/>
      <c r="AR93" s="80">
        <v>11801.37</v>
      </c>
      <c r="AS93" s="80">
        <v>11801.37</v>
      </c>
      <c r="AT93" s="80"/>
      <c r="AU93" s="80"/>
      <c r="AV93" s="80"/>
      <c r="AW93" s="80"/>
      <c r="AX93" s="80"/>
      <c r="AY93" s="80"/>
      <c r="AZ93" s="80"/>
      <c r="BA93" s="80"/>
      <c r="BB93" s="80"/>
      <c r="BC93" s="80"/>
      <c r="BD93" s="80"/>
      <c r="BE93" s="80"/>
      <c r="BF93" s="80"/>
    </row>
    <row r="94" spans="1:58" ht="40.049999999999997" customHeight="1" x14ac:dyDescent="0.25">
      <c r="A94" s="98">
        <v>93</v>
      </c>
      <c r="B94" s="99">
        <v>74</v>
      </c>
      <c r="C94" s="100" t="s">
        <v>258</v>
      </c>
      <c r="D94" s="101" t="s">
        <v>412</v>
      </c>
      <c r="E94" s="101" t="s">
        <v>451</v>
      </c>
      <c r="F94" s="101" t="s">
        <v>455</v>
      </c>
      <c r="G94" s="101" t="s">
        <v>456</v>
      </c>
      <c r="H94" s="102">
        <v>9.7929999999999993</v>
      </c>
      <c r="I94" s="100" t="s">
        <v>46</v>
      </c>
      <c r="J94" s="103">
        <v>900</v>
      </c>
      <c r="K94" s="100">
        <v>246</v>
      </c>
      <c r="L94" s="104">
        <v>72273</v>
      </c>
      <c r="M94" s="104">
        <v>7227</v>
      </c>
      <c r="N94" s="104">
        <v>79500</v>
      </c>
      <c r="O94" s="77" t="s">
        <v>457</v>
      </c>
      <c r="P94" s="77" t="s">
        <v>417</v>
      </c>
      <c r="Q94" s="78">
        <f t="shared" si="16"/>
        <v>246</v>
      </c>
      <c r="R94" s="79">
        <v>46149</v>
      </c>
      <c r="S94" s="79">
        <f t="shared" si="9"/>
        <v>46394</v>
      </c>
      <c r="T94" s="80">
        <v>72273</v>
      </c>
      <c r="U94" s="80">
        <f t="shared" si="10"/>
        <v>7227.3</v>
      </c>
      <c r="V94" s="80">
        <f t="shared" si="11"/>
        <v>79500.3</v>
      </c>
      <c r="W94" s="78">
        <v>237</v>
      </c>
      <c r="X94" s="79">
        <f t="shared" si="12"/>
        <v>46149</v>
      </c>
      <c r="Y94" s="79">
        <f t="shared" si="13"/>
        <v>46385</v>
      </c>
      <c r="Z94" s="80">
        <v>69628.87</v>
      </c>
      <c r="AA94" s="80">
        <f t="shared" si="14"/>
        <v>6962.89</v>
      </c>
      <c r="AB94" s="80">
        <f t="shared" si="15"/>
        <v>76591.759999999995</v>
      </c>
      <c r="AC94" s="80"/>
      <c r="AD94" s="80"/>
      <c r="AE94" s="80"/>
      <c r="AF94" s="80"/>
      <c r="AG94" s="80"/>
      <c r="AH94" s="80"/>
      <c r="AI94" s="80">
        <v>8079.31</v>
      </c>
      <c r="AJ94" s="80">
        <v>8079.31</v>
      </c>
      <c r="AK94" s="80"/>
      <c r="AL94" s="80">
        <v>9695.15</v>
      </c>
      <c r="AM94" s="80">
        <v>9695.15</v>
      </c>
      <c r="AN94" s="80"/>
      <c r="AO94" s="80">
        <v>10018.32</v>
      </c>
      <c r="AP94" s="80">
        <v>10018.32</v>
      </c>
      <c r="AQ94" s="80"/>
      <c r="AR94" s="80">
        <v>10018.32</v>
      </c>
      <c r="AS94" s="80">
        <v>10018.32</v>
      </c>
      <c r="AT94" s="80"/>
      <c r="AU94" s="80"/>
      <c r="AV94" s="80"/>
      <c r="AW94" s="80"/>
      <c r="AX94" s="80"/>
      <c r="AY94" s="80"/>
      <c r="AZ94" s="80"/>
      <c r="BA94" s="80"/>
      <c r="BB94" s="80"/>
      <c r="BC94" s="80"/>
      <c r="BD94" s="80"/>
      <c r="BE94" s="80"/>
      <c r="BF94" s="80"/>
    </row>
    <row r="95" spans="1:58" ht="40.049999999999997" customHeight="1" x14ac:dyDescent="0.25">
      <c r="A95" s="98">
        <v>94</v>
      </c>
      <c r="B95" s="99">
        <v>74</v>
      </c>
      <c r="C95" s="100" t="s">
        <v>258</v>
      </c>
      <c r="D95" s="101" t="s">
        <v>412</v>
      </c>
      <c r="E95" s="101" t="s">
        <v>458</v>
      </c>
      <c r="F95" s="101" t="s">
        <v>459</v>
      </c>
      <c r="G95" s="101" t="s">
        <v>460</v>
      </c>
      <c r="H95" s="102">
        <v>33.646000000000001</v>
      </c>
      <c r="I95" s="100" t="s">
        <v>46</v>
      </c>
      <c r="J95" s="103">
        <v>804</v>
      </c>
      <c r="K95" s="100">
        <v>246</v>
      </c>
      <c r="L95" s="104">
        <v>221822</v>
      </c>
      <c r="M95" s="104">
        <v>22182</v>
      </c>
      <c r="N95" s="104">
        <v>244004</v>
      </c>
      <c r="O95" s="77" t="s">
        <v>461</v>
      </c>
      <c r="P95" s="77" t="s">
        <v>432</v>
      </c>
      <c r="Q95" s="78">
        <f t="shared" si="16"/>
        <v>246</v>
      </c>
      <c r="R95" s="79">
        <v>46190</v>
      </c>
      <c r="S95" s="79">
        <f t="shared" si="9"/>
        <v>46435</v>
      </c>
      <c r="T95" s="80">
        <v>221822</v>
      </c>
      <c r="U95" s="80">
        <f t="shared" si="10"/>
        <v>22182.2</v>
      </c>
      <c r="V95" s="80">
        <f t="shared" si="11"/>
        <v>244004.2</v>
      </c>
      <c r="W95" s="78">
        <v>198</v>
      </c>
      <c r="X95" s="79">
        <f t="shared" si="12"/>
        <v>46190</v>
      </c>
      <c r="Y95" s="79">
        <f t="shared" si="13"/>
        <v>46387</v>
      </c>
      <c r="Z95" s="80">
        <v>178539.66</v>
      </c>
      <c r="AA95" s="80">
        <f t="shared" si="14"/>
        <v>17853.97</v>
      </c>
      <c r="AB95" s="80">
        <f t="shared" si="15"/>
        <v>196393.63</v>
      </c>
      <c r="AC95" s="80"/>
      <c r="AD95" s="80"/>
      <c r="AE95" s="80"/>
      <c r="AF95" s="80"/>
      <c r="AG95" s="80"/>
      <c r="AH95" s="80"/>
      <c r="AI95" s="80">
        <v>0</v>
      </c>
      <c r="AJ95" s="80">
        <v>0</v>
      </c>
      <c r="AK95" s="80"/>
      <c r="AL95" s="80">
        <v>13886.42</v>
      </c>
      <c r="AM95" s="80">
        <v>13886.42</v>
      </c>
      <c r="AN95" s="80"/>
      <c r="AO95" s="80">
        <v>30748.49</v>
      </c>
      <c r="AP95" s="80">
        <v>30748.49</v>
      </c>
      <c r="AQ95" s="80"/>
      <c r="AR95" s="80">
        <v>30748.49</v>
      </c>
      <c r="AS95" s="80">
        <v>30748.49</v>
      </c>
      <c r="AT95" s="80"/>
      <c r="AU95" s="80"/>
      <c r="AV95" s="80"/>
      <c r="AW95" s="80"/>
      <c r="AX95" s="80"/>
      <c r="AY95" s="80"/>
      <c r="AZ95" s="80"/>
      <c r="BA95" s="80"/>
      <c r="BB95" s="80"/>
      <c r="BC95" s="80"/>
      <c r="BD95" s="80"/>
      <c r="BE95" s="80"/>
      <c r="BF95" s="80"/>
    </row>
    <row r="96" spans="1:58" ht="40.049999999999997" customHeight="1" x14ac:dyDescent="0.25">
      <c r="A96" s="98">
        <v>95</v>
      </c>
      <c r="B96" s="99">
        <v>74</v>
      </c>
      <c r="C96" s="100" t="s">
        <v>258</v>
      </c>
      <c r="D96" s="101" t="s">
        <v>412</v>
      </c>
      <c r="E96" s="101" t="s">
        <v>462</v>
      </c>
      <c r="F96" s="101" t="s">
        <v>463</v>
      </c>
      <c r="G96" s="101" t="s">
        <v>464</v>
      </c>
      <c r="H96" s="102">
        <v>19.64</v>
      </c>
      <c r="I96" s="100" t="s">
        <v>46</v>
      </c>
      <c r="J96" s="103">
        <v>776</v>
      </c>
      <c r="K96" s="100">
        <v>249</v>
      </c>
      <c r="L96" s="104">
        <v>126498</v>
      </c>
      <c r="M96" s="104">
        <v>12649</v>
      </c>
      <c r="N96" s="104">
        <v>139147</v>
      </c>
      <c r="O96" s="77" t="s">
        <v>465</v>
      </c>
      <c r="P96" s="77" t="s">
        <v>466</v>
      </c>
      <c r="Q96" s="78">
        <f t="shared" si="16"/>
        <v>249</v>
      </c>
      <c r="R96" s="79">
        <v>46197</v>
      </c>
      <c r="S96" s="79">
        <f t="shared" si="9"/>
        <v>46445</v>
      </c>
      <c r="T96" s="80">
        <v>126498</v>
      </c>
      <c r="U96" s="80">
        <f t="shared" si="10"/>
        <v>12649.8</v>
      </c>
      <c r="V96" s="80">
        <f t="shared" si="11"/>
        <v>139147.79999999999</v>
      </c>
      <c r="W96" s="78">
        <v>189</v>
      </c>
      <c r="X96" s="79">
        <f t="shared" si="12"/>
        <v>46197</v>
      </c>
      <c r="Y96" s="79">
        <f t="shared" si="13"/>
        <v>46385</v>
      </c>
      <c r="Z96" s="80">
        <v>96016.55</v>
      </c>
      <c r="AA96" s="80">
        <f t="shared" si="14"/>
        <v>9601.66</v>
      </c>
      <c r="AB96" s="80">
        <f t="shared" si="15"/>
        <v>105618.21</v>
      </c>
      <c r="AC96" s="80"/>
      <c r="AD96" s="80"/>
      <c r="AE96" s="80"/>
      <c r="AF96" s="80"/>
      <c r="AG96" s="80"/>
      <c r="AH96" s="80"/>
      <c r="AI96" s="80">
        <v>0</v>
      </c>
      <c r="AJ96" s="80">
        <v>0</v>
      </c>
      <c r="AK96" s="80"/>
      <c r="AL96" s="80">
        <v>3911.77</v>
      </c>
      <c r="AM96" s="80">
        <v>3911.77</v>
      </c>
      <c r="AN96" s="80"/>
      <c r="AO96" s="80">
        <v>17323.62</v>
      </c>
      <c r="AP96" s="80">
        <v>17323.62</v>
      </c>
      <c r="AQ96" s="80"/>
      <c r="AR96" s="80">
        <v>17323.62</v>
      </c>
      <c r="AS96" s="80">
        <v>17323.62</v>
      </c>
      <c r="AT96" s="80"/>
      <c r="AU96" s="80"/>
      <c r="AV96" s="80"/>
      <c r="AW96" s="80"/>
      <c r="AX96" s="80"/>
      <c r="AY96" s="80"/>
      <c r="AZ96" s="80"/>
      <c r="BA96" s="80"/>
      <c r="BB96" s="80"/>
      <c r="BC96" s="80"/>
      <c r="BD96" s="80"/>
      <c r="BE96" s="80"/>
      <c r="BF96" s="80"/>
    </row>
    <row r="97" spans="1:58" ht="40.049999999999997" customHeight="1" x14ac:dyDescent="0.25">
      <c r="A97" s="98">
        <v>96</v>
      </c>
      <c r="B97" s="99">
        <v>74</v>
      </c>
      <c r="C97" s="100" t="s">
        <v>258</v>
      </c>
      <c r="D97" s="101" t="s">
        <v>412</v>
      </c>
      <c r="E97" s="101" t="s">
        <v>467</v>
      </c>
      <c r="F97" s="101" t="s">
        <v>468</v>
      </c>
      <c r="G97" s="101" t="s">
        <v>469</v>
      </c>
      <c r="H97" s="102">
        <v>15.8</v>
      </c>
      <c r="I97" s="100" t="s">
        <v>46</v>
      </c>
      <c r="J97" s="103">
        <v>840</v>
      </c>
      <c r="K97" s="100">
        <v>249</v>
      </c>
      <c r="L97" s="104">
        <v>110158</v>
      </c>
      <c r="M97" s="104">
        <v>11015</v>
      </c>
      <c r="N97" s="104">
        <v>121173</v>
      </c>
      <c r="O97" s="77" t="s">
        <v>470</v>
      </c>
      <c r="P97" s="77" t="s">
        <v>471</v>
      </c>
      <c r="Q97" s="78">
        <f t="shared" si="16"/>
        <v>249</v>
      </c>
      <c r="R97" s="79">
        <v>46149</v>
      </c>
      <c r="S97" s="79">
        <f t="shared" si="9"/>
        <v>46397</v>
      </c>
      <c r="T97" s="80">
        <v>110158</v>
      </c>
      <c r="U97" s="80">
        <f t="shared" si="10"/>
        <v>11015.8</v>
      </c>
      <c r="V97" s="80">
        <f t="shared" si="11"/>
        <v>121173.8</v>
      </c>
      <c r="W97" s="78">
        <v>237</v>
      </c>
      <c r="X97" s="79">
        <f t="shared" si="12"/>
        <v>46149</v>
      </c>
      <c r="Y97" s="79">
        <f t="shared" si="13"/>
        <v>46385</v>
      </c>
      <c r="Z97" s="80">
        <v>104849.18</v>
      </c>
      <c r="AA97" s="80">
        <f t="shared" si="14"/>
        <v>10484.92</v>
      </c>
      <c r="AB97" s="80">
        <f t="shared" si="15"/>
        <v>115334.09999999999</v>
      </c>
      <c r="AC97" s="80"/>
      <c r="AD97" s="80"/>
      <c r="AE97" s="80"/>
      <c r="AF97" s="80"/>
      <c r="AG97" s="80"/>
      <c r="AH97" s="80"/>
      <c r="AI97" s="80">
        <v>12166.03</v>
      </c>
      <c r="AJ97" s="80">
        <v>12166.03</v>
      </c>
      <c r="AK97" s="80"/>
      <c r="AL97" s="80">
        <v>14599.25</v>
      </c>
      <c r="AM97" s="80">
        <v>14599.25</v>
      </c>
      <c r="AN97" s="80"/>
      <c r="AO97" s="80">
        <v>15085.89</v>
      </c>
      <c r="AP97" s="80">
        <v>15085.89</v>
      </c>
      <c r="AQ97" s="80"/>
      <c r="AR97" s="80">
        <v>15085.89</v>
      </c>
      <c r="AS97" s="80">
        <v>15085.89</v>
      </c>
      <c r="AT97" s="80"/>
      <c r="AU97" s="80"/>
      <c r="AV97" s="80"/>
      <c r="AW97" s="80"/>
      <c r="AX97" s="80"/>
      <c r="AY97" s="80"/>
      <c r="AZ97" s="80"/>
      <c r="BA97" s="80"/>
      <c r="BB97" s="80"/>
      <c r="BC97" s="80"/>
      <c r="BD97" s="80"/>
      <c r="BE97" s="80"/>
      <c r="BF97" s="80"/>
    </row>
    <row r="98" spans="1:58" ht="40.049999999999997" customHeight="1" x14ac:dyDescent="0.25">
      <c r="A98" s="98">
        <v>97</v>
      </c>
      <c r="B98" s="99">
        <v>74</v>
      </c>
      <c r="C98" s="100" t="s">
        <v>258</v>
      </c>
      <c r="D98" s="101" t="s">
        <v>412</v>
      </c>
      <c r="E98" s="101" t="s">
        <v>472</v>
      </c>
      <c r="F98" s="101" t="s">
        <v>473</v>
      </c>
      <c r="G98" s="101" t="s">
        <v>474</v>
      </c>
      <c r="H98" s="102">
        <v>11.47</v>
      </c>
      <c r="I98" s="100" t="s">
        <v>46</v>
      </c>
      <c r="J98" s="103">
        <v>816</v>
      </c>
      <c r="K98" s="100">
        <v>246</v>
      </c>
      <c r="L98" s="104">
        <v>76749</v>
      </c>
      <c r="M98" s="104">
        <v>7674</v>
      </c>
      <c r="N98" s="104">
        <v>84423</v>
      </c>
      <c r="O98" s="77" t="s">
        <v>475</v>
      </c>
      <c r="P98" s="77" t="s">
        <v>471</v>
      </c>
      <c r="Q98" s="78">
        <f t="shared" si="16"/>
        <v>246</v>
      </c>
      <c r="R98" s="79">
        <v>46149</v>
      </c>
      <c r="S98" s="79">
        <f t="shared" si="9"/>
        <v>46394</v>
      </c>
      <c r="T98" s="80">
        <v>76749</v>
      </c>
      <c r="U98" s="80">
        <f t="shared" si="10"/>
        <v>7674.9</v>
      </c>
      <c r="V98" s="80">
        <f t="shared" si="11"/>
        <v>84423.9</v>
      </c>
      <c r="W98" s="78">
        <v>237</v>
      </c>
      <c r="X98" s="79">
        <f t="shared" si="12"/>
        <v>46149</v>
      </c>
      <c r="Y98" s="79">
        <f t="shared" si="13"/>
        <v>46385</v>
      </c>
      <c r="Z98" s="80">
        <v>73941.11</v>
      </c>
      <c r="AA98" s="80">
        <f t="shared" si="14"/>
        <v>7394.11</v>
      </c>
      <c r="AB98" s="80">
        <f t="shared" si="15"/>
        <v>81335.22</v>
      </c>
      <c r="AC98" s="80"/>
      <c r="AD98" s="80"/>
      <c r="AE98" s="80"/>
      <c r="AF98" s="80"/>
      <c r="AG98" s="80"/>
      <c r="AH98" s="80"/>
      <c r="AI98" s="80">
        <v>8579.64</v>
      </c>
      <c r="AJ98" s="80">
        <v>8579.64</v>
      </c>
      <c r="AK98" s="80"/>
      <c r="AL98" s="80">
        <v>10295.58</v>
      </c>
      <c r="AM98" s="80">
        <v>10295.58</v>
      </c>
      <c r="AN98" s="80"/>
      <c r="AO98" s="80">
        <v>10638.77</v>
      </c>
      <c r="AP98" s="80">
        <v>10638.77</v>
      </c>
      <c r="AQ98" s="80"/>
      <c r="AR98" s="80">
        <v>10638.77</v>
      </c>
      <c r="AS98" s="80">
        <v>10638.77</v>
      </c>
      <c r="AT98" s="80"/>
      <c r="AU98" s="80"/>
      <c r="AV98" s="80"/>
      <c r="AW98" s="80"/>
      <c r="AX98" s="80"/>
      <c r="AY98" s="80"/>
      <c r="AZ98" s="80"/>
      <c r="BA98" s="80"/>
      <c r="BB98" s="80"/>
      <c r="BC98" s="80"/>
      <c r="BD98" s="80"/>
      <c r="BE98" s="80"/>
      <c r="BF98" s="80"/>
    </row>
    <row r="99" spans="1:58" ht="40.049999999999997" customHeight="1" x14ac:dyDescent="0.25">
      <c r="A99" s="98">
        <v>98</v>
      </c>
      <c r="B99" s="99">
        <v>74</v>
      </c>
      <c r="C99" s="100" t="s">
        <v>258</v>
      </c>
      <c r="D99" s="101" t="s">
        <v>412</v>
      </c>
      <c r="E99" s="101" t="s">
        <v>476</v>
      </c>
      <c r="F99" s="101" t="s">
        <v>477</v>
      </c>
      <c r="G99" s="101" t="s">
        <v>478</v>
      </c>
      <c r="H99" s="102">
        <v>12.084</v>
      </c>
      <c r="I99" s="100" t="s">
        <v>46</v>
      </c>
      <c r="J99" s="103">
        <v>923</v>
      </c>
      <c r="K99" s="100">
        <v>246</v>
      </c>
      <c r="L99" s="104">
        <v>91459</v>
      </c>
      <c r="M99" s="104">
        <v>9145</v>
      </c>
      <c r="N99" s="104">
        <v>100604</v>
      </c>
      <c r="O99" s="77" t="s">
        <v>479</v>
      </c>
      <c r="P99" s="77" t="s">
        <v>471</v>
      </c>
      <c r="Q99" s="78">
        <f t="shared" si="16"/>
        <v>246</v>
      </c>
      <c r="R99" s="79">
        <v>46149</v>
      </c>
      <c r="S99" s="79">
        <f t="shared" si="9"/>
        <v>46394</v>
      </c>
      <c r="T99" s="80">
        <v>91459</v>
      </c>
      <c r="U99" s="80">
        <f t="shared" si="10"/>
        <v>9145.9</v>
      </c>
      <c r="V99" s="80">
        <f t="shared" si="11"/>
        <v>100604.9</v>
      </c>
      <c r="W99" s="78">
        <v>237</v>
      </c>
      <c r="X99" s="79">
        <f t="shared" si="12"/>
        <v>46149</v>
      </c>
      <c r="Y99" s="79">
        <f t="shared" si="13"/>
        <v>46385</v>
      </c>
      <c r="Z99" s="80">
        <v>88112.94</v>
      </c>
      <c r="AA99" s="80">
        <f t="shared" si="14"/>
        <v>8811.2900000000009</v>
      </c>
      <c r="AB99" s="80">
        <f t="shared" si="15"/>
        <v>96924.23000000001</v>
      </c>
      <c r="AC99" s="80"/>
      <c r="AD99" s="80"/>
      <c r="AE99" s="80"/>
      <c r="AF99" s="80"/>
      <c r="AG99" s="80"/>
      <c r="AH99" s="80"/>
      <c r="AI99" s="80">
        <v>10224.07</v>
      </c>
      <c r="AJ99" s="80">
        <v>10224.07</v>
      </c>
      <c r="AK99" s="80"/>
      <c r="AL99" s="80">
        <v>12268.89</v>
      </c>
      <c r="AM99" s="80">
        <v>12268.89</v>
      </c>
      <c r="AN99" s="80"/>
      <c r="AO99" s="80">
        <v>12677.85</v>
      </c>
      <c r="AP99" s="80">
        <v>12677.85</v>
      </c>
      <c r="AQ99" s="80"/>
      <c r="AR99" s="80">
        <v>12677.85</v>
      </c>
      <c r="AS99" s="80">
        <v>12677.85</v>
      </c>
      <c r="AT99" s="80"/>
      <c r="AU99" s="80"/>
      <c r="AV99" s="80"/>
      <c r="AW99" s="80"/>
      <c r="AX99" s="80"/>
      <c r="AY99" s="80"/>
      <c r="AZ99" s="80"/>
      <c r="BA99" s="80"/>
      <c r="BB99" s="80"/>
      <c r="BC99" s="80"/>
      <c r="BD99" s="80"/>
      <c r="BE99" s="80"/>
      <c r="BF99" s="80"/>
    </row>
    <row r="100" spans="1:58" ht="40.049999999999997" customHeight="1" x14ac:dyDescent="0.25">
      <c r="A100" s="98">
        <v>99</v>
      </c>
      <c r="B100" s="99">
        <v>74</v>
      </c>
      <c r="C100" s="100" t="s">
        <v>258</v>
      </c>
      <c r="D100" s="101" t="s">
        <v>412</v>
      </c>
      <c r="E100" s="101" t="s">
        <v>480</v>
      </c>
      <c r="F100" s="101" t="s">
        <v>481</v>
      </c>
      <c r="G100" s="101" t="s">
        <v>482</v>
      </c>
      <c r="H100" s="102">
        <v>29.83</v>
      </c>
      <c r="I100" s="100" t="s">
        <v>46</v>
      </c>
      <c r="J100" s="103">
        <v>840</v>
      </c>
      <c r="K100" s="100">
        <v>246</v>
      </c>
      <c r="L100" s="104">
        <v>205470</v>
      </c>
      <c r="M100" s="104">
        <v>20547</v>
      </c>
      <c r="N100" s="104">
        <v>226017</v>
      </c>
      <c r="O100" s="77" t="s">
        <v>483</v>
      </c>
      <c r="P100" s="77" t="s">
        <v>450</v>
      </c>
      <c r="Q100" s="78">
        <f t="shared" si="16"/>
        <v>246</v>
      </c>
      <c r="R100" s="79">
        <v>46191</v>
      </c>
      <c r="S100" s="79">
        <f t="shared" si="9"/>
        <v>46436</v>
      </c>
      <c r="T100" s="80">
        <v>205470</v>
      </c>
      <c r="U100" s="80">
        <f t="shared" si="10"/>
        <v>20547</v>
      </c>
      <c r="V100" s="80">
        <f t="shared" si="11"/>
        <v>226017</v>
      </c>
      <c r="W100" s="78">
        <v>195</v>
      </c>
      <c r="X100" s="79">
        <f t="shared" si="12"/>
        <v>46191</v>
      </c>
      <c r="Y100" s="79">
        <f t="shared" si="13"/>
        <v>46385</v>
      </c>
      <c r="Z100" s="80">
        <v>162872.56</v>
      </c>
      <c r="AA100" s="80">
        <f t="shared" si="14"/>
        <v>16287.26</v>
      </c>
      <c r="AB100" s="80">
        <f t="shared" si="15"/>
        <v>179159.82</v>
      </c>
      <c r="AC100" s="80"/>
      <c r="AD100" s="80"/>
      <c r="AE100" s="80"/>
      <c r="AF100" s="80"/>
      <c r="AG100" s="80"/>
      <c r="AH100" s="80"/>
      <c r="AI100" s="80">
        <v>0</v>
      </c>
      <c r="AJ100" s="80">
        <v>0</v>
      </c>
      <c r="AK100" s="80"/>
      <c r="AL100" s="80">
        <v>11943.98</v>
      </c>
      <c r="AM100" s="80">
        <v>11943.98</v>
      </c>
      <c r="AN100" s="80"/>
      <c r="AO100" s="80">
        <v>28481.81</v>
      </c>
      <c r="AP100" s="80">
        <v>28481.81</v>
      </c>
      <c r="AQ100" s="80"/>
      <c r="AR100" s="80">
        <v>28481.81</v>
      </c>
      <c r="AS100" s="80">
        <v>28481.81</v>
      </c>
      <c r="AT100" s="80"/>
      <c r="AU100" s="80"/>
      <c r="AV100" s="80"/>
      <c r="AW100" s="80"/>
      <c r="AX100" s="80"/>
      <c r="AY100" s="80"/>
      <c r="AZ100" s="80"/>
      <c r="BA100" s="80"/>
      <c r="BB100" s="80"/>
      <c r="BC100" s="80"/>
      <c r="BD100" s="80"/>
      <c r="BE100" s="80"/>
      <c r="BF100" s="80"/>
    </row>
    <row r="101" spans="1:58" ht="40.049999999999997" customHeight="1" thickBot="1" x14ac:dyDescent="0.3">
      <c r="A101" s="130">
        <v>100</v>
      </c>
      <c r="B101" s="131">
        <v>74</v>
      </c>
      <c r="C101" s="132" t="s">
        <v>258</v>
      </c>
      <c r="D101" s="133" t="s">
        <v>412</v>
      </c>
      <c r="E101" s="133" t="s">
        <v>412</v>
      </c>
      <c r="F101" s="133" t="s">
        <v>484</v>
      </c>
      <c r="G101" s="133" t="s">
        <v>485</v>
      </c>
      <c r="H101" s="134">
        <v>11.483000000000001</v>
      </c>
      <c r="I101" s="132" t="s">
        <v>46</v>
      </c>
      <c r="J101" s="135">
        <v>845</v>
      </c>
      <c r="K101" s="132">
        <v>246</v>
      </c>
      <c r="L101" s="136">
        <v>79566</v>
      </c>
      <c r="M101" s="136">
        <v>7956</v>
      </c>
      <c r="N101" s="136">
        <v>87522</v>
      </c>
      <c r="O101" s="137" t="s">
        <v>486</v>
      </c>
      <c r="P101" s="137" t="s">
        <v>471</v>
      </c>
      <c r="Q101" s="138">
        <f t="shared" si="16"/>
        <v>246</v>
      </c>
      <c r="R101" s="139">
        <v>46149</v>
      </c>
      <c r="S101" s="139">
        <f t="shared" si="9"/>
        <v>46394</v>
      </c>
      <c r="T101" s="140">
        <v>79566</v>
      </c>
      <c r="U101" s="140">
        <f t="shared" si="10"/>
        <v>7956.6</v>
      </c>
      <c r="V101" s="140">
        <f t="shared" si="11"/>
        <v>87522.6</v>
      </c>
      <c r="W101" s="138">
        <v>237</v>
      </c>
      <c r="X101" s="139">
        <f t="shared" si="12"/>
        <v>46149</v>
      </c>
      <c r="Y101" s="139">
        <f t="shared" si="13"/>
        <v>46385</v>
      </c>
      <c r="Z101" s="140">
        <v>76655.05</v>
      </c>
      <c r="AA101" s="140">
        <f t="shared" si="14"/>
        <v>7665.51</v>
      </c>
      <c r="AB101" s="140">
        <f t="shared" si="15"/>
        <v>84320.56</v>
      </c>
      <c r="AC101" s="140"/>
      <c r="AD101" s="140"/>
      <c r="AE101" s="140"/>
      <c r="AF101" s="140"/>
      <c r="AG101" s="140"/>
      <c r="AH101" s="140"/>
      <c r="AI101" s="140">
        <v>8894.57</v>
      </c>
      <c r="AJ101" s="140">
        <v>8894.57</v>
      </c>
      <c r="AK101" s="140"/>
      <c r="AL101" s="140">
        <v>10673.48</v>
      </c>
      <c r="AM101" s="140">
        <v>10673.48</v>
      </c>
      <c r="AN101" s="140"/>
      <c r="AO101" s="140">
        <v>11029.27</v>
      </c>
      <c r="AP101" s="140">
        <v>11029.27</v>
      </c>
      <c r="AQ101" s="140"/>
      <c r="AR101" s="140">
        <v>11029.27</v>
      </c>
      <c r="AS101" s="140">
        <v>11029.27</v>
      </c>
      <c r="AT101" s="140"/>
      <c r="AU101" s="140"/>
      <c r="AV101" s="140"/>
      <c r="AW101" s="140"/>
      <c r="AX101" s="140"/>
      <c r="AY101" s="140"/>
      <c r="AZ101" s="140"/>
      <c r="BA101" s="140"/>
      <c r="BB101" s="140"/>
      <c r="BC101" s="140"/>
      <c r="BD101" s="140"/>
      <c r="BE101" s="140"/>
      <c r="BF101" s="140"/>
    </row>
    <row r="102" spans="1:58" ht="40.049999999999997" customHeight="1" thickTop="1" x14ac:dyDescent="0.25">
      <c r="A102" s="119">
        <v>101</v>
      </c>
      <c r="B102" s="120">
        <v>193</v>
      </c>
      <c r="C102" s="121" t="s">
        <v>258</v>
      </c>
      <c r="D102" s="122" t="s">
        <v>487</v>
      </c>
      <c r="E102" s="122" t="s">
        <v>488</v>
      </c>
      <c r="F102" s="122" t="s">
        <v>489</v>
      </c>
      <c r="G102" s="122" t="s">
        <v>490</v>
      </c>
      <c r="H102" s="123">
        <v>20.606999999999999</v>
      </c>
      <c r="I102" s="121" t="s">
        <v>46</v>
      </c>
      <c r="J102" s="124">
        <v>957.32</v>
      </c>
      <c r="K102" s="121">
        <v>210</v>
      </c>
      <c r="L102" s="125">
        <v>138093</v>
      </c>
      <c r="M102" s="125">
        <v>14361</v>
      </c>
      <c r="N102" s="125">
        <v>152454</v>
      </c>
      <c r="O102" s="126" t="s">
        <v>491</v>
      </c>
      <c r="P102" s="126" t="s">
        <v>492</v>
      </c>
      <c r="Q102" s="127">
        <f t="shared" si="16"/>
        <v>210</v>
      </c>
      <c r="R102" s="128">
        <v>46141</v>
      </c>
      <c r="S102" s="128">
        <f t="shared" si="9"/>
        <v>46350</v>
      </c>
      <c r="T102" s="129">
        <v>138093</v>
      </c>
      <c r="U102" s="129">
        <f t="shared" si="10"/>
        <v>13809.3</v>
      </c>
      <c r="V102" s="129">
        <f t="shared" si="11"/>
        <v>151902.29999999999</v>
      </c>
      <c r="W102" s="127"/>
      <c r="X102" s="128">
        <f t="shared" si="12"/>
        <v>46141</v>
      </c>
      <c r="Y102" s="128" t="str">
        <f t="shared" si="13"/>
        <v/>
      </c>
      <c r="Z102" s="129"/>
      <c r="AA102" s="129">
        <f t="shared" si="14"/>
        <v>0</v>
      </c>
      <c r="AB102" s="129">
        <f t="shared" si="15"/>
        <v>0</v>
      </c>
      <c r="AC102" s="129"/>
      <c r="AD102" s="129"/>
      <c r="AE102" s="129"/>
      <c r="AF102" s="129">
        <v>1446.69</v>
      </c>
      <c r="AG102" s="129">
        <v>1446.69</v>
      </c>
      <c r="AH102" s="129"/>
      <c r="AI102" s="129">
        <v>22423.68</v>
      </c>
      <c r="AJ102" s="129">
        <v>22423.68</v>
      </c>
      <c r="AK102" s="129"/>
      <c r="AL102" s="129">
        <v>21700.33</v>
      </c>
      <c r="AM102" s="129">
        <v>21700.33</v>
      </c>
      <c r="AN102" s="129">
        <v>44408</v>
      </c>
      <c r="AO102" s="129">
        <v>22423.68</v>
      </c>
      <c r="AP102" s="129">
        <v>22423.68</v>
      </c>
      <c r="AQ102" s="129">
        <v>243720</v>
      </c>
      <c r="AR102" s="129">
        <v>22423.68</v>
      </c>
      <c r="AS102" s="129">
        <v>22423.68</v>
      </c>
      <c r="AT102" s="129">
        <v>214391</v>
      </c>
      <c r="AU102" s="129"/>
      <c r="AV102" s="129"/>
      <c r="AW102" s="129">
        <v>303692</v>
      </c>
      <c r="AX102" s="129"/>
      <c r="AY102" s="129"/>
      <c r="AZ102" s="129"/>
      <c r="BA102" s="129"/>
      <c r="BB102" s="129"/>
      <c r="BC102" s="129"/>
      <c r="BD102" s="129"/>
      <c r="BE102" s="129"/>
      <c r="BF102" s="129"/>
    </row>
    <row r="103" spans="1:58" ht="40.049999999999997" customHeight="1" x14ac:dyDescent="0.25">
      <c r="A103" s="91">
        <v>102</v>
      </c>
      <c r="B103" s="92">
        <v>193</v>
      </c>
      <c r="C103" s="93" t="s">
        <v>258</v>
      </c>
      <c r="D103" s="94" t="s">
        <v>487</v>
      </c>
      <c r="E103" s="94" t="s">
        <v>499</v>
      </c>
      <c r="F103" s="94" t="s">
        <v>500</v>
      </c>
      <c r="G103" s="94" t="s">
        <v>501</v>
      </c>
      <c r="H103" s="95">
        <v>18.042000000000002</v>
      </c>
      <c r="I103" s="93" t="s">
        <v>46</v>
      </c>
      <c r="J103" s="96">
        <v>954.19</v>
      </c>
      <c r="K103" s="93">
        <v>210</v>
      </c>
      <c r="L103" s="97">
        <v>120509</v>
      </c>
      <c r="M103" s="97">
        <v>12466</v>
      </c>
      <c r="N103" s="97">
        <v>132975</v>
      </c>
      <c r="O103" s="77" t="s">
        <v>502</v>
      </c>
      <c r="P103" s="77" t="s">
        <v>503</v>
      </c>
      <c r="Q103" s="78">
        <f t="shared" si="16"/>
        <v>210</v>
      </c>
      <c r="R103" s="79">
        <v>46174</v>
      </c>
      <c r="S103" s="79">
        <f t="shared" si="9"/>
        <v>46383</v>
      </c>
      <c r="T103" s="80">
        <v>120509</v>
      </c>
      <c r="U103" s="80">
        <f t="shared" si="10"/>
        <v>12050.9</v>
      </c>
      <c r="V103" s="80">
        <f t="shared" si="11"/>
        <v>132559.9</v>
      </c>
      <c r="W103" s="78"/>
      <c r="X103" s="79">
        <f t="shared" si="12"/>
        <v>46174</v>
      </c>
      <c r="Y103" s="79" t="str">
        <f t="shared" si="13"/>
        <v/>
      </c>
      <c r="Z103" s="80"/>
      <c r="AA103" s="80">
        <f t="shared" si="14"/>
        <v>0</v>
      </c>
      <c r="AB103" s="80">
        <f t="shared" si="15"/>
        <v>0</v>
      </c>
      <c r="AC103" s="80"/>
      <c r="AD103" s="80"/>
      <c r="AE103" s="80"/>
      <c r="AF103" s="80"/>
      <c r="AG103" s="80"/>
      <c r="AH103" s="80"/>
      <c r="AI103" s="80"/>
      <c r="AJ103" s="80"/>
      <c r="AK103" s="80"/>
      <c r="AL103" s="80">
        <v>18937.13</v>
      </c>
      <c r="AM103" s="80">
        <v>18937.13</v>
      </c>
      <c r="AN103" s="80"/>
      <c r="AO103" s="80">
        <v>19568.36</v>
      </c>
      <c r="AP103" s="80">
        <v>19568.36</v>
      </c>
      <c r="AQ103" s="80"/>
      <c r="AR103" s="80">
        <v>19568.36</v>
      </c>
      <c r="AS103" s="80">
        <v>19568.36</v>
      </c>
      <c r="AT103" s="80"/>
      <c r="AU103" s="80"/>
      <c r="AV103" s="80"/>
      <c r="AW103" s="80"/>
      <c r="AX103" s="80"/>
      <c r="AY103" s="80"/>
      <c r="AZ103" s="80"/>
      <c r="BA103" s="80"/>
      <c r="BB103" s="80"/>
      <c r="BC103" s="80"/>
      <c r="BD103" s="80"/>
      <c r="BE103" s="80"/>
      <c r="BF103" s="80"/>
    </row>
    <row r="104" spans="1:58" ht="40.049999999999997" customHeight="1" x14ac:dyDescent="0.25">
      <c r="A104" s="91">
        <v>103</v>
      </c>
      <c r="B104" s="92">
        <v>193</v>
      </c>
      <c r="C104" s="93" t="s">
        <v>258</v>
      </c>
      <c r="D104" s="94" t="s">
        <v>487</v>
      </c>
      <c r="E104" s="94" t="s">
        <v>487</v>
      </c>
      <c r="F104" s="94" t="s">
        <v>504</v>
      </c>
      <c r="G104" s="94" t="s">
        <v>505</v>
      </c>
      <c r="H104" s="95">
        <v>17.716000000000001</v>
      </c>
      <c r="I104" s="93" t="s">
        <v>46</v>
      </c>
      <c r="J104" s="96">
        <v>959.78</v>
      </c>
      <c r="K104" s="93">
        <v>210</v>
      </c>
      <c r="L104" s="97">
        <v>119025</v>
      </c>
      <c r="M104" s="97">
        <v>11902</v>
      </c>
      <c r="N104" s="97">
        <v>130927</v>
      </c>
      <c r="O104" s="77" t="s">
        <v>506</v>
      </c>
      <c r="P104" s="77" t="s">
        <v>507</v>
      </c>
      <c r="Q104" s="78">
        <f t="shared" si="16"/>
        <v>210</v>
      </c>
      <c r="R104" s="79">
        <v>46136</v>
      </c>
      <c r="S104" s="79">
        <f t="shared" si="9"/>
        <v>46345</v>
      </c>
      <c r="T104" s="80">
        <v>119025</v>
      </c>
      <c r="U104" s="80">
        <f t="shared" si="10"/>
        <v>11902.5</v>
      </c>
      <c r="V104" s="80">
        <f t="shared" si="11"/>
        <v>130927.5</v>
      </c>
      <c r="W104" s="78"/>
      <c r="X104" s="79">
        <f t="shared" si="12"/>
        <v>46136</v>
      </c>
      <c r="Y104" s="79" t="str">
        <f t="shared" si="13"/>
        <v/>
      </c>
      <c r="Z104" s="80"/>
      <c r="AA104" s="80">
        <f t="shared" si="14"/>
        <v>0</v>
      </c>
      <c r="AB104" s="80">
        <f t="shared" si="15"/>
        <v>0</v>
      </c>
      <c r="AC104" s="80"/>
      <c r="AD104" s="80"/>
      <c r="AE104" s="80"/>
      <c r="AF104" s="80">
        <v>4364.25</v>
      </c>
      <c r="AG104" s="80">
        <v>4364.25</v>
      </c>
      <c r="AH104" s="80"/>
      <c r="AI104" s="80">
        <v>19327.400000000001</v>
      </c>
      <c r="AJ104" s="80">
        <v>19327.400000000001</v>
      </c>
      <c r="AK104" s="80"/>
      <c r="AL104" s="80">
        <v>18703.93</v>
      </c>
      <c r="AM104" s="80">
        <v>18703.93</v>
      </c>
      <c r="AN104" s="80"/>
      <c r="AO104" s="80">
        <v>19327.400000000001</v>
      </c>
      <c r="AP104" s="80">
        <v>19327.400000000001</v>
      </c>
      <c r="AQ104" s="80"/>
      <c r="AR104" s="80">
        <v>19327.400000000001</v>
      </c>
      <c r="AS104" s="80">
        <v>19327.400000000001</v>
      </c>
      <c r="AT104" s="80"/>
      <c r="AU104" s="80"/>
      <c r="AV104" s="80"/>
      <c r="AW104" s="80"/>
      <c r="AX104" s="80"/>
      <c r="AY104" s="80"/>
      <c r="AZ104" s="80"/>
      <c r="BA104" s="80"/>
      <c r="BB104" s="80"/>
      <c r="BC104" s="80"/>
      <c r="BD104" s="80"/>
      <c r="BE104" s="80"/>
      <c r="BF104" s="80"/>
    </row>
    <row r="105" spans="1:58" ht="40.049999999999997" customHeight="1" x14ac:dyDescent="0.25">
      <c r="A105" s="91">
        <v>104</v>
      </c>
      <c r="B105" s="92">
        <v>193</v>
      </c>
      <c r="C105" s="93" t="s">
        <v>258</v>
      </c>
      <c r="D105" s="94" t="s">
        <v>487</v>
      </c>
      <c r="E105" s="94" t="s">
        <v>508</v>
      </c>
      <c r="F105" s="94" t="s">
        <v>509</v>
      </c>
      <c r="G105" s="94" t="s">
        <v>510</v>
      </c>
      <c r="H105" s="95">
        <v>18.969200000000001</v>
      </c>
      <c r="I105" s="93" t="s">
        <v>46</v>
      </c>
      <c r="J105" s="96">
        <v>953.16</v>
      </c>
      <c r="K105" s="93">
        <v>210</v>
      </c>
      <c r="L105" s="97">
        <v>126565</v>
      </c>
      <c r="M105" s="97">
        <v>12656</v>
      </c>
      <c r="N105" s="97">
        <v>139221</v>
      </c>
      <c r="O105" s="77" t="s">
        <v>511</v>
      </c>
      <c r="P105" s="77" t="s">
        <v>512</v>
      </c>
      <c r="Q105" s="78">
        <f t="shared" si="16"/>
        <v>210</v>
      </c>
      <c r="R105" s="79">
        <v>46135</v>
      </c>
      <c r="S105" s="79">
        <f t="shared" si="9"/>
        <v>46344</v>
      </c>
      <c r="T105" s="80">
        <v>126565</v>
      </c>
      <c r="U105" s="80">
        <f t="shared" si="10"/>
        <v>12656.5</v>
      </c>
      <c r="V105" s="80">
        <f t="shared" si="11"/>
        <v>139221.5</v>
      </c>
      <c r="W105" s="78"/>
      <c r="X105" s="79">
        <f t="shared" si="12"/>
        <v>46135</v>
      </c>
      <c r="Y105" s="79" t="str">
        <f t="shared" si="13"/>
        <v/>
      </c>
      <c r="Z105" s="80"/>
      <c r="AA105" s="80">
        <f t="shared" si="14"/>
        <v>0</v>
      </c>
      <c r="AB105" s="80">
        <f t="shared" si="15"/>
        <v>0</v>
      </c>
      <c r="AC105" s="80"/>
      <c r="AD105" s="80"/>
      <c r="AE105" s="80"/>
      <c r="AF105" s="80">
        <v>5303.67</v>
      </c>
      <c r="AG105" s="80">
        <v>5303.67</v>
      </c>
      <c r="AH105" s="80"/>
      <c r="AI105" s="80">
        <v>20551.740000000002</v>
      </c>
      <c r="AJ105" s="80">
        <v>20551.740000000002</v>
      </c>
      <c r="AK105" s="80"/>
      <c r="AL105" s="80">
        <v>19888.78</v>
      </c>
      <c r="AM105" s="80">
        <v>19888.78</v>
      </c>
      <c r="AN105" s="80"/>
      <c r="AO105" s="80">
        <v>20551.740000000002</v>
      </c>
      <c r="AP105" s="80">
        <v>20551.740000000002</v>
      </c>
      <c r="AQ105" s="80"/>
      <c r="AR105" s="80">
        <v>20551.740000000002</v>
      </c>
      <c r="AS105" s="80">
        <v>20551.740000000002</v>
      </c>
      <c r="AT105" s="80"/>
      <c r="AU105" s="80"/>
      <c r="AV105" s="80"/>
      <c r="AW105" s="80"/>
      <c r="AX105" s="80"/>
      <c r="AY105" s="80"/>
      <c r="AZ105" s="80"/>
      <c r="BA105" s="80"/>
      <c r="BB105" s="80"/>
      <c r="BC105" s="80"/>
      <c r="BD105" s="80"/>
      <c r="BE105" s="80"/>
      <c r="BF105" s="80"/>
    </row>
    <row r="106" spans="1:58" ht="40.049999999999997" customHeight="1" x14ac:dyDescent="0.25">
      <c r="A106" s="91">
        <v>105</v>
      </c>
      <c r="B106" s="92">
        <v>193</v>
      </c>
      <c r="C106" s="93" t="s">
        <v>258</v>
      </c>
      <c r="D106" s="94" t="s">
        <v>487</v>
      </c>
      <c r="E106" s="94" t="s">
        <v>513</v>
      </c>
      <c r="F106" s="94" t="s">
        <v>514</v>
      </c>
      <c r="G106" s="94" t="s">
        <v>515</v>
      </c>
      <c r="H106" s="95">
        <v>32.170999999999999</v>
      </c>
      <c r="I106" s="93" t="s">
        <v>46</v>
      </c>
      <c r="J106" s="96">
        <v>968.67</v>
      </c>
      <c r="K106" s="93">
        <v>210</v>
      </c>
      <c r="L106" s="97">
        <v>218142</v>
      </c>
      <c r="M106" s="97">
        <v>21814</v>
      </c>
      <c r="N106" s="97">
        <v>239956</v>
      </c>
      <c r="O106" s="77" t="s">
        <v>516</v>
      </c>
      <c r="P106" s="77" t="s">
        <v>331</v>
      </c>
      <c r="Q106" s="78">
        <f t="shared" si="16"/>
        <v>210</v>
      </c>
      <c r="R106" s="79">
        <v>46135</v>
      </c>
      <c r="S106" s="79">
        <f t="shared" si="9"/>
        <v>46344</v>
      </c>
      <c r="T106" s="80">
        <v>218142</v>
      </c>
      <c r="U106" s="80">
        <f t="shared" si="10"/>
        <v>21814.2</v>
      </c>
      <c r="V106" s="80">
        <f t="shared" si="11"/>
        <v>239956.2</v>
      </c>
      <c r="W106" s="78"/>
      <c r="X106" s="79">
        <f t="shared" si="12"/>
        <v>46135</v>
      </c>
      <c r="Y106" s="79" t="str">
        <f t="shared" si="13"/>
        <v/>
      </c>
      <c r="Z106" s="80"/>
      <c r="AA106" s="80">
        <f t="shared" si="14"/>
        <v>0</v>
      </c>
      <c r="AB106" s="80">
        <f t="shared" si="15"/>
        <v>0</v>
      </c>
      <c r="AC106" s="80"/>
      <c r="AD106" s="80"/>
      <c r="AE106" s="80"/>
      <c r="AF106" s="80">
        <v>9141.19</v>
      </c>
      <c r="AG106" s="80">
        <v>9141.19</v>
      </c>
      <c r="AH106" s="80"/>
      <c r="AI106" s="80">
        <v>35422.1</v>
      </c>
      <c r="AJ106" s="80">
        <v>35422.1</v>
      </c>
      <c r="AK106" s="80"/>
      <c r="AL106" s="80">
        <v>34279.449999999997</v>
      </c>
      <c r="AM106" s="80">
        <v>34279.449999999997</v>
      </c>
      <c r="AN106" s="80"/>
      <c r="AO106" s="80">
        <v>35422.1</v>
      </c>
      <c r="AP106" s="80">
        <v>35422.1</v>
      </c>
      <c r="AQ106" s="80"/>
      <c r="AR106" s="80">
        <v>35422.1</v>
      </c>
      <c r="AS106" s="80">
        <v>35422.1</v>
      </c>
      <c r="AT106" s="80"/>
      <c r="AU106" s="80"/>
      <c r="AV106" s="80"/>
      <c r="AW106" s="80"/>
      <c r="AX106" s="80"/>
      <c r="AY106" s="80"/>
      <c r="AZ106" s="80"/>
      <c r="BA106" s="80"/>
      <c r="BB106" s="80"/>
      <c r="BC106" s="80"/>
      <c r="BD106" s="80"/>
      <c r="BE106" s="80"/>
      <c r="BF106" s="80"/>
    </row>
    <row r="107" spans="1:58" ht="40.049999999999997" customHeight="1" x14ac:dyDescent="0.25">
      <c r="A107" s="91">
        <v>106</v>
      </c>
      <c r="B107" s="92">
        <v>193</v>
      </c>
      <c r="C107" s="93" t="s">
        <v>258</v>
      </c>
      <c r="D107" s="94" t="s">
        <v>487</v>
      </c>
      <c r="E107" s="94" t="s">
        <v>517</v>
      </c>
      <c r="F107" s="94" t="s">
        <v>518</v>
      </c>
      <c r="G107" s="94" t="s">
        <v>519</v>
      </c>
      <c r="H107" s="95">
        <v>7.6230000000000002</v>
      </c>
      <c r="I107" s="93" t="s">
        <v>46</v>
      </c>
      <c r="J107" s="96">
        <v>943.38</v>
      </c>
      <c r="K107" s="93">
        <v>210</v>
      </c>
      <c r="L107" s="97">
        <v>50340</v>
      </c>
      <c r="M107" s="97">
        <v>5034</v>
      </c>
      <c r="N107" s="97">
        <v>55374</v>
      </c>
      <c r="O107" s="77" t="s">
        <v>520</v>
      </c>
      <c r="P107" s="77" t="s">
        <v>521</v>
      </c>
      <c r="Q107" s="78">
        <f t="shared" si="16"/>
        <v>210</v>
      </c>
      <c r="R107" s="79">
        <v>46135</v>
      </c>
      <c r="S107" s="79">
        <f t="shared" si="9"/>
        <v>46344</v>
      </c>
      <c r="T107" s="80">
        <v>50340</v>
      </c>
      <c r="U107" s="80">
        <f t="shared" si="10"/>
        <v>5034</v>
      </c>
      <c r="V107" s="80">
        <f t="shared" si="11"/>
        <v>55374</v>
      </c>
      <c r="W107" s="78"/>
      <c r="X107" s="79">
        <f t="shared" si="12"/>
        <v>46135</v>
      </c>
      <c r="Y107" s="79" t="str">
        <f t="shared" si="13"/>
        <v/>
      </c>
      <c r="Z107" s="80"/>
      <c r="AA107" s="80">
        <f t="shared" si="14"/>
        <v>0</v>
      </c>
      <c r="AB107" s="80">
        <f t="shared" si="15"/>
        <v>0</v>
      </c>
      <c r="AC107" s="80"/>
      <c r="AD107" s="80"/>
      <c r="AE107" s="80"/>
      <c r="AF107" s="80">
        <v>2109.48</v>
      </c>
      <c r="AG107" s="80">
        <v>2109.48</v>
      </c>
      <c r="AH107" s="80"/>
      <c r="AI107" s="80">
        <v>8174.25</v>
      </c>
      <c r="AJ107" s="80">
        <v>8174.25</v>
      </c>
      <c r="AK107" s="80"/>
      <c r="AL107" s="80">
        <v>7910.57</v>
      </c>
      <c r="AM107" s="80">
        <v>7910.57</v>
      </c>
      <c r="AN107" s="80"/>
      <c r="AO107" s="80">
        <v>8174.25</v>
      </c>
      <c r="AP107" s="80">
        <v>8174.25</v>
      </c>
      <c r="AQ107" s="80"/>
      <c r="AR107" s="80">
        <v>8174.25</v>
      </c>
      <c r="AS107" s="80">
        <v>8174.25</v>
      </c>
      <c r="AT107" s="80"/>
      <c r="AU107" s="80"/>
      <c r="AV107" s="80"/>
      <c r="AW107" s="80"/>
      <c r="AX107" s="80"/>
      <c r="AY107" s="80"/>
      <c r="AZ107" s="80"/>
      <c r="BA107" s="80"/>
      <c r="BB107" s="80"/>
      <c r="BC107" s="80"/>
      <c r="BD107" s="80"/>
      <c r="BE107" s="80"/>
      <c r="BF107" s="80"/>
    </row>
    <row r="108" spans="1:58" ht="40.049999999999997" customHeight="1" x14ac:dyDescent="0.25">
      <c r="A108" s="91">
        <v>107</v>
      </c>
      <c r="B108" s="92">
        <v>193</v>
      </c>
      <c r="C108" s="93" t="s">
        <v>258</v>
      </c>
      <c r="D108" s="94" t="s">
        <v>487</v>
      </c>
      <c r="E108" s="94" t="s">
        <v>522</v>
      </c>
      <c r="F108" s="94" t="s">
        <v>523</v>
      </c>
      <c r="G108" s="94" t="s">
        <v>524</v>
      </c>
      <c r="H108" s="95">
        <v>19.98</v>
      </c>
      <c r="I108" s="93" t="s">
        <v>46</v>
      </c>
      <c r="J108" s="96">
        <v>961.7</v>
      </c>
      <c r="K108" s="93">
        <v>210</v>
      </c>
      <c r="L108" s="97">
        <v>134504</v>
      </c>
      <c r="M108" s="97">
        <v>13450</v>
      </c>
      <c r="N108" s="97">
        <v>147954</v>
      </c>
      <c r="O108" s="77" t="s">
        <v>525</v>
      </c>
      <c r="P108" s="77" t="s">
        <v>521</v>
      </c>
      <c r="Q108" s="78">
        <f t="shared" si="16"/>
        <v>210</v>
      </c>
      <c r="R108" s="79">
        <v>46133</v>
      </c>
      <c r="S108" s="79">
        <f t="shared" si="9"/>
        <v>46342</v>
      </c>
      <c r="T108" s="80">
        <v>134504</v>
      </c>
      <c r="U108" s="80">
        <f t="shared" si="10"/>
        <v>13450.4</v>
      </c>
      <c r="V108" s="80">
        <f t="shared" si="11"/>
        <v>147954.4</v>
      </c>
      <c r="W108" s="78"/>
      <c r="X108" s="79">
        <f t="shared" si="12"/>
        <v>46133</v>
      </c>
      <c r="Y108" s="79" t="str">
        <f t="shared" si="13"/>
        <v/>
      </c>
      <c r="Z108" s="80"/>
      <c r="AA108" s="80">
        <f t="shared" si="14"/>
        <v>0</v>
      </c>
      <c r="AB108" s="80">
        <f t="shared" si="15"/>
        <v>0</v>
      </c>
      <c r="AC108" s="80"/>
      <c r="AD108" s="80"/>
      <c r="AE108" s="80"/>
      <c r="AF108" s="80">
        <v>7045.45</v>
      </c>
      <c r="AG108" s="80">
        <v>7045.45</v>
      </c>
      <c r="AH108" s="80"/>
      <c r="AI108" s="80">
        <v>21840.89</v>
      </c>
      <c r="AJ108" s="80">
        <v>21840.89</v>
      </c>
      <c r="AK108" s="80"/>
      <c r="AL108" s="80">
        <v>21136.35</v>
      </c>
      <c r="AM108" s="80">
        <v>21136.35</v>
      </c>
      <c r="AN108" s="80"/>
      <c r="AO108" s="80">
        <v>21840.89</v>
      </c>
      <c r="AP108" s="80">
        <v>21840.89</v>
      </c>
      <c r="AQ108" s="80"/>
      <c r="AR108" s="80">
        <v>21840.89</v>
      </c>
      <c r="AS108" s="80">
        <v>21840.89</v>
      </c>
      <c r="AT108" s="80"/>
      <c r="AU108" s="80"/>
      <c r="AV108" s="80"/>
      <c r="AW108" s="80"/>
      <c r="AX108" s="80"/>
      <c r="AY108" s="80"/>
      <c r="AZ108" s="80"/>
      <c r="BA108" s="80"/>
      <c r="BB108" s="80"/>
      <c r="BC108" s="80"/>
      <c r="BD108" s="80"/>
      <c r="BE108" s="80"/>
      <c r="BF108" s="80"/>
    </row>
    <row r="109" spans="1:58" ht="40.049999999999997" customHeight="1" x14ac:dyDescent="0.25">
      <c r="A109" s="91">
        <v>108</v>
      </c>
      <c r="B109" s="92">
        <v>193</v>
      </c>
      <c r="C109" s="93" t="s">
        <v>258</v>
      </c>
      <c r="D109" s="94" t="s">
        <v>487</v>
      </c>
      <c r="E109" s="94" t="s">
        <v>526</v>
      </c>
      <c r="F109" s="94" t="s">
        <v>527</v>
      </c>
      <c r="G109" s="94" t="s">
        <v>528</v>
      </c>
      <c r="H109" s="95">
        <v>36.478999999999999</v>
      </c>
      <c r="I109" s="93" t="s">
        <v>46</v>
      </c>
      <c r="J109" s="96">
        <v>916.32</v>
      </c>
      <c r="K109" s="93">
        <v>210</v>
      </c>
      <c r="L109" s="97">
        <v>233986</v>
      </c>
      <c r="M109" s="97">
        <v>23398</v>
      </c>
      <c r="N109" s="97">
        <v>257384</v>
      </c>
      <c r="O109" s="77" t="s">
        <v>529</v>
      </c>
      <c r="P109" s="77" t="s">
        <v>530</v>
      </c>
      <c r="Q109" s="78">
        <f t="shared" si="16"/>
        <v>210</v>
      </c>
      <c r="R109" s="79">
        <v>46140</v>
      </c>
      <c r="S109" s="79">
        <f t="shared" si="9"/>
        <v>46349</v>
      </c>
      <c r="T109" s="80">
        <v>233986</v>
      </c>
      <c r="U109" s="80">
        <f t="shared" si="10"/>
        <v>23398.6</v>
      </c>
      <c r="V109" s="80">
        <f t="shared" si="11"/>
        <v>257384.6</v>
      </c>
      <c r="W109" s="78"/>
      <c r="X109" s="79">
        <f t="shared" si="12"/>
        <v>46140</v>
      </c>
      <c r="Y109" s="79" t="str">
        <f t="shared" si="13"/>
        <v/>
      </c>
      <c r="Z109" s="80"/>
      <c r="AA109" s="80">
        <f t="shared" si="14"/>
        <v>0</v>
      </c>
      <c r="AB109" s="80">
        <f t="shared" si="15"/>
        <v>0</v>
      </c>
      <c r="AC109" s="80"/>
      <c r="AD109" s="80"/>
      <c r="AE109" s="80"/>
      <c r="AF109" s="80">
        <v>3676.93</v>
      </c>
      <c r="AG109" s="80">
        <v>3676.93</v>
      </c>
      <c r="AH109" s="80"/>
      <c r="AI109" s="80">
        <v>37994.870000000003</v>
      </c>
      <c r="AJ109" s="80">
        <v>37994.870000000003</v>
      </c>
      <c r="AK109" s="80"/>
      <c r="AL109" s="80">
        <v>36769.230000000003</v>
      </c>
      <c r="AM109" s="80">
        <v>36769.230000000003</v>
      </c>
      <c r="AN109" s="80"/>
      <c r="AO109" s="80">
        <v>37994.870000000003</v>
      </c>
      <c r="AP109" s="80">
        <v>37994.870000000003</v>
      </c>
      <c r="AQ109" s="80"/>
      <c r="AR109" s="80">
        <v>37994.870000000003</v>
      </c>
      <c r="AS109" s="80">
        <v>37994.870000000003</v>
      </c>
      <c r="AT109" s="80"/>
      <c r="AU109" s="80"/>
      <c r="AV109" s="80"/>
      <c r="AW109" s="80"/>
      <c r="AX109" s="80"/>
      <c r="AY109" s="80"/>
      <c r="AZ109" s="80"/>
      <c r="BA109" s="80"/>
      <c r="BB109" s="80"/>
      <c r="BC109" s="80"/>
      <c r="BD109" s="80"/>
      <c r="BE109" s="80"/>
      <c r="BF109" s="80"/>
    </row>
    <row r="110" spans="1:58" ht="40.049999999999997" customHeight="1" x14ac:dyDescent="0.25">
      <c r="A110" s="91">
        <v>109</v>
      </c>
      <c r="B110" s="92">
        <v>193</v>
      </c>
      <c r="C110" s="93" t="s">
        <v>258</v>
      </c>
      <c r="D110" s="94" t="s">
        <v>487</v>
      </c>
      <c r="E110" s="94" t="s">
        <v>531</v>
      </c>
      <c r="F110" s="94" t="s">
        <v>532</v>
      </c>
      <c r="G110" s="94" t="s">
        <v>533</v>
      </c>
      <c r="H110" s="95">
        <v>16.533999999999999</v>
      </c>
      <c r="I110" s="93" t="s">
        <v>46</v>
      </c>
      <c r="J110" s="96">
        <v>979.53</v>
      </c>
      <c r="K110" s="93">
        <v>210</v>
      </c>
      <c r="L110" s="97">
        <v>113369</v>
      </c>
      <c r="M110" s="97">
        <v>11336</v>
      </c>
      <c r="N110" s="97">
        <v>124705</v>
      </c>
      <c r="O110" s="77" t="s">
        <v>534</v>
      </c>
      <c r="P110" s="77" t="s">
        <v>535</v>
      </c>
      <c r="Q110" s="78">
        <f t="shared" si="16"/>
        <v>210</v>
      </c>
      <c r="R110" s="79">
        <v>46133</v>
      </c>
      <c r="S110" s="79">
        <f t="shared" si="9"/>
        <v>46342</v>
      </c>
      <c r="T110" s="80">
        <v>113369</v>
      </c>
      <c r="U110" s="80">
        <f t="shared" si="10"/>
        <v>11336.9</v>
      </c>
      <c r="V110" s="80">
        <f t="shared" si="11"/>
        <v>124705.9</v>
      </c>
      <c r="W110" s="78"/>
      <c r="X110" s="79">
        <f t="shared" si="12"/>
        <v>46133</v>
      </c>
      <c r="Y110" s="79" t="str">
        <f t="shared" si="13"/>
        <v/>
      </c>
      <c r="Z110" s="80"/>
      <c r="AA110" s="80">
        <f t="shared" si="14"/>
        <v>0</v>
      </c>
      <c r="AB110" s="80">
        <f t="shared" si="15"/>
        <v>0</v>
      </c>
      <c r="AC110" s="80"/>
      <c r="AD110" s="80"/>
      <c r="AE110" s="80"/>
      <c r="AF110" s="80">
        <v>5938.37</v>
      </c>
      <c r="AG110" s="80">
        <v>5938.37</v>
      </c>
      <c r="AH110" s="80"/>
      <c r="AI110" s="80">
        <v>18408.96</v>
      </c>
      <c r="AJ110" s="80">
        <v>18408.96</v>
      </c>
      <c r="AK110" s="80"/>
      <c r="AL110" s="80">
        <v>17815.13</v>
      </c>
      <c r="AM110" s="80">
        <v>17815.13</v>
      </c>
      <c r="AN110" s="80"/>
      <c r="AO110" s="80">
        <v>18408.96</v>
      </c>
      <c r="AP110" s="80">
        <v>18408.96</v>
      </c>
      <c r="AQ110" s="80"/>
      <c r="AR110" s="80">
        <v>18408.96</v>
      </c>
      <c r="AS110" s="80">
        <v>18408.96</v>
      </c>
      <c r="AT110" s="80"/>
      <c r="AU110" s="80"/>
      <c r="AV110" s="80"/>
      <c r="AW110" s="80"/>
      <c r="AX110" s="80"/>
      <c r="AY110" s="80"/>
      <c r="AZ110" s="80"/>
      <c r="BA110" s="80"/>
      <c r="BB110" s="80"/>
      <c r="BC110" s="80"/>
      <c r="BD110" s="80"/>
      <c r="BE110" s="80"/>
      <c r="BF110" s="80"/>
    </row>
    <row r="111" spans="1:58" ht="40.049999999999997" customHeight="1" x14ac:dyDescent="0.25">
      <c r="A111" s="91">
        <v>110</v>
      </c>
      <c r="B111" s="92">
        <v>193</v>
      </c>
      <c r="C111" s="93" t="s">
        <v>258</v>
      </c>
      <c r="D111" s="94" t="s">
        <v>487</v>
      </c>
      <c r="E111" s="94" t="s">
        <v>536</v>
      </c>
      <c r="F111" s="94" t="s">
        <v>537</v>
      </c>
      <c r="G111" s="94" t="s">
        <v>538</v>
      </c>
      <c r="H111" s="95">
        <v>23.459</v>
      </c>
      <c r="I111" s="93" t="s">
        <v>46</v>
      </c>
      <c r="J111" s="96">
        <v>894.49</v>
      </c>
      <c r="K111" s="93">
        <v>210</v>
      </c>
      <c r="L111" s="97">
        <v>146887</v>
      </c>
      <c r="M111" s="97">
        <v>14688</v>
      </c>
      <c r="N111" s="97">
        <v>161575</v>
      </c>
      <c r="O111" s="77" t="s">
        <v>539</v>
      </c>
      <c r="P111" s="77" t="s">
        <v>540</v>
      </c>
      <c r="Q111" s="78">
        <f t="shared" si="16"/>
        <v>210</v>
      </c>
      <c r="R111" s="79">
        <v>46139</v>
      </c>
      <c r="S111" s="79">
        <f t="shared" si="9"/>
        <v>46348</v>
      </c>
      <c r="T111" s="80">
        <v>146887</v>
      </c>
      <c r="U111" s="80">
        <f t="shared" si="10"/>
        <v>14688.7</v>
      </c>
      <c r="V111" s="80">
        <f t="shared" si="11"/>
        <v>161575.70000000001</v>
      </c>
      <c r="W111" s="78"/>
      <c r="X111" s="79">
        <f t="shared" si="12"/>
        <v>46139</v>
      </c>
      <c r="Y111" s="79" t="str">
        <f t="shared" si="13"/>
        <v/>
      </c>
      <c r="Z111" s="80"/>
      <c r="AA111" s="80">
        <f t="shared" si="14"/>
        <v>0</v>
      </c>
      <c r="AB111" s="80">
        <f t="shared" si="15"/>
        <v>0</v>
      </c>
      <c r="AC111" s="80"/>
      <c r="AD111" s="80"/>
      <c r="AE111" s="80"/>
      <c r="AF111" s="80">
        <v>3077.64</v>
      </c>
      <c r="AG111" s="80">
        <v>3077.64</v>
      </c>
      <c r="AH111" s="80"/>
      <c r="AI111" s="80">
        <v>23851.65</v>
      </c>
      <c r="AJ111" s="80">
        <v>23851.65</v>
      </c>
      <c r="AK111" s="80"/>
      <c r="AL111" s="80">
        <v>23082.25</v>
      </c>
      <c r="AM111" s="80">
        <v>23082.25</v>
      </c>
      <c r="AN111" s="80"/>
      <c r="AO111" s="80">
        <v>23851.65</v>
      </c>
      <c r="AP111" s="80">
        <v>23851.65</v>
      </c>
      <c r="AQ111" s="80"/>
      <c r="AR111" s="80">
        <v>23851.65</v>
      </c>
      <c r="AS111" s="80">
        <v>23851.65</v>
      </c>
      <c r="AT111" s="80"/>
      <c r="AU111" s="80"/>
      <c r="AV111" s="80"/>
      <c r="AW111" s="80"/>
      <c r="AX111" s="80"/>
      <c r="AY111" s="80"/>
      <c r="AZ111" s="80"/>
      <c r="BA111" s="80"/>
      <c r="BB111" s="80"/>
      <c r="BC111" s="80"/>
      <c r="BD111" s="80"/>
      <c r="BE111" s="80"/>
      <c r="BF111" s="80"/>
    </row>
    <row r="112" spans="1:58" ht="40.049999999999997" customHeight="1" thickBot="1" x14ac:dyDescent="0.3">
      <c r="A112" s="148">
        <v>111</v>
      </c>
      <c r="B112" s="149">
        <v>193</v>
      </c>
      <c r="C112" s="150" t="s">
        <v>258</v>
      </c>
      <c r="D112" s="151" t="s">
        <v>487</v>
      </c>
      <c r="E112" s="151" t="s">
        <v>541</v>
      </c>
      <c r="F112" s="151" t="s">
        <v>542</v>
      </c>
      <c r="G112" s="151" t="s">
        <v>543</v>
      </c>
      <c r="H112" s="152">
        <v>34.25</v>
      </c>
      <c r="I112" s="150" t="s">
        <v>46</v>
      </c>
      <c r="J112" s="153">
        <v>917.63</v>
      </c>
      <c r="K112" s="150">
        <v>210</v>
      </c>
      <c r="L112" s="154">
        <v>220002</v>
      </c>
      <c r="M112" s="154">
        <v>22000</v>
      </c>
      <c r="N112" s="154">
        <v>242002</v>
      </c>
      <c r="O112" s="137" t="s">
        <v>544</v>
      </c>
      <c r="P112" s="137" t="s">
        <v>545</v>
      </c>
      <c r="Q112" s="138">
        <f t="shared" si="16"/>
        <v>210</v>
      </c>
      <c r="R112" s="139">
        <v>46141</v>
      </c>
      <c r="S112" s="139">
        <f t="shared" si="9"/>
        <v>46350</v>
      </c>
      <c r="T112" s="140">
        <v>220002</v>
      </c>
      <c r="U112" s="140">
        <f t="shared" si="10"/>
        <v>22000.2</v>
      </c>
      <c r="V112" s="140">
        <f t="shared" si="11"/>
        <v>242002.2</v>
      </c>
      <c r="W112" s="138"/>
      <c r="X112" s="139">
        <f t="shared" si="12"/>
        <v>46141</v>
      </c>
      <c r="Y112" s="139" t="str">
        <f t="shared" si="13"/>
        <v/>
      </c>
      <c r="Z112" s="140"/>
      <c r="AA112" s="140">
        <f t="shared" si="14"/>
        <v>0</v>
      </c>
      <c r="AB112" s="140">
        <f t="shared" si="15"/>
        <v>0</v>
      </c>
      <c r="AC112" s="140"/>
      <c r="AD112" s="140"/>
      <c r="AE112" s="140"/>
      <c r="AF112" s="140">
        <v>2304.79</v>
      </c>
      <c r="AG112" s="140">
        <v>2304.79</v>
      </c>
      <c r="AH112" s="140"/>
      <c r="AI112" s="140">
        <v>35724.14</v>
      </c>
      <c r="AJ112" s="140">
        <v>35724.14</v>
      </c>
      <c r="AK112" s="140"/>
      <c r="AL112" s="140">
        <v>34571.75</v>
      </c>
      <c r="AM112" s="140">
        <v>34571.75</v>
      </c>
      <c r="AN112" s="140"/>
      <c r="AO112" s="140">
        <v>35724.14</v>
      </c>
      <c r="AP112" s="140">
        <v>35724.14</v>
      </c>
      <c r="AQ112" s="140"/>
      <c r="AR112" s="140">
        <v>35724.14</v>
      </c>
      <c r="AS112" s="140">
        <v>35724.14</v>
      </c>
      <c r="AT112" s="140"/>
      <c r="AU112" s="140"/>
      <c r="AV112" s="140"/>
      <c r="AW112" s="140"/>
      <c r="AX112" s="140"/>
      <c r="AY112" s="140"/>
      <c r="AZ112" s="140"/>
      <c r="BA112" s="140"/>
      <c r="BB112" s="140"/>
      <c r="BC112" s="140"/>
      <c r="BD112" s="140"/>
      <c r="BE112" s="140"/>
      <c r="BF112" s="140"/>
    </row>
    <row r="113" spans="1:58" ht="40.049999999999997" customHeight="1" thickTop="1" x14ac:dyDescent="0.25">
      <c r="A113" s="141">
        <v>112</v>
      </c>
      <c r="B113" s="142">
        <v>102</v>
      </c>
      <c r="C113" s="143" t="s">
        <v>258</v>
      </c>
      <c r="D113" s="144" t="s">
        <v>258</v>
      </c>
      <c r="E113" s="144" t="s">
        <v>546</v>
      </c>
      <c r="F113" s="144" t="s">
        <v>547</v>
      </c>
      <c r="G113" s="144" t="s">
        <v>548</v>
      </c>
      <c r="H113" s="145">
        <v>24.45</v>
      </c>
      <c r="I113" s="143" t="s">
        <v>46</v>
      </c>
      <c r="J113" s="146">
        <v>948.06</v>
      </c>
      <c r="K113" s="143">
        <v>225</v>
      </c>
      <c r="L113" s="147">
        <v>173851</v>
      </c>
      <c r="M113" s="147">
        <v>17385</v>
      </c>
      <c r="N113" s="147">
        <v>191236</v>
      </c>
      <c r="O113" s="126" t="s">
        <v>549</v>
      </c>
      <c r="P113" s="126" t="s">
        <v>550</v>
      </c>
      <c r="Q113" s="127">
        <f t="shared" si="16"/>
        <v>225</v>
      </c>
      <c r="R113" s="128">
        <v>46146</v>
      </c>
      <c r="S113" s="128">
        <f t="shared" si="9"/>
        <v>46370</v>
      </c>
      <c r="T113" s="129">
        <v>165158.45000000001</v>
      </c>
      <c r="U113" s="129">
        <f t="shared" si="10"/>
        <v>16515.849999999999</v>
      </c>
      <c r="V113" s="129">
        <f t="shared" si="11"/>
        <v>181674.30000000002</v>
      </c>
      <c r="W113" s="127"/>
      <c r="X113" s="128">
        <f t="shared" si="12"/>
        <v>46146</v>
      </c>
      <c r="Y113" s="128" t="str">
        <f t="shared" si="13"/>
        <v/>
      </c>
      <c r="Z113" s="129"/>
      <c r="AA113" s="129">
        <f t="shared" si="14"/>
        <v>0</v>
      </c>
      <c r="AB113" s="129">
        <f t="shared" si="15"/>
        <v>0</v>
      </c>
      <c r="AC113" s="129"/>
      <c r="AD113" s="129"/>
      <c r="AE113" s="129"/>
      <c r="AF113" s="129">
        <v>0</v>
      </c>
      <c r="AG113" s="129">
        <v>0</v>
      </c>
      <c r="AH113" s="129"/>
      <c r="AI113" s="129">
        <v>22608.36</v>
      </c>
      <c r="AJ113" s="129">
        <v>22608.36</v>
      </c>
      <c r="AK113" s="129"/>
      <c r="AL113" s="129">
        <v>24223.24</v>
      </c>
      <c r="AM113" s="129">
        <v>24223.24</v>
      </c>
      <c r="AN113" s="129">
        <v>16115</v>
      </c>
      <c r="AO113" s="129">
        <v>25030.68</v>
      </c>
      <c r="AP113" s="129">
        <v>25030.68</v>
      </c>
      <c r="AQ113" s="129">
        <v>315692.59999999998</v>
      </c>
      <c r="AR113" s="129"/>
      <c r="AS113" s="129"/>
      <c r="AT113" s="129">
        <v>470289.76</v>
      </c>
      <c r="AU113" s="129"/>
      <c r="AV113" s="129"/>
      <c r="AW113" s="129">
        <v>541778.02</v>
      </c>
      <c r="AX113" s="129"/>
      <c r="AY113" s="129"/>
      <c r="AZ113" s="129"/>
      <c r="BA113" s="129"/>
      <c r="BB113" s="129"/>
      <c r="BC113" s="129"/>
      <c r="BD113" s="129"/>
      <c r="BE113" s="129"/>
      <c r="BF113" s="129"/>
    </row>
    <row r="114" spans="1:58" ht="40.049999999999997" customHeight="1" x14ac:dyDescent="0.25">
      <c r="A114" s="98">
        <v>113</v>
      </c>
      <c r="B114" s="99">
        <v>102</v>
      </c>
      <c r="C114" s="100" t="s">
        <v>258</v>
      </c>
      <c r="D114" s="101" t="s">
        <v>258</v>
      </c>
      <c r="E114" s="101" t="s">
        <v>546</v>
      </c>
      <c r="F114" s="101" t="s">
        <v>555</v>
      </c>
      <c r="G114" s="101" t="s">
        <v>556</v>
      </c>
      <c r="H114" s="102">
        <v>11.87</v>
      </c>
      <c r="I114" s="100" t="s">
        <v>46</v>
      </c>
      <c r="J114" s="103">
        <v>943.59</v>
      </c>
      <c r="K114" s="100">
        <v>225</v>
      </c>
      <c r="L114" s="104">
        <v>84003</v>
      </c>
      <c r="M114" s="104">
        <v>8400</v>
      </c>
      <c r="N114" s="104">
        <v>92403</v>
      </c>
      <c r="O114" s="77" t="s">
        <v>557</v>
      </c>
      <c r="P114" s="77" t="s">
        <v>558</v>
      </c>
      <c r="Q114" s="78">
        <f t="shared" si="16"/>
        <v>225</v>
      </c>
      <c r="R114" s="79">
        <v>46142</v>
      </c>
      <c r="S114" s="79">
        <f t="shared" si="9"/>
        <v>46366</v>
      </c>
      <c r="T114" s="80">
        <v>79802.850000000006</v>
      </c>
      <c r="U114" s="80">
        <f t="shared" si="10"/>
        <v>7980.29</v>
      </c>
      <c r="V114" s="80">
        <f t="shared" si="11"/>
        <v>87783.14</v>
      </c>
      <c r="W114" s="78"/>
      <c r="X114" s="79">
        <f t="shared" si="12"/>
        <v>46142</v>
      </c>
      <c r="Y114" s="79" t="str">
        <f t="shared" si="13"/>
        <v/>
      </c>
      <c r="Z114" s="80"/>
      <c r="AA114" s="80">
        <f t="shared" si="14"/>
        <v>0</v>
      </c>
      <c r="AB114" s="80">
        <f t="shared" si="15"/>
        <v>0</v>
      </c>
      <c r="AC114" s="80"/>
      <c r="AD114" s="80"/>
      <c r="AE114" s="80"/>
      <c r="AF114" s="80">
        <v>390.15</v>
      </c>
      <c r="AG114" s="80">
        <v>390.15</v>
      </c>
      <c r="AH114" s="80"/>
      <c r="AI114" s="80">
        <v>12094.57</v>
      </c>
      <c r="AJ114" s="80">
        <v>12094.57</v>
      </c>
      <c r="AK114" s="80"/>
      <c r="AL114" s="80">
        <v>11704.42</v>
      </c>
      <c r="AM114" s="80">
        <v>11704.42</v>
      </c>
      <c r="AN114" s="80"/>
      <c r="AO114" s="80">
        <v>12094.57</v>
      </c>
      <c r="AP114" s="80">
        <v>12094.57</v>
      </c>
      <c r="AQ114" s="80"/>
      <c r="AR114" s="80"/>
      <c r="AS114" s="80"/>
      <c r="AT114" s="80"/>
      <c r="AU114" s="80"/>
      <c r="AV114" s="80"/>
      <c r="AW114" s="80"/>
      <c r="AX114" s="80"/>
      <c r="AY114" s="80"/>
      <c r="AZ114" s="80"/>
      <c r="BA114" s="80"/>
      <c r="BB114" s="80"/>
      <c r="BC114" s="80"/>
      <c r="BD114" s="80"/>
      <c r="BE114" s="80"/>
      <c r="BF114" s="80"/>
    </row>
    <row r="115" spans="1:58" ht="40.049999999999997" customHeight="1" x14ac:dyDescent="0.25">
      <c r="A115" s="98">
        <v>114</v>
      </c>
      <c r="B115" s="99">
        <v>102</v>
      </c>
      <c r="C115" s="100" t="s">
        <v>258</v>
      </c>
      <c r="D115" s="101" t="s">
        <v>258</v>
      </c>
      <c r="E115" s="101" t="s">
        <v>546</v>
      </c>
      <c r="F115" s="101" t="s">
        <v>559</v>
      </c>
      <c r="G115" s="101" t="s">
        <v>560</v>
      </c>
      <c r="H115" s="102">
        <v>16.2</v>
      </c>
      <c r="I115" s="100" t="s">
        <v>46</v>
      </c>
      <c r="J115" s="103">
        <v>976.19</v>
      </c>
      <c r="K115" s="100">
        <v>222</v>
      </c>
      <c r="L115" s="104">
        <v>117026</v>
      </c>
      <c r="M115" s="104">
        <v>11702</v>
      </c>
      <c r="N115" s="104">
        <v>128728</v>
      </c>
      <c r="O115" s="77" t="s">
        <v>561</v>
      </c>
      <c r="P115" s="77" t="s">
        <v>562</v>
      </c>
      <c r="Q115" s="78">
        <f t="shared" si="16"/>
        <v>222</v>
      </c>
      <c r="R115" s="79">
        <v>46188</v>
      </c>
      <c r="S115" s="79">
        <f t="shared" si="9"/>
        <v>46409</v>
      </c>
      <c r="T115" s="80">
        <v>111174.7</v>
      </c>
      <c r="U115" s="80">
        <f t="shared" si="10"/>
        <v>11117.47</v>
      </c>
      <c r="V115" s="80">
        <f t="shared" si="11"/>
        <v>122292.17</v>
      </c>
      <c r="W115" s="78">
        <v>193</v>
      </c>
      <c r="X115" s="79">
        <f t="shared" si="12"/>
        <v>46188</v>
      </c>
      <c r="Y115" s="79">
        <f t="shared" si="13"/>
        <v>46380</v>
      </c>
      <c r="Z115" s="80">
        <v>96651.5</v>
      </c>
      <c r="AA115" s="80">
        <f t="shared" si="14"/>
        <v>9665.15</v>
      </c>
      <c r="AB115" s="80">
        <f t="shared" si="15"/>
        <v>106316.65</v>
      </c>
      <c r="AC115" s="80"/>
      <c r="AD115" s="80"/>
      <c r="AE115" s="80"/>
      <c r="AF115" s="80">
        <v>0</v>
      </c>
      <c r="AG115" s="80">
        <v>0</v>
      </c>
      <c r="AH115" s="80"/>
      <c r="AI115" s="80">
        <v>0</v>
      </c>
      <c r="AJ115" s="80">
        <v>0</v>
      </c>
      <c r="AK115" s="80"/>
      <c r="AL115" s="80">
        <v>8813.82</v>
      </c>
      <c r="AM115" s="80">
        <v>8813.82</v>
      </c>
      <c r="AN115" s="80"/>
      <c r="AO115" s="80">
        <v>17076.759999999998</v>
      </c>
      <c r="AP115" s="80">
        <v>17076.759999999998</v>
      </c>
      <c r="AQ115" s="80"/>
      <c r="AR115" s="80"/>
      <c r="AS115" s="80"/>
      <c r="AT115" s="80"/>
      <c r="AU115" s="80"/>
      <c r="AV115" s="80"/>
      <c r="AW115" s="80"/>
      <c r="AX115" s="80"/>
      <c r="AY115" s="80"/>
      <c r="AZ115" s="80"/>
      <c r="BA115" s="80"/>
      <c r="BB115" s="80"/>
      <c r="BC115" s="80"/>
      <c r="BD115" s="80"/>
      <c r="BE115" s="80"/>
      <c r="BF115" s="80"/>
    </row>
    <row r="116" spans="1:58" ht="40.049999999999997" customHeight="1" x14ac:dyDescent="0.25">
      <c r="A116" s="98">
        <v>115</v>
      </c>
      <c r="B116" s="99">
        <v>102</v>
      </c>
      <c r="C116" s="100" t="s">
        <v>258</v>
      </c>
      <c r="D116" s="101" t="s">
        <v>258</v>
      </c>
      <c r="E116" s="101" t="s">
        <v>546</v>
      </c>
      <c r="F116" s="101" t="s">
        <v>563</v>
      </c>
      <c r="G116" s="101" t="s">
        <v>564</v>
      </c>
      <c r="H116" s="102">
        <v>19.84</v>
      </c>
      <c r="I116" s="100" t="s">
        <v>46</v>
      </c>
      <c r="J116" s="103">
        <v>958.24</v>
      </c>
      <c r="K116" s="100">
        <v>222</v>
      </c>
      <c r="L116" s="104">
        <v>140685</v>
      </c>
      <c r="M116" s="104">
        <v>14068</v>
      </c>
      <c r="N116" s="104">
        <v>154753</v>
      </c>
      <c r="O116" s="77" t="s">
        <v>565</v>
      </c>
      <c r="P116" s="77" t="s">
        <v>566</v>
      </c>
      <c r="Q116" s="78">
        <f t="shared" si="16"/>
        <v>222</v>
      </c>
      <c r="R116" s="79">
        <v>46160</v>
      </c>
      <c r="S116" s="79">
        <f t="shared" si="9"/>
        <v>46381</v>
      </c>
      <c r="T116" s="80">
        <v>133650.75</v>
      </c>
      <c r="U116" s="80">
        <f t="shared" si="10"/>
        <v>13365.08</v>
      </c>
      <c r="V116" s="80">
        <f t="shared" si="11"/>
        <v>147015.82999999999</v>
      </c>
      <c r="W116" s="78"/>
      <c r="X116" s="79">
        <f t="shared" si="12"/>
        <v>46160</v>
      </c>
      <c r="Y116" s="79" t="str">
        <f t="shared" si="13"/>
        <v/>
      </c>
      <c r="Z116" s="80"/>
      <c r="AA116" s="80">
        <f t="shared" si="14"/>
        <v>0</v>
      </c>
      <c r="AB116" s="80">
        <f t="shared" si="15"/>
        <v>0</v>
      </c>
      <c r="AC116" s="80"/>
      <c r="AD116" s="80"/>
      <c r="AE116" s="80"/>
      <c r="AF116" s="80">
        <v>0</v>
      </c>
      <c r="AG116" s="80">
        <v>0</v>
      </c>
      <c r="AH116" s="80"/>
      <c r="AI116" s="80">
        <v>9271.27</v>
      </c>
      <c r="AJ116" s="80">
        <v>9271.27</v>
      </c>
      <c r="AK116" s="80"/>
      <c r="AL116" s="80">
        <v>19867</v>
      </c>
      <c r="AM116" s="80">
        <v>19867</v>
      </c>
      <c r="AN116" s="80"/>
      <c r="AO116" s="80">
        <v>20529.23</v>
      </c>
      <c r="AP116" s="80">
        <v>20529.23</v>
      </c>
      <c r="AQ116" s="80"/>
      <c r="AR116" s="80"/>
      <c r="AS116" s="80"/>
      <c r="AT116" s="80"/>
      <c r="AU116" s="80"/>
      <c r="AV116" s="80"/>
      <c r="AW116" s="80"/>
      <c r="AX116" s="80"/>
      <c r="AY116" s="80"/>
      <c r="AZ116" s="80"/>
      <c r="BA116" s="80"/>
      <c r="BB116" s="80"/>
      <c r="BC116" s="80"/>
      <c r="BD116" s="80"/>
      <c r="BE116" s="80"/>
      <c r="BF116" s="80"/>
    </row>
    <row r="117" spans="1:58" ht="40.049999999999997" customHeight="1" x14ac:dyDescent="0.25">
      <c r="A117" s="98">
        <v>116</v>
      </c>
      <c r="B117" s="99">
        <v>102</v>
      </c>
      <c r="C117" s="100" t="s">
        <v>258</v>
      </c>
      <c r="D117" s="101" t="s">
        <v>258</v>
      </c>
      <c r="E117" s="101" t="s">
        <v>546</v>
      </c>
      <c r="F117" s="101" t="s">
        <v>567</v>
      </c>
      <c r="G117" s="101" t="s">
        <v>568</v>
      </c>
      <c r="H117" s="102">
        <v>20.6</v>
      </c>
      <c r="I117" s="100" t="s">
        <v>46</v>
      </c>
      <c r="J117" s="103">
        <v>1030.19</v>
      </c>
      <c r="K117" s="100">
        <v>225</v>
      </c>
      <c r="L117" s="104">
        <v>159164</v>
      </c>
      <c r="M117" s="104">
        <v>15916</v>
      </c>
      <c r="N117" s="104">
        <v>175080</v>
      </c>
      <c r="O117" s="77" t="s">
        <v>569</v>
      </c>
      <c r="P117" s="77" t="s">
        <v>432</v>
      </c>
      <c r="Q117" s="78">
        <f t="shared" si="16"/>
        <v>225</v>
      </c>
      <c r="R117" s="79">
        <v>46140</v>
      </c>
      <c r="S117" s="79">
        <f t="shared" si="9"/>
        <v>46364</v>
      </c>
      <c r="T117" s="80">
        <v>151205.79999999999</v>
      </c>
      <c r="U117" s="80">
        <f t="shared" si="10"/>
        <v>15120.58</v>
      </c>
      <c r="V117" s="80">
        <f t="shared" si="11"/>
        <v>166326.37999999998</v>
      </c>
      <c r="W117" s="78"/>
      <c r="X117" s="79">
        <f t="shared" si="12"/>
        <v>46140</v>
      </c>
      <c r="Y117" s="79" t="str">
        <f t="shared" si="13"/>
        <v/>
      </c>
      <c r="Z117" s="80"/>
      <c r="AA117" s="80">
        <f t="shared" si="14"/>
        <v>0</v>
      </c>
      <c r="AB117" s="80">
        <f t="shared" si="15"/>
        <v>0</v>
      </c>
      <c r="AC117" s="80"/>
      <c r="AD117" s="80"/>
      <c r="AE117" s="80"/>
      <c r="AF117" s="80">
        <v>2217.69</v>
      </c>
      <c r="AG117" s="80">
        <v>2217.69</v>
      </c>
      <c r="AH117" s="80"/>
      <c r="AI117" s="80">
        <v>22916.080000000002</v>
      </c>
      <c r="AJ117" s="80">
        <v>22916.080000000002</v>
      </c>
      <c r="AK117" s="80"/>
      <c r="AL117" s="80">
        <v>22176.85</v>
      </c>
      <c r="AM117" s="80">
        <v>22176.85</v>
      </c>
      <c r="AN117" s="80"/>
      <c r="AO117" s="80">
        <v>22916.080000000002</v>
      </c>
      <c r="AP117" s="80">
        <v>22916.080000000002</v>
      </c>
      <c r="AQ117" s="80"/>
      <c r="AR117" s="80"/>
      <c r="AS117" s="80"/>
      <c r="AT117" s="80"/>
      <c r="AU117" s="80"/>
      <c r="AV117" s="80"/>
      <c r="AW117" s="80"/>
      <c r="AX117" s="80"/>
      <c r="AY117" s="80"/>
      <c r="AZ117" s="80"/>
      <c r="BA117" s="80"/>
      <c r="BB117" s="80"/>
      <c r="BC117" s="80"/>
      <c r="BD117" s="80"/>
      <c r="BE117" s="80"/>
      <c r="BF117" s="80"/>
    </row>
    <row r="118" spans="1:58" ht="40.049999999999997" customHeight="1" x14ac:dyDescent="0.25">
      <c r="A118" s="98">
        <v>117</v>
      </c>
      <c r="B118" s="99">
        <v>102</v>
      </c>
      <c r="C118" s="100" t="s">
        <v>258</v>
      </c>
      <c r="D118" s="101" t="s">
        <v>258</v>
      </c>
      <c r="E118" s="101" t="s">
        <v>546</v>
      </c>
      <c r="F118" s="101" t="s">
        <v>570</v>
      </c>
      <c r="G118" s="101" t="s">
        <v>571</v>
      </c>
      <c r="H118" s="102">
        <v>17.8</v>
      </c>
      <c r="I118" s="100" t="s">
        <v>46</v>
      </c>
      <c r="J118" s="103">
        <v>964.49</v>
      </c>
      <c r="K118" s="100">
        <v>225</v>
      </c>
      <c r="L118" s="104">
        <v>128759</v>
      </c>
      <c r="M118" s="104">
        <v>12875</v>
      </c>
      <c r="N118" s="104">
        <v>141634</v>
      </c>
      <c r="O118" s="77" t="s">
        <v>572</v>
      </c>
      <c r="P118" s="77" t="s">
        <v>573</v>
      </c>
      <c r="Q118" s="78">
        <f t="shared" si="16"/>
        <v>225</v>
      </c>
      <c r="R118" s="79">
        <v>46135</v>
      </c>
      <c r="S118" s="79">
        <f t="shared" si="9"/>
        <v>46359</v>
      </c>
      <c r="T118" s="80">
        <v>122321.05</v>
      </c>
      <c r="U118" s="80">
        <f t="shared" si="10"/>
        <v>12232.11</v>
      </c>
      <c r="V118" s="80">
        <f t="shared" si="11"/>
        <v>134553.16</v>
      </c>
      <c r="W118" s="78"/>
      <c r="X118" s="79">
        <f t="shared" si="12"/>
        <v>46135</v>
      </c>
      <c r="Y118" s="79" t="str">
        <f t="shared" si="13"/>
        <v/>
      </c>
      <c r="Z118" s="80"/>
      <c r="AA118" s="80">
        <f t="shared" si="14"/>
        <v>0</v>
      </c>
      <c r="AB118" s="80">
        <f t="shared" si="15"/>
        <v>0</v>
      </c>
      <c r="AC118" s="80"/>
      <c r="AD118" s="80"/>
      <c r="AE118" s="80"/>
      <c r="AF118" s="80">
        <v>4784.1099999999997</v>
      </c>
      <c r="AG118" s="80">
        <v>4784.1099999999997</v>
      </c>
      <c r="AH118" s="80"/>
      <c r="AI118" s="80">
        <v>18538.43</v>
      </c>
      <c r="AJ118" s="80">
        <v>18538.43</v>
      </c>
      <c r="AK118" s="80"/>
      <c r="AL118" s="80">
        <v>17940.419999999998</v>
      </c>
      <c r="AM118" s="80">
        <v>17940.419999999998</v>
      </c>
      <c r="AN118" s="80"/>
      <c r="AO118" s="80">
        <v>18538.43</v>
      </c>
      <c r="AP118" s="80">
        <v>18538.43</v>
      </c>
      <c r="AQ118" s="80"/>
      <c r="AR118" s="80"/>
      <c r="AS118" s="80"/>
      <c r="AT118" s="80"/>
      <c r="AU118" s="80"/>
      <c r="AV118" s="80"/>
      <c r="AW118" s="80"/>
      <c r="AX118" s="80"/>
      <c r="AY118" s="80"/>
      <c r="AZ118" s="80"/>
      <c r="BA118" s="80"/>
      <c r="BB118" s="80"/>
      <c r="BC118" s="80"/>
      <c r="BD118" s="80"/>
      <c r="BE118" s="80"/>
      <c r="BF118" s="80"/>
    </row>
    <row r="119" spans="1:58" ht="40.049999999999997" customHeight="1" x14ac:dyDescent="0.25">
      <c r="A119" s="98">
        <v>118</v>
      </c>
      <c r="B119" s="99">
        <v>102</v>
      </c>
      <c r="C119" s="100" t="s">
        <v>258</v>
      </c>
      <c r="D119" s="101" t="s">
        <v>258</v>
      </c>
      <c r="E119" s="101" t="s">
        <v>546</v>
      </c>
      <c r="F119" s="101" t="s">
        <v>574</v>
      </c>
      <c r="G119" s="101" t="s">
        <v>575</v>
      </c>
      <c r="H119" s="102">
        <v>15.32</v>
      </c>
      <c r="I119" s="100" t="s">
        <v>46</v>
      </c>
      <c r="J119" s="103">
        <v>912.11</v>
      </c>
      <c r="K119" s="100">
        <v>222</v>
      </c>
      <c r="L119" s="104">
        <v>103404</v>
      </c>
      <c r="M119" s="104">
        <v>10340</v>
      </c>
      <c r="N119" s="104">
        <v>113744</v>
      </c>
      <c r="O119" s="77" t="s">
        <v>576</v>
      </c>
      <c r="P119" s="77" t="s">
        <v>577</v>
      </c>
      <c r="Q119" s="78">
        <f t="shared" si="16"/>
        <v>222</v>
      </c>
      <c r="R119" s="79">
        <v>46146</v>
      </c>
      <c r="S119" s="79">
        <f t="shared" si="9"/>
        <v>46367</v>
      </c>
      <c r="T119" s="80">
        <v>98233.8</v>
      </c>
      <c r="U119" s="80">
        <f t="shared" si="10"/>
        <v>9823.3799999999992</v>
      </c>
      <c r="V119" s="80">
        <f t="shared" si="11"/>
        <v>108057.18000000001</v>
      </c>
      <c r="W119" s="78"/>
      <c r="X119" s="79">
        <f t="shared" si="12"/>
        <v>46146</v>
      </c>
      <c r="Y119" s="79" t="str">
        <f t="shared" si="13"/>
        <v/>
      </c>
      <c r="Z119" s="80"/>
      <c r="AA119" s="80">
        <f t="shared" si="14"/>
        <v>0</v>
      </c>
      <c r="AB119" s="80">
        <f t="shared" si="15"/>
        <v>0</v>
      </c>
      <c r="AC119" s="80"/>
      <c r="AD119" s="80"/>
      <c r="AE119" s="80"/>
      <c r="AF119" s="80">
        <v>0</v>
      </c>
      <c r="AG119" s="80">
        <v>0</v>
      </c>
      <c r="AH119" s="80"/>
      <c r="AI119" s="80">
        <v>13628.84</v>
      </c>
      <c r="AJ119" s="80">
        <v>13628.84</v>
      </c>
      <c r="AK119" s="80"/>
      <c r="AL119" s="80">
        <v>14602.32</v>
      </c>
      <c r="AM119" s="80">
        <v>14602.32</v>
      </c>
      <c r="AN119" s="80"/>
      <c r="AO119" s="80">
        <v>15089.06</v>
      </c>
      <c r="AP119" s="80">
        <v>15089.06</v>
      </c>
      <c r="AQ119" s="80"/>
      <c r="AR119" s="80"/>
      <c r="AS119" s="80"/>
      <c r="AT119" s="80"/>
      <c r="AU119" s="80"/>
      <c r="AV119" s="80"/>
      <c r="AW119" s="80"/>
      <c r="AX119" s="80"/>
      <c r="AY119" s="80"/>
      <c r="AZ119" s="80"/>
      <c r="BA119" s="80"/>
      <c r="BB119" s="80"/>
      <c r="BC119" s="80"/>
      <c r="BD119" s="80"/>
      <c r="BE119" s="80"/>
      <c r="BF119" s="80"/>
    </row>
    <row r="120" spans="1:58" ht="40.049999999999997" customHeight="1" x14ac:dyDescent="0.25">
      <c r="A120" s="98">
        <v>119</v>
      </c>
      <c r="B120" s="99">
        <v>102</v>
      </c>
      <c r="C120" s="100" t="s">
        <v>258</v>
      </c>
      <c r="D120" s="101" t="s">
        <v>258</v>
      </c>
      <c r="E120" s="101" t="s">
        <v>546</v>
      </c>
      <c r="F120" s="101" t="s">
        <v>578</v>
      </c>
      <c r="G120" s="101" t="s">
        <v>579</v>
      </c>
      <c r="H120" s="102">
        <v>16.82</v>
      </c>
      <c r="I120" s="100" t="s">
        <v>46</v>
      </c>
      <c r="J120" s="103">
        <v>1050.8499999999999</v>
      </c>
      <c r="K120" s="100">
        <v>225</v>
      </c>
      <c r="L120" s="104">
        <v>132565</v>
      </c>
      <c r="M120" s="104">
        <v>13256</v>
      </c>
      <c r="N120" s="104">
        <v>145821</v>
      </c>
      <c r="O120" s="77" t="s">
        <v>580</v>
      </c>
      <c r="P120" s="77" t="s">
        <v>581</v>
      </c>
      <c r="Q120" s="78">
        <f t="shared" si="16"/>
        <v>225</v>
      </c>
      <c r="R120" s="79">
        <v>46135</v>
      </c>
      <c r="S120" s="79">
        <f t="shared" si="9"/>
        <v>46359</v>
      </c>
      <c r="T120" s="80">
        <v>125936.75</v>
      </c>
      <c r="U120" s="80">
        <f t="shared" si="10"/>
        <v>12593.68</v>
      </c>
      <c r="V120" s="80">
        <f t="shared" si="11"/>
        <v>138530.43</v>
      </c>
      <c r="W120" s="78"/>
      <c r="X120" s="79">
        <f t="shared" si="12"/>
        <v>46135</v>
      </c>
      <c r="Y120" s="79" t="str">
        <f t="shared" si="13"/>
        <v/>
      </c>
      <c r="Z120" s="80"/>
      <c r="AA120" s="80">
        <f t="shared" si="14"/>
        <v>0</v>
      </c>
      <c r="AB120" s="80">
        <f t="shared" si="15"/>
        <v>0</v>
      </c>
      <c r="AC120" s="80"/>
      <c r="AD120" s="80"/>
      <c r="AE120" s="80"/>
      <c r="AF120" s="80">
        <v>4925.53</v>
      </c>
      <c r="AG120" s="80">
        <v>4925.53</v>
      </c>
      <c r="AH120" s="80"/>
      <c r="AI120" s="80">
        <v>19086.419999999998</v>
      </c>
      <c r="AJ120" s="80">
        <v>19086.419999999998</v>
      </c>
      <c r="AK120" s="80"/>
      <c r="AL120" s="80">
        <v>18470.73</v>
      </c>
      <c r="AM120" s="80">
        <v>18470.73</v>
      </c>
      <c r="AN120" s="80"/>
      <c r="AO120" s="80">
        <v>19086.419999999998</v>
      </c>
      <c r="AP120" s="80">
        <v>19086.419999999998</v>
      </c>
      <c r="AQ120" s="80"/>
      <c r="AR120" s="80"/>
      <c r="AS120" s="80"/>
      <c r="AT120" s="80"/>
      <c r="AU120" s="80"/>
      <c r="AV120" s="80"/>
      <c r="AW120" s="80"/>
      <c r="AX120" s="80"/>
      <c r="AY120" s="80"/>
      <c r="AZ120" s="80"/>
      <c r="BA120" s="80"/>
      <c r="BB120" s="80"/>
      <c r="BC120" s="80"/>
      <c r="BD120" s="80"/>
      <c r="BE120" s="80"/>
      <c r="BF120" s="80"/>
    </row>
    <row r="121" spans="1:58" ht="40.049999999999997" customHeight="1" x14ac:dyDescent="0.25">
      <c r="A121" s="98">
        <v>120</v>
      </c>
      <c r="B121" s="99">
        <v>102</v>
      </c>
      <c r="C121" s="100" t="s">
        <v>258</v>
      </c>
      <c r="D121" s="101" t="s">
        <v>258</v>
      </c>
      <c r="E121" s="101" t="s">
        <v>582</v>
      </c>
      <c r="F121" s="101" t="s">
        <v>583</v>
      </c>
      <c r="G121" s="101" t="s">
        <v>584</v>
      </c>
      <c r="H121" s="102">
        <v>23.39</v>
      </c>
      <c r="I121" s="100" t="s">
        <v>46</v>
      </c>
      <c r="J121" s="103">
        <v>1050.55</v>
      </c>
      <c r="K121" s="100">
        <v>222</v>
      </c>
      <c r="L121" s="104">
        <v>181835</v>
      </c>
      <c r="M121" s="104">
        <v>18183</v>
      </c>
      <c r="N121" s="104">
        <v>200018</v>
      </c>
      <c r="O121" s="77" t="s">
        <v>585</v>
      </c>
      <c r="P121" s="77" t="s">
        <v>586</v>
      </c>
      <c r="Q121" s="78">
        <f t="shared" si="16"/>
        <v>222</v>
      </c>
      <c r="R121" s="79">
        <v>46162</v>
      </c>
      <c r="S121" s="79">
        <f t="shared" si="9"/>
        <v>46383</v>
      </c>
      <c r="T121" s="80">
        <v>181835</v>
      </c>
      <c r="U121" s="80">
        <f t="shared" si="10"/>
        <v>18183.5</v>
      </c>
      <c r="V121" s="80">
        <f t="shared" si="11"/>
        <v>200018.5</v>
      </c>
      <c r="W121" s="78"/>
      <c r="X121" s="79">
        <f t="shared" si="12"/>
        <v>46162</v>
      </c>
      <c r="Y121" s="79" t="str">
        <f t="shared" si="13"/>
        <v/>
      </c>
      <c r="Z121" s="80"/>
      <c r="AA121" s="80">
        <f t="shared" si="14"/>
        <v>0</v>
      </c>
      <c r="AB121" s="80">
        <f t="shared" si="15"/>
        <v>0</v>
      </c>
      <c r="AC121" s="80"/>
      <c r="AD121" s="80"/>
      <c r="AE121" s="80"/>
      <c r="AF121" s="80">
        <v>0</v>
      </c>
      <c r="AG121" s="80">
        <v>0</v>
      </c>
      <c r="AH121" s="80"/>
      <c r="AI121" s="80">
        <v>10811.81</v>
      </c>
      <c r="AJ121" s="80">
        <v>10811.81</v>
      </c>
      <c r="AK121" s="80"/>
      <c r="AL121" s="80">
        <v>27029.53</v>
      </c>
      <c r="AM121" s="80">
        <v>27029.53</v>
      </c>
      <c r="AN121" s="80"/>
      <c r="AO121" s="80">
        <v>27930.51</v>
      </c>
      <c r="AP121" s="80">
        <v>27930.51</v>
      </c>
      <c r="AQ121" s="80"/>
      <c r="AR121" s="80"/>
      <c r="AS121" s="80"/>
      <c r="AT121" s="80"/>
      <c r="AU121" s="80"/>
      <c r="AV121" s="80"/>
      <c r="AW121" s="80"/>
      <c r="AX121" s="80"/>
      <c r="AY121" s="80"/>
      <c r="AZ121" s="80"/>
      <c r="BA121" s="80"/>
      <c r="BB121" s="80"/>
      <c r="BC121" s="80"/>
      <c r="BD121" s="80"/>
      <c r="BE121" s="80"/>
      <c r="BF121" s="80"/>
    </row>
    <row r="122" spans="1:58" ht="40.049999999999997" customHeight="1" x14ac:dyDescent="0.25">
      <c r="A122" s="98">
        <v>121</v>
      </c>
      <c r="B122" s="99">
        <v>102</v>
      </c>
      <c r="C122" s="100" t="s">
        <v>258</v>
      </c>
      <c r="D122" s="101" t="s">
        <v>258</v>
      </c>
      <c r="E122" s="101" t="s">
        <v>582</v>
      </c>
      <c r="F122" s="101" t="s">
        <v>587</v>
      </c>
      <c r="G122" s="101" t="s">
        <v>588</v>
      </c>
      <c r="H122" s="102">
        <v>13.7</v>
      </c>
      <c r="I122" s="100" t="s">
        <v>46</v>
      </c>
      <c r="J122" s="103">
        <v>897.89</v>
      </c>
      <c r="K122" s="100">
        <v>222</v>
      </c>
      <c r="L122" s="104">
        <v>91028</v>
      </c>
      <c r="M122" s="104">
        <v>9102</v>
      </c>
      <c r="N122" s="104">
        <v>100130</v>
      </c>
      <c r="O122" s="77" t="s">
        <v>589</v>
      </c>
      <c r="P122" s="77" t="s">
        <v>590</v>
      </c>
      <c r="Q122" s="78">
        <f t="shared" si="16"/>
        <v>222</v>
      </c>
      <c r="R122" s="79">
        <v>46176</v>
      </c>
      <c r="S122" s="79">
        <f t="shared" si="9"/>
        <v>46397</v>
      </c>
      <c r="T122" s="80">
        <v>86476.6</v>
      </c>
      <c r="U122" s="80">
        <f t="shared" si="10"/>
        <v>8647.66</v>
      </c>
      <c r="V122" s="80">
        <f t="shared" si="11"/>
        <v>95124.260000000009</v>
      </c>
      <c r="W122" s="78">
        <v>205</v>
      </c>
      <c r="X122" s="79">
        <f t="shared" si="12"/>
        <v>46176</v>
      </c>
      <c r="Y122" s="79">
        <f t="shared" si="13"/>
        <v>46380</v>
      </c>
      <c r="Z122" s="80">
        <v>79854</v>
      </c>
      <c r="AA122" s="80">
        <f t="shared" si="14"/>
        <v>7985.4</v>
      </c>
      <c r="AB122" s="80">
        <f t="shared" si="15"/>
        <v>87839.4</v>
      </c>
      <c r="AC122" s="80"/>
      <c r="AD122" s="80"/>
      <c r="AE122" s="80"/>
      <c r="AF122" s="80">
        <v>0</v>
      </c>
      <c r="AG122" s="80">
        <v>0</v>
      </c>
      <c r="AH122" s="80"/>
      <c r="AI122" s="80">
        <v>0</v>
      </c>
      <c r="AJ122" s="80">
        <v>0</v>
      </c>
      <c r="AK122" s="80"/>
      <c r="AL122" s="80">
        <v>11997.58</v>
      </c>
      <c r="AM122" s="80">
        <v>11997.58</v>
      </c>
      <c r="AN122" s="80"/>
      <c r="AO122" s="80">
        <v>13283.03</v>
      </c>
      <c r="AP122" s="80">
        <v>13283.03</v>
      </c>
      <c r="AQ122" s="80"/>
      <c r="AR122" s="80"/>
      <c r="AS122" s="80"/>
      <c r="AT122" s="80"/>
      <c r="AU122" s="80"/>
      <c r="AV122" s="80"/>
      <c r="AW122" s="80"/>
      <c r="AX122" s="80"/>
      <c r="AY122" s="80"/>
      <c r="AZ122" s="80"/>
      <c r="BA122" s="80"/>
      <c r="BB122" s="80"/>
      <c r="BC122" s="80"/>
      <c r="BD122" s="80"/>
      <c r="BE122" s="80"/>
      <c r="BF122" s="80"/>
    </row>
    <row r="123" spans="1:58" ht="40.049999999999997" customHeight="1" x14ac:dyDescent="0.25">
      <c r="A123" s="98">
        <v>122</v>
      </c>
      <c r="B123" s="99">
        <v>102</v>
      </c>
      <c r="C123" s="100" t="s">
        <v>258</v>
      </c>
      <c r="D123" s="101" t="s">
        <v>258</v>
      </c>
      <c r="E123" s="101" t="s">
        <v>582</v>
      </c>
      <c r="F123" s="101" t="s">
        <v>591</v>
      </c>
      <c r="G123" s="101" t="s">
        <v>592</v>
      </c>
      <c r="H123" s="102">
        <v>11</v>
      </c>
      <c r="I123" s="100" t="s">
        <v>46</v>
      </c>
      <c r="J123" s="103">
        <v>931.79</v>
      </c>
      <c r="K123" s="100">
        <v>225</v>
      </c>
      <c r="L123" s="104">
        <v>76873</v>
      </c>
      <c r="M123" s="104">
        <v>7687</v>
      </c>
      <c r="N123" s="104">
        <v>84560</v>
      </c>
      <c r="O123" s="77" t="s">
        <v>593</v>
      </c>
      <c r="P123" s="77" t="s">
        <v>594</v>
      </c>
      <c r="Q123" s="78">
        <f t="shared" si="16"/>
        <v>225</v>
      </c>
      <c r="R123" s="79">
        <v>46181</v>
      </c>
      <c r="S123" s="79">
        <f t="shared" si="9"/>
        <v>46405</v>
      </c>
      <c r="T123" s="80">
        <v>73029.350000000006</v>
      </c>
      <c r="U123" s="80">
        <f t="shared" si="10"/>
        <v>7302.94</v>
      </c>
      <c r="V123" s="80">
        <f t="shared" si="11"/>
        <v>80332.290000000008</v>
      </c>
      <c r="W123" s="78">
        <v>200</v>
      </c>
      <c r="X123" s="79">
        <f t="shared" si="12"/>
        <v>46181</v>
      </c>
      <c r="Y123" s="79">
        <f t="shared" si="13"/>
        <v>46380</v>
      </c>
      <c r="Z123" s="80">
        <v>64914.6</v>
      </c>
      <c r="AA123" s="80">
        <f t="shared" si="14"/>
        <v>6491.46</v>
      </c>
      <c r="AB123" s="80">
        <f t="shared" si="15"/>
        <v>71406.06</v>
      </c>
      <c r="AC123" s="80"/>
      <c r="AD123" s="80"/>
      <c r="AE123" s="80"/>
      <c r="AF123" s="80">
        <v>0</v>
      </c>
      <c r="AG123" s="80">
        <v>0</v>
      </c>
      <c r="AH123" s="80"/>
      <c r="AI123" s="80">
        <v>0</v>
      </c>
      <c r="AJ123" s="80">
        <v>0</v>
      </c>
      <c r="AK123" s="80"/>
      <c r="AL123" s="80">
        <v>8211.7000000000007</v>
      </c>
      <c r="AM123" s="80">
        <v>8211.7000000000007</v>
      </c>
      <c r="AN123" s="80"/>
      <c r="AO123" s="80">
        <v>11067.94</v>
      </c>
      <c r="AP123" s="80">
        <v>11067.94</v>
      </c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</row>
    <row r="124" spans="1:58" ht="40.049999999999997" customHeight="1" x14ac:dyDescent="0.25">
      <c r="A124" s="98">
        <v>123</v>
      </c>
      <c r="B124" s="99">
        <v>102</v>
      </c>
      <c r="C124" s="100" t="s">
        <v>258</v>
      </c>
      <c r="D124" s="101" t="s">
        <v>258</v>
      </c>
      <c r="E124" s="101" t="s">
        <v>582</v>
      </c>
      <c r="F124" s="101" t="s">
        <v>595</v>
      </c>
      <c r="G124" s="101" t="s">
        <v>596</v>
      </c>
      <c r="H124" s="102">
        <v>11.3</v>
      </c>
      <c r="I124" s="100" t="s">
        <v>46</v>
      </c>
      <c r="J124" s="103">
        <v>998.42</v>
      </c>
      <c r="K124" s="100">
        <v>222</v>
      </c>
      <c r="L124" s="104">
        <v>83488</v>
      </c>
      <c r="M124" s="104">
        <v>8348</v>
      </c>
      <c r="N124" s="104">
        <v>91836</v>
      </c>
      <c r="O124" s="77" t="s">
        <v>597</v>
      </c>
      <c r="P124" s="77" t="s">
        <v>598</v>
      </c>
      <c r="Q124" s="78">
        <f t="shared" si="16"/>
        <v>222</v>
      </c>
      <c r="R124" s="79">
        <v>46175</v>
      </c>
      <c r="S124" s="79">
        <f t="shared" si="9"/>
        <v>46396</v>
      </c>
      <c r="T124" s="80">
        <v>79313.61</v>
      </c>
      <c r="U124" s="80">
        <f t="shared" si="10"/>
        <v>7931.36</v>
      </c>
      <c r="V124" s="80">
        <f t="shared" si="11"/>
        <v>87244.97</v>
      </c>
      <c r="W124" s="78">
        <v>206</v>
      </c>
      <c r="X124" s="79">
        <f t="shared" si="12"/>
        <v>46175</v>
      </c>
      <c r="Y124" s="79">
        <f t="shared" si="13"/>
        <v>46380</v>
      </c>
      <c r="Z124" s="80">
        <v>73597.2</v>
      </c>
      <c r="AA124" s="80">
        <f t="shared" si="14"/>
        <v>7359.72</v>
      </c>
      <c r="AB124" s="80">
        <f t="shared" si="15"/>
        <v>80956.92</v>
      </c>
      <c r="AC124" s="80"/>
      <c r="AD124" s="80"/>
      <c r="AE124" s="80"/>
      <c r="AF124" s="80">
        <v>0</v>
      </c>
      <c r="AG124" s="80">
        <v>0</v>
      </c>
      <c r="AH124" s="80"/>
      <c r="AI124" s="80">
        <v>0</v>
      </c>
      <c r="AJ124" s="80">
        <v>0</v>
      </c>
      <c r="AK124" s="80"/>
      <c r="AL124" s="80">
        <v>11396.85</v>
      </c>
      <c r="AM124" s="80">
        <v>11396.85</v>
      </c>
      <c r="AN124" s="80"/>
      <c r="AO124" s="80">
        <v>12182.84</v>
      </c>
      <c r="AP124" s="80">
        <v>12182.84</v>
      </c>
      <c r="AQ124" s="80"/>
      <c r="AR124" s="80"/>
      <c r="AS124" s="80"/>
      <c r="AT124" s="80"/>
      <c r="AU124" s="80"/>
      <c r="AV124" s="80"/>
      <c r="AW124" s="80"/>
      <c r="AX124" s="80"/>
      <c r="AY124" s="80"/>
      <c r="AZ124" s="80"/>
      <c r="BA124" s="80"/>
      <c r="BB124" s="80"/>
      <c r="BC124" s="80"/>
      <c r="BD124" s="80"/>
      <c r="BE124" s="80"/>
      <c r="BF124" s="80"/>
    </row>
    <row r="125" spans="1:58" ht="40.049999999999997" customHeight="1" x14ac:dyDescent="0.25">
      <c r="A125" s="98">
        <v>124</v>
      </c>
      <c r="B125" s="99">
        <v>102</v>
      </c>
      <c r="C125" s="100" t="s">
        <v>258</v>
      </c>
      <c r="D125" s="101" t="s">
        <v>258</v>
      </c>
      <c r="E125" s="101" t="s">
        <v>582</v>
      </c>
      <c r="F125" s="101" t="s">
        <v>599</v>
      </c>
      <c r="G125" s="101" t="s">
        <v>600</v>
      </c>
      <c r="H125" s="102">
        <v>12.4</v>
      </c>
      <c r="I125" s="100" t="s">
        <v>46</v>
      </c>
      <c r="J125" s="103">
        <v>1048.8599999999999</v>
      </c>
      <c r="K125" s="100">
        <v>222</v>
      </c>
      <c r="L125" s="104">
        <v>96243</v>
      </c>
      <c r="M125" s="104">
        <v>9624</v>
      </c>
      <c r="N125" s="104">
        <v>105867</v>
      </c>
      <c r="O125" s="77" t="s">
        <v>601</v>
      </c>
      <c r="P125" s="77" t="s">
        <v>432</v>
      </c>
      <c r="Q125" s="78">
        <f t="shared" si="16"/>
        <v>222</v>
      </c>
      <c r="R125" s="79">
        <v>46140</v>
      </c>
      <c r="S125" s="79">
        <f t="shared" si="9"/>
        <v>46361</v>
      </c>
      <c r="T125" s="80">
        <v>91430.85</v>
      </c>
      <c r="U125" s="80">
        <f t="shared" si="10"/>
        <v>9143.09</v>
      </c>
      <c r="V125" s="80">
        <f t="shared" si="11"/>
        <v>100573.94</v>
      </c>
      <c r="W125" s="78"/>
      <c r="X125" s="79">
        <f t="shared" si="12"/>
        <v>46140</v>
      </c>
      <c r="Y125" s="79" t="str">
        <f t="shared" si="13"/>
        <v/>
      </c>
      <c r="Z125" s="80"/>
      <c r="AA125" s="80">
        <f t="shared" si="14"/>
        <v>0</v>
      </c>
      <c r="AB125" s="80">
        <f t="shared" si="15"/>
        <v>0</v>
      </c>
      <c r="AC125" s="80"/>
      <c r="AD125" s="80"/>
      <c r="AE125" s="80"/>
      <c r="AF125" s="80">
        <v>1359.11</v>
      </c>
      <c r="AG125" s="80">
        <v>1359.11</v>
      </c>
      <c r="AH125" s="80"/>
      <c r="AI125" s="80">
        <v>14044.11</v>
      </c>
      <c r="AJ125" s="80">
        <v>14044.11</v>
      </c>
      <c r="AK125" s="80"/>
      <c r="AL125" s="80">
        <v>13591.07</v>
      </c>
      <c r="AM125" s="80">
        <v>13591.07</v>
      </c>
      <c r="AN125" s="80"/>
      <c r="AO125" s="80">
        <v>14044.11</v>
      </c>
      <c r="AP125" s="80">
        <v>14044.11</v>
      </c>
      <c r="AQ125" s="80"/>
      <c r="AR125" s="80"/>
      <c r="AS125" s="80"/>
      <c r="AT125" s="80"/>
      <c r="AU125" s="80"/>
      <c r="AV125" s="80"/>
      <c r="AW125" s="80"/>
      <c r="AX125" s="80"/>
      <c r="AY125" s="80"/>
      <c r="AZ125" s="80"/>
      <c r="BA125" s="80"/>
      <c r="BB125" s="80"/>
      <c r="BC125" s="80"/>
      <c r="BD125" s="80"/>
      <c r="BE125" s="80"/>
      <c r="BF125" s="80"/>
    </row>
    <row r="126" spans="1:58" ht="40.049999999999997" customHeight="1" x14ac:dyDescent="0.25">
      <c r="A126" s="98">
        <v>125</v>
      </c>
      <c r="B126" s="99">
        <v>102</v>
      </c>
      <c r="C126" s="100" t="s">
        <v>258</v>
      </c>
      <c r="D126" s="101" t="s">
        <v>258</v>
      </c>
      <c r="E126" s="101" t="s">
        <v>582</v>
      </c>
      <c r="F126" s="101" t="s">
        <v>602</v>
      </c>
      <c r="G126" s="101" t="s">
        <v>603</v>
      </c>
      <c r="H126" s="102">
        <v>17.97</v>
      </c>
      <c r="I126" s="100" t="s">
        <v>46</v>
      </c>
      <c r="J126" s="103">
        <v>922.35</v>
      </c>
      <c r="K126" s="100">
        <v>222</v>
      </c>
      <c r="L126" s="104">
        <v>122652</v>
      </c>
      <c r="M126" s="104">
        <v>12265</v>
      </c>
      <c r="N126" s="104">
        <v>134917</v>
      </c>
      <c r="O126" s="77" t="s">
        <v>604</v>
      </c>
      <c r="P126" s="77" t="s">
        <v>590</v>
      </c>
      <c r="Q126" s="78">
        <f t="shared" si="16"/>
        <v>222</v>
      </c>
      <c r="R126" s="79">
        <v>46176</v>
      </c>
      <c r="S126" s="79">
        <f t="shared" si="9"/>
        <v>46397</v>
      </c>
      <c r="T126" s="80">
        <v>116519.4</v>
      </c>
      <c r="U126" s="80">
        <f t="shared" si="10"/>
        <v>11651.94</v>
      </c>
      <c r="V126" s="80">
        <f t="shared" si="11"/>
        <v>128171.34</v>
      </c>
      <c r="W126" s="78">
        <v>205</v>
      </c>
      <c r="X126" s="79">
        <f t="shared" si="12"/>
        <v>46176</v>
      </c>
      <c r="Y126" s="79">
        <f t="shared" si="13"/>
        <v>46380</v>
      </c>
      <c r="Z126" s="80">
        <v>107596.6</v>
      </c>
      <c r="AA126" s="80">
        <f t="shared" si="14"/>
        <v>10759.66</v>
      </c>
      <c r="AB126" s="80">
        <f t="shared" si="15"/>
        <v>118356.26000000001</v>
      </c>
      <c r="AC126" s="80"/>
      <c r="AD126" s="80"/>
      <c r="AE126" s="80"/>
      <c r="AF126" s="80">
        <v>0</v>
      </c>
      <c r="AG126" s="80">
        <v>0</v>
      </c>
      <c r="AH126" s="80"/>
      <c r="AI126" s="80">
        <v>0</v>
      </c>
      <c r="AJ126" s="80">
        <v>0</v>
      </c>
      <c r="AK126" s="80"/>
      <c r="AL126" s="80">
        <v>16165.73</v>
      </c>
      <c r="AM126" s="80">
        <v>16165.73</v>
      </c>
      <c r="AN126" s="80"/>
      <c r="AO126" s="80">
        <v>17897.78</v>
      </c>
      <c r="AP126" s="80">
        <v>17897.78</v>
      </c>
      <c r="AQ126" s="80"/>
      <c r="AR126" s="80"/>
      <c r="AS126" s="80"/>
      <c r="AT126" s="80"/>
      <c r="AU126" s="80"/>
      <c r="AV126" s="80"/>
      <c r="AW126" s="80"/>
      <c r="AX126" s="80"/>
      <c r="AY126" s="80"/>
      <c r="AZ126" s="80"/>
      <c r="BA126" s="80"/>
      <c r="BB126" s="80"/>
      <c r="BC126" s="80"/>
      <c r="BD126" s="80"/>
      <c r="BE126" s="80"/>
      <c r="BF126" s="80"/>
    </row>
    <row r="127" spans="1:58" ht="40.049999999999997" customHeight="1" x14ac:dyDescent="0.25">
      <c r="A127" s="98">
        <v>126</v>
      </c>
      <c r="B127" s="99">
        <v>102</v>
      </c>
      <c r="C127" s="100" t="s">
        <v>258</v>
      </c>
      <c r="D127" s="101" t="s">
        <v>258</v>
      </c>
      <c r="E127" s="101" t="s">
        <v>605</v>
      </c>
      <c r="F127" s="101" t="s">
        <v>606</v>
      </c>
      <c r="G127" s="101" t="s">
        <v>607</v>
      </c>
      <c r="H127" s="102">
        <v>20</v>
      </c>
      <c r="I127" s="100" t="s">
        <v>46</v>
      </c>
      <c r="J127" s="103">
        <v>911.22</v>
      </c>
      <c r="K127" s="100">
        <v>225</v>
      </c>
      <c r="L127" s="104">
        <v>136683</v>
      </c>
      <c r="M127" s="104">
        <v>13668</v>
      </c>
      <c r="N127" s="104">
        <v>150351</v>
      </c>
      <c r="O127" s="77" t="s">
        <v>608</v>
      </c>
      <c r="P127" s="77" t="s">
        <v>609</v>
      </c>
      <c r="Q127" s="78">
        <f t="shared" si="16"/>
        <v>225</v>
      </c>
      <c r="R127" s="79">
        <v>46156</v>
      </c>
      <c r="S127" s="79">
        <f t="shared" si="9"/>
        <v>46380</v>
      </c>
      <c r="T127" s="80">
        <v>129848.85</v>
      </c>
      <c r="U127" s="80">
        <f t="shared" si="10"/>
        <v>12984.89</v>
      </c>
      <c r="V127" s="80">
        <f t="shared" si="11"/>
        <v>142833.74</v>
      </c>
      <c r="W127" s="78"/>
      <c r="X127" s="79">
        <f t="shared" si="12"/>
        <v>46156</v>
      </c>
      <c r="Y127" s="79" t="str">
        <f t="shared" si="13"/>
        <v/>
      </c>
      <c r="Z127" s="80"/>
      <c r="AA127" s="80">
        <f t="shared" si="14"/>
        <v>0</v>
      </c>
      <c r="AB127" s="80">
        <f t="shared" si="15"/>
        <v>0</v>
      </c>
      <c r="AC127" s="80"/>
      <c r="AD127" s="80"/>
      <c r="AE127" s="80"/>
      <c r="AF127" s="80">
        <v>0</v>
      </c>
      <c r="AG127" s="80">
        <v>0</v>
      </c>
      <c r="AH127" s="80"/>
      <c r="AI127" s="80">
        <v>11426.7</v>
      </c>
      <c r="AJ127" s="80">
        <v>11426.7</v>
      </c>
      <c r="AK127" s="80"/>
      <c r="AL127" s="80">
        <v>19044.5</v>
      </c>
      <c r="AM127" s="80">
        <v>19044.5</v>
      </c>
      <c r="AN127" s="80"/>
      <c r="AO127" s="80">
        <v>19679.32</v>
      </c>
      <c r="AP127" s="80">
        <v>19679.32</v>
      </c>
      <c r="AQ127" s="80"/>
      <c r="AR127" s="80"/>
      <c r="AS127" s="80"/>
      <c r="AT127" s="80"/>
      <c r="AU127" s="80"/>
      <c r="AV127" s="80"/>
      <c r="AW127" s="80"/>
      <c r="AX127" s="80"/>
      <c r="AY127" s="80"/>
      <c r="AZ127" s="80"/>
      <c r="BA127" s="80"/>
      <c r="BB127" s="80"/>
      <c r="BC127" s="80"/>
      <c r="BD127" s="80"/>
      <c r="BE127" s="80"/>
      <c r="BF127" s="80"/>
    </row>
    <row r="128" spans="1:58" ht="40.049999999999997" customHeight="1" x14ac:dyDescent="0.25">
      <c r="A128" s="98">
        <v>127</v>
      </c>
      <c r="B128" s="99">
        <v>102</v>
      </c>
      <c r="C128" s="100" t="s">
        <v>258</v>
      </c>
      <c r="D128" s="101" t="s">
        <v>258</v>
      </c>
      <c r="E128" s="101" t="s">
        <v>258</v>
      </c>
      <c r="F128" s="101" t="s">
        <v>610</v>
      </c>
      <c r="G128" s="101" t="s">
        <v>611</v>
      </c>
      <c r="H128" s="102">
        <v>22.04</v>
      </c>
      <c r="I128" s="100" t="s">
        <v>46</v>
      </c>
      <c r="J128" s="103">
        <v>932.64</v>
      </c>
      <c r="K128" s="100">
        <v>222</v>
      </c>
      <c r="L128" s="104">
        <v>152110</v>
      </c>
      <c r="M128" s="104">
        <v>15211</v>
      </c>
      <c r="N128" s="104">
        <v>167321</v>
      </c>
      <c r="O128" s="77" t="s">
        <v>612</v>
      </c>
      <c r="P128" s="77" t="s">
        <v>581</v>
      </c>
      <c r="Q128" s="78">
        <f t="shared" si="16"/>
        <v>222</v>
      </c>
      <c r="R128" s="79">
        <v>46184</v>
      </c>
      <c r="S128" s="79">
        <f t="shared" si="9"/>
        <v>46405</v>
      </c>
      <c r="T128" s="80">
        <v>144504.5</v>
      </c>
      <c r="U128" s="80">
        <f t="shared" si="10"/>
        <v>14450.45</v>
      </c>
      <c r="V128" s="80">
        <f t="shared" si="11"/>
        <v>158954.95000000001</v>
      </c>
      <c r="W128" s="78">
        <v>197</v>
      </c>
      <c r="X128" s="79">
        <f t="shared" si="12"/>
        <v>46184</v>
      </c>
      <c r="Y128" s="79">
        <f t="shared" si="13"/>
        <v>46380</v>
      </c>
      <c r="Z128" s="80">
        <v>128231.6</v>
      </c>
      <c r="AA128" s="80">
        <f t="shared" si="14"/>
        <v>12823.16</v>
      </c>
      <c r="AB128" s="80">
        <f t="shared" si="15"/>
        <v>141054.76</v>
      </c>
      <c r="AC128" s="80"/>
      <c r="AD128" s="80"/>
      <c r="AE128" s="80"/>
      <c r="AF128" s="80">
        <v>0</v>
      </c>
      <c r="AG128" s="80">
        <v>0</v>
      </c>
      <c r="AH128" s="80"/>
      <c r="AI128" s="80">
        <v>0</v>
      </c>
      <c r="AJ128" s="80">
        <v>0</v>
      </c>
      <c r="AK128" s="80"/>
      <c r="AL128" s="80">
        <v>14320.26</v>
      </c>
      <c r="AM128" s="80">
        <v>14320.26</v>
      </c>
      <c r="AN128" s="80"/>
      <c r="AO128" s="80">
        <v>22196.41</v>
      </c>
      <c r="AP128" s="80">
        <v>22196.41</v>
      </c>
      <c r="AQ128" s="80"/>
      <c r="AR128" s="80"/>
      <c r="AS128" s="80"/>
      <c r="AT128" s="80"/>
      <c r="AU128" s="80"/>
      <c r="AV128" s="80"/>
      <c r="AW128" s="80"/>
      <c r="AX128" s="80"/>
      <c r="AY128" s="80"/>
      <c r="AZ128" s="80"/>
      <c r="BA128" s="80"/>
      <c r="BB128" s="80"/>
      <c r="BC128" s="80"/>
      <c r="BD128" s="80"/>
      <c r="BE128" s="80"/>
      <c r="BF128" s="80"/>
    </row>
    <row r="129" spans="1:58" ht="40.049999999999997" customHeight="1" x14ac:dyDescent="0.25">
      <c r="A129" s="98">
        <v>128</v>
      </c>
      <c r="B129" s="99">
        <v>102</v>
      </c>
      <c r="C129" s="100" t="s">
        <v>258</v>
      </c>
      <c r="D129" s="101" t="s">
        <v>258</v>
      </c>
      <c r="E129" s="101" t="s">
        <v>613</v>
      </c>
      <c r="F129" s="101" t="s">
        <v>614</v>
      </c>
      <c r="G129" s="101" t="s">
        <v>615</v>
      </c>
      <c r="H129" s="102">
        <v>35.92</v>
      </c>
      <c r="I129" s="100" t="s">
        <v>46</v>
      </c>
      <c r="J129" s="103">
        <v>991.13</v>
      </c>
      <c r="K129" s="100">
        <v>222</v>
      </c>
      <c r="L129" s="104">
        <v>263450</v>
      </c>
      <c r="M129" s="104">
        <v>26345</v>
      </c>
      <c r="N129" s="104">
        <v>289795</v>
      </c>
      <c r="O129" s="77" t="s">
        <v>616</v>
      </c>
      <c r="P129" s="77" t="s">
        <v>417</v>
      </c>
      <c r="Q129" s="78">
        <f t="shared" si="16"/>
        <v>222</v>
      </c>
      <c r="R129" s="79">
        <v>46146</v>
      </c>
      <c r="S129" s="79">
        <f t="shared" si="9"/>
        <v>46367</v>
      </c>
      <c r="T129" s="80">
        <v>250277.5</v>
      </c>
      <c r="U129" s="80">
        <f t="shared" si="10"/>
        <v>25027.75</v>
      </c>
      <c r="V129" s="80">
        <f t="shared" si="11"/>
        <v>275305.25</v>
      </c>
      <c r="W129" s="78"/>
      <c r="X129" s="79">
        <f t="shared" si="12"/>
        <v>46146</v>
      </c>
      <c r="Y129" s="79" t="str">
        <f t="shared" si="13"/>
        <v/>
      </c>
      <c r="Z129" s="80"/>
      <c r="AA129" s="80">
        <f t="shared" si="14"/>
        <v>0</v>
      </c>
      <c r="AB129" s="80">
        <f t="shared" si="15"/>
        <v>0</v>
      </c>
      <c r="AC129" s="80"/>
      <c r="AD129" s="80"/>
      <c r="AE129" s="80"/>
      <c r="AF129" s="80">
        <v>0</v>
      </c>
      <c r="AG129" s="80">
        <v>0</v>
      </c>
      <c r="AH129" s="80"/>
      <c r="AI129" s="80">
        <v>34723.18</v>
      </c>
      <c r="AJ129" s="80">
        <v>34723.18</v>
      </c>
      <c r="AK129" s="80"/>
      <c r="AL129" s="80">
        <v>37203.410000000003</v>
      </c>
      <c r="AM129" s="80">
        <v>37203.410000000003</v>
      </c>
      <c r="AN129" s="80"/>
      <c r="AO129" s="80">
        <v>38443.53</v>
      </c>
      <c r="AP129" s="80">
        <v>38443.53</v>
      </c>
      <c r="AQ129" s="80"/>
      <c r="AR129" s="80"/>
      <c r="AS129" s="80"/>
      <c r="AT129" s="80"/>
      <c r="AU129" s="80"/>
      <c r="AV129" s="80"/>
      <c r="AW129" s="80"/>
      <c r="AX129" s="80"/>
      <c r="AY129" s="80"/>
      <c r="AZ129" s="80"/>
      <c r="BA129" s="80"/>
      <c r="BB129" s="80"/>
      <c r="BC129" s="80"/>
      <c r="BD129" s="80"/>
      <c r="BE129" s="80"/>
      <c r="BF129" s="80"/>
    </row>
    <row r="130" spans="1:58" ht="40.049999999999997" customHeight="1" x14ac:dyDescent="0.25">
      <c r="A130" s="98">
        <v>129</v>
      </c>
      <c r="B130" s="99">
        <v>102</v>
      </c>
      <c r="C130" s="100" t="s">
        <v>258</v>
      </c>
      <c r="D130" s="101" t="s">
        <v>258</v>
      </c>
      <c r="E130" s="101" t="s">
        <v>258</v>
      </c>
      <c r="F130" s="101" t="s">
        <v>617</v>
      </c>
      <c r="G130" s="101" t="s">
        <v>618</v>
      </c>
      <c r="H130" s="102">
        <v>22.49</v>
      </c>
      <c r="I130" s="100" t="s">
        <v>46</v>
      </c>
      <c r="J130" s="103">
        <v>1037.47</v>
      </c>
      <c r="K130" s="100">
        <v>222</v>
      </c>
      <c r="L130" s="104">
        <v>172662</v>
      </c>
      <c r="M130" s="104">
        <v>17266</v>
      </c>
      <c r="N130" s="104">
        <v>189928</v>
      </c>
      <c r="O130" s="77" t="s">
        <v>619</v>
      </c>
      <c r="P130" s="77" t="s">
        <v>620</v>
      </c>
      <c r="Q130" s="78">
        <f t="shared" si="16"/>
        <v>222</v>
      </c>
      <c r="R130" s="79">
        <v>46140</v>
      </c>
      <c r="S130" s="79">
        <f t="shared" ref="S130:S176" si="17">IF(Q130+R130=0,"",Q130+R130-1)</f>
        <v>46361</v>
      </c>
      <c r="T130" s="80">
        <v>164028.9</v>
      </c>
      <c r="U130" s="80">
        <f t="shared" ref="U130:U176" si="18">+ROUND(T130*0.1,2)</f>
        <v>16402.89</v>
      </c>
      <c r="V130" s="80">
        <f t="shared" ref="V130:V176" si="19">+SUM(T130:U130)</f>
        <v>180431.78999999998</v>
      </c>
      <c r="W130" s="78"/>
      <c r="X130" s="79">
        <f t="shared" ref="X130:X176" si="20">+$R130</f>
        <v>46140</v>
      </c>
      <c r="Y130" s="79" t="str">
        <f t="shared" ref="Y130:Y176" si="21">IF(W130&gt;0,X130+W130-1,"")</f>
        <v/>
      </c>
      <c r="Z130" s="80"/>
      <c r="AA130" s="80">
        <f t="shared" ref="AA130:AA176" si="22">+ROUND(Z130*0.1,2)</f>
        <v>0</v>
      </c>
      <c r="AB130" s="80">
        <f t="shared" ref="AB130:AB176" si="23">+SUM(Z130:AA130)</f>
        <v>0</v>
      </c>
      <c r="AC130" s="80"/>
      <c r="AD130" s="80"/>
      <c r="AE130" s="80"/>
      <c r="AF130" s="80">
        <v>2438.27</v>
      </c>
      <c r="AG130" s="80">
        <v>2438.27</v>
      </c>
      <c r="AH130" s="80"/>
      <c r="AI130" s="80">
        <v>25195.43</v>
      </c>
      <c r="AJ130" s="80">
        <v>25195.43</v>
      </c>
      <c r="AK130" s="80"/>
      <c r="AL130" s="80">
        <v>24382.68</v>
      </c>
      <c r="AM130" s="80">
        <v>24382.68</v>
      </c>
      <c r="AN130" s="80"/>
      <c r="AO130" s="80">
        <v>25195.43</v>
      </c>
      <c r="AP130" s="80">
        <v>25195.43</v>
      </c>
      <c r="AQ130" s="80"/>
      <c r="AR130" s="80"/>
      <c r="AS130" s="80"/>
      <c r="AT130" s="80"/>
      <c r="AU130" s="80"/>
      <c r="AV130" s="80"/>
      <c r="AW130" s="80"/>
      <c r="AX130" s="80"/>
      <c r="AY130" s="80"/>
      <c r="AZ130" s="80"/>
      <c r="BA130" s="80"/>
      <c r="BB130" s="80"/>
      <c r="BC130" s="80"/>
      <c r="BD130" s="80"/>
      <c r="BE130" s="80"/>
      <c r="BF130" s="80"/>
    </row>
    <row r="131" spans="1:58" ht="40.049999999999997" customHeight="1" x14ac:dyDescent="0.25">
      <c r="A131" s="98">
        <v>130</v>
      </c>
      <c r="B131" s="99">
        <v>102</v>
      </c>
      <c r="C131" s="100" t="s">
        <v>258</v>
      </c>
      <c r="D131" s="101" t="s">
        <v>258</v>
      </c>
      <c r="E131" s="101" t="s">
        <v>621</v>
      </c>
      <c r="F131" s="101" t="s">
        <v>622</v>
      </c>
      <c r="G131" s="101" t="s">
        <v>623</v>
      </c>
      <c r="H131" s="102">
        <v>24</v>
      </c>
      <c r="I131" s="100" t="s">
        <v>46</v>
      </c>
      <c r="J131" s="103">
        <v>912.78</v>
      </c>
      <c r="K131" s="100">
        <v>222</v>
      </c>
      <c r="L131" s="104">
        <v>162110</v>
      </c>
      <c r="M131" s="104">
        <v>16211</v>
      </c>
      <c r="N131" s="104">
        <v>178321</v>
      </c>
      <c r="O131" s="77" t="s">
        <v>624</v>
      </c>
      <c r="P131" s="77" t="s">
        <v>625</v>
      </c>
      <c r="Q131" s="78">
        <f t="shared" si="16"/>
        <v>222</v>
      </c>
      <c r="R131" s="79">
        <v>46162</v>
      </c>
      <c r="S131" s="79">
        <f t="shared" si="17"/>
        <v>46383</v>
      </c>
      <c r="T131" s="80">
        <v>154004.5</v>
      </c>
      <c r="U131" s="80">
        <f t="shared" si="18"/>
        <v>15400.45</v>
      </c>
      <c r="V131" s="80">
        <f t="shared" si="19"/>
        <v>169404.95</v>
      </c>
      <c r="W131" s="78"/>
      <c r="X131" s="79">
        <f t="shared" si="20"/>
        <v>46162</v>
      </c>
      <c r="Y131" s="79" t="str">
        <f t="shared" si="21"/>
        <v/>
      </c>
      <c r="Z131" s="80"/>
      <c r="AA131" s="80">
        <f t="shared" si="22"/>
        <v>0</v>
      </c>
      <c r="AB131" s="80">
        <f t="shared" si="23"/>
        <v>0</v>
      </c>
      <c r="AC131" s="80"/>
      <c r="AD131" s="80"/>
      <c r="AE131" s="80"/>
      <c r="AF131" s="80">
        <v>0</v>
      </c>
      <c r="AG131" s="80">
        <v>0</v>
      </c>
      <c r="AH131" s="80"/>
      <c r="AI131" s="80">
        <v>9157.0300000000007</v>
      </c>
      <c r="AJ131" s="80">
        <v>9157.0300000000007</v>
      </c>
      <c r="AK131" s="80"/>
      <c r="AL131" s="80">
        <v>22892.560000000001</v>
      </c>
      <c r="AM131" s="80">
        <v>22892.560000000001</v>
      </c>
      <c r="AN131" s="80"/>
      <c r="AO131" s="80">
        <v>23655.64</v>
      </c>
      <c r="AP131" s="80">
        <v>23655.64</v>
      </c>
      <c r="AQ131" s="80"/>
      <c r="AR131" s="80"/>
      <c r="AS131" s="80"/>
      <c r="AT131" s="80"/>
      <c r="AU131" s="80"/>
      <c r="AV131" s="80"/>
      <c r="AW131" s="80"/>
      <c r="AX131" s="80"/>
      <c r="AY131" s="80"/>
      <c r="AZ131" s="80"/>
      <c r="BA131" s="80"/>
      <c r="BB131" s="80"/>
      <c r="BC131" s="80"/>
      <c r="BD131" s="80"/>
      <c r="BE131" s="80"/>
      <c r="BF131" s="80"/>
    </row>
    <row r="132" spans="1:58" ht="40.049999999999997" customHeight="1" x14ac:dyDescent="0.25">
      <c r="A132" s="98">
        <v>131</v>
      </c>
      <c r="B132" s="99">
        <v>102</v>
      </c>
      <c r="C132" s="100" t="s">
        <v>258</v>
      </c>
      <c r="D132" s="101" t="s">
        <v>258</v>
      </c>
      <c r="E132" s="101" t="s">
        <v>626</v>
      </c>
      <c r="F132" s="101" t="s">
        <v>627</v>
      </c>
      <c r="G132" s="101" t="s">
        <v>628</v>
      </c>
      <c r="H132" s="102">
        <v>16.97</v>
      </c>
      <c r="I132" s="100" t="s">
        <v>46</v>
      </c>
      <c r="J132" s="103">
        <v>991.16</v>
      </c>
      <c r="K132" s="100">
        <v>222</v>
      </c>
      <c r="L132" s="104">
        <v>124468</v>
      </c>
      <c r="M132" s="104">
        <v>12446</v>
      </c>
      <c r="N132" s="104">
        <v>136914</v>
      </c>
      <c r="O132" s="77" t="s">
        <v>629</v>
      </c>
      <c r="P132" s="77" t="s">
        <v>630</v>
      </c>
      <c r="Q132" s="78">
        <f t="shared" si="16"/>
        <v>222</v>
      </c>
      <c r="R132" s="79">
        <v>46153</v>
      </c>
      <c r="S132" s="79">
        <f t="shared" si="17"/>
        <v>46374</v>
      </c>
      <c r="T132" s="80">
        <v>118244.6</v>
      </c>
      <c r="U132" s="80">
        <f t="shared" si="18"/>
        <v>11824.46</v>
      </c>
      <c r="V132" s="80">
        <f t="shared" si="19"/>
        <v>130069.06</v>
      </c>
      <c r="W132" s="78"/>
      <c r="X132" s="79">
        <f t="shared" si="20"/>
        <v>46153</v>
      </c>
      <c r="Y132" s="79" t="str">
        <f t="shared" si="21"/>
        <v/>
      </c>
      <c r="Z132" s="80"/>
      <c r="AA132" s="80">
        <f t="shared" si="22"/>
        <v>0</v>
      </c>
      <c r="AB132" s="80">
        <f t="shared" si="23"/>
        <v>0</v>
      </c>
      <c r="AC132" s="80"/>
      <c r="AD132" s="80"/>
      <c r="AE132" s="80"/>
      <c r="AF132" s="80">
        <v>0</v>
      </c>
      <c r="AG132" s="80">
        <v>0</v>
      </c>
      <c r="AH132" s="80"/>
      <c r="AI132" s="80">
        <v>12303.83</v>
      </c>
      <c r="AJ132" s="80">
        <v>12303.83</v>
      </c>
      <c r="AK132" s="80"/>
      <c r="AL132" s="80">
        <v>17576.900000000001</v>
      </c>
      <c r="AM132" s="80">
        <v>17576.900000000001</v>
      </c>
      <c r="AN132" s="80"/>
      <c r="AO132" s="80">
        <v>18162.79</v>
      </c>
      <c r="AP132" s="80">
        <v>18162.79</v>
      </c>
      <c r="AQ132" s="80"/>
      <c r="AR132" s="80"/>
      <c r="AS132" s="80"/>
      <c r="AT132" s="80"/>
      <c r="AU132" s="80"/>
      <c r="AV132" s="80"/>
      <c r="AW132" s="80"/>
      <c r="AX132" s="80"/>
      <c r="AY132" s="80"/>
      <c r="AZ132" s="80"/>
      <c r="BA132" s="80"/>
      <c r="BB132" s="80"/>
      <c r="BC132" s="80"/>
      <c r="BD132" s="80"/>
      <c r="BE132" s="80"/>
      <c r="BF132" s="80"/>
    </row>
    <row r="133" spans="1:58" ht="40.049999999999997" customHeight="1" x14ac:dyDescent="0.25">
      <c r="A133" s="98">
        <v>132</v>
      </c>
      <c r="B133" s="99">
        <v>102</v>
      </c>
      <c r="C133" s="100" t="s">
        <v>258</v>
      </c>
      <c r="D133" s="101" t="s">
        <v>258</v>
      </c>
      <c r="E133" s="101" t="s">
        <v>631</v>
      </c>
      <c r="F133" s="101" t="s">
        <v>632</v>
      </c>
      <c r="G133" s="101" t="s">
        <v>633</v>
      </c>
      <c r="H133" s="102">
        <v>13.78</v>
      </c>
      <c r="I133" s="100" t="s">
        <v>46</v>
      </c>
      <c r="J133" s="103">
        <v>1008.53</v>
      </c>
      <c r="K133" s="100">
        <v>222</v>
      </c>
      <c r="L133" s="104">
        <v>102842</v>
      </c>
      <c r="M133" s="104">
        <v>10284</v>
      </c>
      <c r="N133" s="104">
        <v>113126</v>
      </c>
      <c r="O133" s="77" t="s">
        <v>634</v>
      </c>
      <c r="P133" s="77" t="s">
        <v>581</v>
      </c>
      <c r="Q133" s="78">
        <f t="shared" si="16"/>
        <v>222</v>
      </c>
      <c r="R133" s="79">
        <v>46197</v>
      </c>
      <c r="S133" s="79">
        <f t="shared" si="17"/>
        <v>46418</v>
      </c>
      <c r="T133" s="80">
        <v>97699.91</v>
      </c>
      <c r="U133" s="80">
        <f t="shared" si="18"/>
        <v>9769.99</v>
      </c>
      <c r="V133" s="80">
        <f t="shared" si="19"/>
        <v>107469.90000000001</v>
      </c>
      <c r="W133" s="78">
        <v>184</v>
      </c>
      <c r="X133" s="79">
        <f t="shared" si="20"/>
        <v>46197</v>
      </c>
      <c r="Y133" s="79">
        <f t="shared" si="21"/>
        <v>46380</v>
      </c>
      <c r="Z133" s="80">
        <v>80976.899999999994</v>
      </c>
      <c r="AA133" s="80">
        <f t="shared" si="22"/>
        <v>8097.69</v>
      </c>
      <c r="AB133" s="80">
        <f t="shared" si="23"/>
        <v>89074.59</v>
      </c>
      <c r="AC133" s="80"/>
      <c r="AD133" s="80"/>
      <c r="AE133" s="80"/>
      <c r="AF133" s="80">
        <v>0</v>
      </c>
      <c r="AG133" s="80">
        <v>0</v>
      </c>
      <c r="AH133" s="80"/>
      <c r="AI133" s="80">
        <v>0</v>
      </c>
      <c r="AJ133" s="80">
        <v>0</v>
      </c>
      <c r="AK133" s="80"/>
      <c r="AL133" s="80">
        <v>3388.69</v>
      </c>
      <c r="AM133" s="80">
        <v>3388.69</v>
      </c>
      <c r="AN133" s="80"/>
      <c r="AO133" s="80">
        <v>15007.06</v>
      </c>
      <c r="AP133" s="80">
        <v>15007.06</v>
      </c>
      <c r="AQ133" s="80"/>
      <c r="AR133" s="80"/>
      <c r="AS133" s="80"/>
      <c r="AT133" s="80"/>
      <c r="AU133" s="80"/>
      <c r="AV133" s="80"/>
      <c r="AW133" s="80"/>
      <c r="AX133" s="80"/>
      <c r="AY133" s="80"/>
      <c r="AZ133" s="80"/>
      <c r="BA133" s="80"/>
      <c r="BB133" s="80"/>
      <c r="BC133" s="80"/>
      <c r="BD133" s="80"/>
      <c r="BE133" s="80"/>
      <c r="BF133" s="80"/>
    </row>
    <row r="134" spans="1:58" ht="40.049999999999997" customHeight="1" x14ac:dyDescent="0.25">
      <c r="A134" s="98">
        <v>133</v>
      </c>
      <c r="B134" s="99">
        <v>102</v>
      </c>
      <c r="C134" s="100" t="s">
        <v>258</v>
      </c>
      <c r="D134" s="101" t="s">
        <v>258</v>
      </c>
      <c r="E134" s="101" t="s">
        <v>631</v>
      </c>
      <c r="F134" s="101" t="s">
        <v>635</v>
      </c>
      <c r="G134" s="101" t="s">
        <v>636</v>
      </c>
      <c r="H134" s="102">
        <v>24.95</v>
      </c>
      <c r="I134" s="100" t="s">
        <v>46</v>
      </c>
      <c r="J134" s="103">
        <v>924.56</v>
      </c>
      <c r="K134" s="100">
        <v>222</v>
      </c>
      <c r="L134" s="104">
        <v>170702</v>
      </c>
      <c r="M134" s="104">
        <v>17070</v>
      </c>
      <c r="N134" s="104">
        <v>187772</v>
      </c>
      <c r="O134" s="77" t="s">
        <v>637</v>
      </c>
      <c r="P134" s="77" t="s">
        <v>638</v>
      </c>
      <c r="Q134" s="78">
        <f t="shared" si="16"/>
        <v>222</v>
      </c>
      <c r="R134" s="79">
        <v>46191</v>
      </c>
      <c r="S134" s="79">
        <f t="shared" si="17"/>
        <v>46412</v>
      </c>
      <c r="T134" s="80">
        <v>162166.9</v>
      </c>
      <c r="U134" s="80">
        <f t="shared" si="18"/>
        <v>16216.69</v>
      </c>
      <c r="V134" s="80">
        <f t="shared" si="19"/>
        <v>178383.59</v>
      </c>
      <c r="W134" s="78">
        <v>190</v>
      </c>
      <c r="X134" s="79">
        <f t="shared" si="20"/>
        <v>46191</v>
      </c>
      <c r="Y134" s="79">
        <f t="shared" si="21"/>
        <v>46380</v>
      </c>
      <c r="Z134" s="80">
        <v>138790.70000000001</v>
      </c>
      <c r="AA134" s="80">
        <f t="shared" si="22"/>
        <v>13879.07</v>
      </c>
      <c r="AB134" s="80">
        <f t="shared" si="23"/>
        <v>152669.77000000002</v>
      </c>
      <c r="AC134" s="80"/>
      <c r="AD134" s="80"/>
      <c r="AE134" s="80"/>
      <c r="AF134" s="80">
        <v>0</v>
      </c>
      <c r="AG134" s="80">
        <v>0</v>
      </c>
      <c r="AH134" s="80"/>
      <c r="AI134" s="80">
        <v>0</v>
      </c>
      <c r="AJ134" s="80">
        <v>0</v>
      </c>
      <c r="AK134" s="80"/>
      <c r="AL134" s="80">
        <v>10445.83</v>
      </c>
      <c r="AM134" s="80">
        <v>10445.83</v>
      </c>
      <c r="AN134" s="80"/>
      <c r="AO134" s="80">
        <v>24909.279999999999</v>
      </c>
      <c r="AP134" s="80">
        <v>24909.279999999999</v>
      </c>
      <c r="AQ134" s="80"/>
      <c r="AR134" s="80"/>
      <c r="AS134" s="80"/>
      <c r="AT134" s="80"/>
      <c r="AU134" s="80"/>
      <c r="AV134" s="80"/>
      <c r="AW134" s="80"/>
      <c r="AX134" s="80"/>
      <c r="AY134" s="80"/>
      <c r="AZ134" s="80"/>
      <c r="BA134" s="80"/>
      <c r="BB134" s="80"/>
      <c r="BC134" s="80"/>
      <c r="BD134" s="80"/>
      <c r="BE134" s="80"/>
      <c r="BF134" s="80"/>
    </row>
    <row r="135" spans="1:58" ht="40.049999999999997" customHeight="1" x14ac:dyDescent="0.25">
      <c r="A135" s="98">
        <v>134</v>
      </c>
      <c r="B135" s="99">
        <v>102</v>
      </c>
      <c r="C135" s="100" t="s">
        <v>258</v>
      </c>
      <c r="D135" s="101" t="s">
        <v>258</v>
      </c>
      <c r="E135" s="101" t="s">
        <v>631</v>
      </c>
      <c r="F135" s="101" t="s">
        <v>639</v>
      </c>
      <c r="G135" s="101" t="s">
        <v>640</v>
      </c>
      <c r="H135" s="102">
        <v>10</v>
      </c>
      <c r="I135" s="100" t="s">
        <v>46</v>
      </c>
      <c r="J135" s="103">
        <v>957.87</v>
      </c>
      <c r="K135" s="100">
        <v>225</v>
      </c>
      <c r="L135" s="104">
        <v>71840</v>
      </c>
      <c r="M135" s="104">
        <v>7184</v>
      </c>
      <c r="N135" s="104">
        <v>79024</v>
      </c>
      <c r="O135" s="77" t="s">
        <v>641</v>
      </c>
      <c r="P135" s="77" t="s">
        <v>642</v>
      </c>
      <c r="Q135" s="78">
        <f t="shared" si="16"/>
        <v>225</v>
      </c>
      <c r="R135" s="79">
        <v>46147</v>
      </c>
      <c r="S135" s="79">
        <f t="shared" si="17"/>
        <v>46371</v>
      </c>
      <c r="T135" s="80">
        <v>68248</v>
      </c>
      <c r="U135" s="80">
        <f t="shared" si="18"/>
        <v>6824.8</v>
      </c>
      <c r="V135" s="80">
        <f t="shared" si="19"/>
        <v>75072.800000000003</v>
      </c>
      <c r="W135" s="78"/>
      <c r="X135" s="79">
        <f t="shared" si="20"/>
        <v>46147</v>
      </c>
      <c r="Y135" s="79" t="str">
        <f t="shared" si="21"/>
        <v/>
      </c>
      <c r="Z135" s="80"/>
      <c r="AA135" s="80">
        <f t="shared" si="22"/>
        <v>0</v>
      </c>
      <c r="AB135" s="80">
        <f t="shared" si="23"/>
        <v>0</v>
      </c>
      <c r="AC135" s="80"/>
      <c r="AD135" s="80"/>
      <c r="AE135" s="80"/>
      <c r="AF135" s="80">
        <v>0</v>
      </c>
      <c r="AG135" s="80">
        <v>0</v>
      </c>
      <c r="AH135" s="80"/>
      <c r="AI135" s="80">
        <v>9008.74</v>
      </c>
      <c r="AJ135" s="80">
        <v>9008.74</v>
      </c>
      <c r="AK135" s="80"/>
      <c r="AL135" s="80">
        <v>10009.700000000001</v>
      </c>
      <c r="AM135" s="80">
        <v>10009.700000000001</v>
      </c>
      <c r="AN135" s="80"/>
      <c r="AO135" s="80">
        <v>10343.370000000001</v>
      </c>
      <c r="AP135" s="80">
        <v>10343.370000000001</v>
      </c>
      <c r="AQ135" s="80"/>
      <c r="AR135" s="80"/>
      <c r="AS135" s="80"/>
      <c r="AT135" s="80"/>
      <c r="AU135" s="80"/>
      <c r="AV135" s="80"/>
      <c r="AW135" s="80"/>
      <c r="AX135" s="80"/>
      <c r="AY135" s="80"/>
      <c r="AZ135" s="80"/>
      <c r="BA135" s="80"/>
      <c r="BB135" s="80"/>
      <c r="BC135" s="80"/>
      <c r="BD135" s="80"/>
      <c r="BE135" s="80"/>
      <c r="BF135" s="80"/>
    </row>
    <row r="136" spans="1:58" ht="40.049999999999997" customHeight="1" x14ac:dyDescent="0.25">
      <c r="A136" s="98">
        <v>135</v>
      </c>
      <c r="B136" s="99">
        <v>102</v>
      </c>
      <c r="C136" s="100" t="s">
        <v>258</v>
      </c>
      <c r="D136" s="101" t="s">
        <v>258</v>
      </c>
      <c r="E136" s="101" t="s">
        <v>643</v>
      </c>
      <c r="F136" s="101" t="s">
        <v>644</v>
      </c>
      <c r="G136" s="101" t="s">
        <v>645</v>
      </c>
      <c r="H136" s="102">
        <v>15.98</v>
      </c>
      <c r="I136" s="100" t="s">
        <v>46</v>
      </c>
      <c r="J136" s="103">
        <v>904.66</v>
      </c>
      <c r="K136" s="100">
        <v>222</v>
      </c>
      <c r="L136" s="104">
        <v>106978</v>
      </c>
      <c r="M136" s="104">
        <v>10697</v>
      </c>
      <c r="N136" s="104">
        <v>117675</v>
      </c>
      <c r="O136" s="77" t="s">
        <v>646</v>
      </c>
      <c r="P136" s="77" t="s">
        <v>647</v>
      </c>
      <c r="Q136" s="78">
        <f t="shared" si="16"/>
        <v>222</v>
      </c>
      <c r="R136" s="79">
        <v>46150</v>
      </c>
      <c r="S136" s="79">
        <f t="shared" si="17"/>
        <v>46371</v>
      </c>
      <c r="T136" s="80">
        <v>101629.1</v>
      </c>
      <c r="U136" s="80">
        <f t="shared" si="18"/>
        <v>10162.91</v>
      </c>
      <c r="V136" s="80">
        <f t="shared" si="19"/>
        <v>111792.01000000001</v>
      </c>
      <c r="W136" s="78"/>
      <c r="X136" s="79">
        <f t="shared" si="20"/>
        <v>46150</v>
      </c>
      <c r="Y136" s="79" t="str">
        <f t="shared" si="21"/>
        <v/>
      </c>
      <c r="Z136" s="80"/>
      <c r="AA136" s="80">
        <f t="shared" si="22"/>
        <v>0</v>
      </c>
      <c r="AB136" s="80">
        <f t="shared" si="23"/>
        <v>0</v>
      </c>
      <c r="AC136" s="80"/>
      <c r="AD136" s="80"/>
      <c r="AE136" s="80"/>
      <c r="AF136" s="80">
        <v>0</v>
      </c>
      <c r="AG136" s="80">
        <v>0</v>
      </c>
      <c r="AH136" s="80"/>
      <c r="AI136" s="80">
        <v>12085.62</v>
      </c>
      <c r="AJ136" s="80">
        <v>12085.62</v>
      </c>
      <c r="AK136" s="80"/>
      <c r="AL136" s="80">
        <v>15107.03</v>
      </c>
      <c r="AM136" s="80">
        <v>15107.03</v>
      </c>
      <c r="AN136" s="80"/>
      <c r="AO136" s="80">
        <v>15610.6</v>
      </c>
      <c r="AP136" s="80">
        <v>15610.6</v>
      </c>
      <c r="AQ136" s="80"/>
      <c r="AR136" s="80"/>
      <c r="AS136" s="80"/>
      <c r="AT136" s="80"/>
      <c r="AU136" s="80"/>
      <c r="AV136" s="80"/>
      <c r="AW136" s="80"/>
      <c r="AX136" s="80"/>
      <c r="AY136" s="80"/>
      <c r="AZ136" s="80"/>
      <c r="BA136" s="80"/>
      <c r="BB136" s="80"/>
      <c r="BC136" s="80"/>
      <c r="BD136" s="80"/>
      <c r="BE136" s="80"/>
      <c r="BF136" s="80"/>
    </row>
    <row r="137" spans="1:58" ht="40.049999999999997" customHeight="1" x14ac:dyDescent="0.25">
      <c r="A137" s="98">
        <v>136</v>
      </c>
      <c r="B137" s="99">
        <v>102</v>
      </c>
      <c r="C137" s="100" t="s">
        <v>258</v>
      </c>
      <c r="D137" s="101" t="s">
        <v>258</v>
      </c>
      <c r="E137" s="101" t="s">
        <v>643</v>
      </c>
      <c r="F137" s="101" t="s">
        <v>648</v>
      </c>
      <c r="G137" s="101" t="s">
        <v>649</v>
      </c>
      <c r="H137" s="102">
        <v>12.22</v>
      </c>
      <c r="I137" s="100" t="s">
        <v>46</v>
      </c>
      <c r="J137" s="103">
        <v>953.45</v>
      </c>
      <c r="K137" s="100">
        <v>222</v>
      </c>
      <c r="L137" s="104">
        <v>86219</v>
      </c>
      <c r="M137" s="104">
        <v>8621</v>
      </c>
      <c r="N137" s="104">
        <v>94840</v>
      </c>
      <c r="O137" s="77" t="s">
        <v>650</v>
      </c>
      <c r="P137" s="77" t="s">
        <v>651</v>
      </c>
      <c r="Q137" s="78">
        <f t="shared" si="16"/>
        <v>222</v>
      </c>
      <c r="R137" s="79">
        <v>46150</v>
      </c>
      <c r="S137" s="79">
        <f t="shared" si="17"/>
        <v>46371</v>
      </c>
      <c r="T137" s="80">
        <v>81908.05</v>
      </c>
      <c r="U137" s="80">
        <f t="shared" si="18"/>
        <v>8190.81</v>
      </c>
      <c r="V137" s="80">
        <f t="shared" si="19"/>
        <v>90098.86</v>
      </c>
      <c r="W137" s="78"/>
      <c r="X137" s="79">
        <f t="shared" si="20"/>
        <v>46150</v>
      </c>
      <c r="Y137" s="79" t="str">
        <f t="shared" si="21"/>
        <v/>
      </c>
      <c r="Z137" s="80"/>
      <c r="AA137" s="80">
        <f t="shared" si="22"/>
        <v>0</v>
      </c>
      <c r="AB137" s="80">
        <f t="shared" si="23"/>
        <v>0</v>
      </c>
      <c r="AC137" s="80"/>
      <c r="AD137" s="80"/>
      <c r="AE137" s="80"/>
      <c r="AF137" s="80">
        <v>0</v>
      </c>
      <c r="AG137" s="80">
        <v>0</v>
      </c>
      <c r="AH137" s="80"/>
      <c r="AI137" s="80">
        <v>9740.41</v>
      </c>
      <c r="AJ137" s="80">
        <v>9740.41</v>
      </c>
      <c r="AK137" s="80"/>
      <c r="AL137" s="80">
        <v>12175.53</v>
      </c>
      <c r="AM137" s="80">
        <v>12175.53</v>
      </c>
      <c r="AN137" s="80"/>
      <c r="AO137" s="80">
        <v>12581.37</v>
      </c>
      <c r="AP137" s="80">
        <v>12581.37</v>
      </c>
      <c r="AQ137" s="80"/>
      <c r="AR137" s="80"/>
      <c r="AS137" s="80"/>
      <c r="AT137" s="80"/>
      <c r="AU137" s="80"/>
      <c r="AV137" s="80"/>
      <c r="AW137" s="80"/>
      <c r="AX137" s="80"/>
      <c r="AY137" s="80"/>
      <c r="AZ137" s="80"/>
      <c r="BA137" s="80"/>
      <c r="BB137" s="80"/>
      <c r="BC137" s="80"/>
      <c r="BD137" s="80"/>
      <c r="BE137" s="80"/>
      <c r="BF137" s="80"/>
    </row>
    <row r="138" spans="1:58" ht="40.049999999999997" customHeight="1" x14ac:dyDescent="0.25">
      <c r="A138" s="98">
        <v>137</v>
      </c>
      <c r="B138" s="99">
        <v>102</v>
      </c>
      <c r="C138" s="100" t="s">
        <v>258</v>
      </c>
      <c r="D138" s="101" t="s">
        <v>258</v>
      </c>
      <c r="E138" s="101" t="s">
        <v>652</v>
      </c>
      <c r="F138" s="101" t="s">
        <v>653</v>
      </c>
      <c r="G138" s="101" t="s">
        <v>654</v>
      </c>
      <c r="H138" s="102">
        <v>13.86</v>
      </c>
      <c r="I138" s="100" t="s">
        <v>46</v>
      </c>
      <c r="J138" s="103">
        <v>918.53</v>
      </c>
      <c r="K138" s="100">
        <v>222</v>
      </c>
      <c r="L138" s="104">
        <v>94208</v>
      </c>
      <c r="M138" s="104">
        <v>9420</v>
      </c>
      <c r="N138" s="104">
        <v>103628</v>
      </c>
      <c r="O138" s="77" t="s">
        <v>655</v>
      </c>
      <c r="P138" s="77" t="s">
        <v>642</v>
      </c>
      <c r="Q138" s="78">
        <f t="shared" si="16"/>
        <v>222</v>
      </c>
      <c r="R138" s="79">
        <v>46213</v>
      </c>
      <c r="S138" s="79">
        <f t="shared" si="17"/>
        <v>46434</v>
      </c>
      <c r="T138" s="80">
        <v>89497.600000000006</v>
      </c>
      <c r="U138" s="80">
        <f t="shared" si="18"/>
        <v>8949.76</v>
      </c>
      <c r="V138" s="80">
        <f t="shared" si="19"/>
        <v>98447.360000000001</v>
      </c>
      <c r="W138" s="78">
        <v>173</v>
      </c>
      <c r="X138" s="79">
        <f t="shared" si="20"/>
        <v>46213</v>
      </c>
      <c r="Y138" s="79">
        <f t="shared" si="21"/>
        <v>46385</v>
      </c>
      <c r="Z138" s="80">
        <v>69743.399999999994</v>
      </c>
      <c r="AA138" s="80">
        <f t="shared" si="22"/>
        <v>6974.34</v>
      </c>
      <c r="AB138" s="80">
        <f t="shared" si="23"/>
        <v>76717.739999999991</v>
      </c>
      <c r="AC138" s="80"/>
      <c r="AD138" s="80"/>
      <c r="AE138" s="80"/>
      <c r="AF138" s="80">
        <v>0</v>
      </c>
      <c r="AG138" s="80">
        <v>0</v>
      </c>
      <c r="AH138" s="80"/>
      <c r="AI138" s="80">
        <v>0</v>
      </c>
      <c r="AJ138" s="80">
        <v>0</v>
      </c>
      <c r="AK138" s="80"/>
      <c r="AL138" s="80">
        <v>0</v>
      </c>
      <c r="AM138" s="80">
        <v>0</v>
      </c>
      <c r="AN138" s="80"/>
      <c r="AO138" s="80">
        <v>9756.01</v>
      </c>
      <c r="AP138" s="80">
        <v>9756.01</v>
      </c>
      <c r="AQ138" s="80"/>
      <c r="AR138" s="80"/>
      <c r="AS138" s="80"/>
      <c r="AT138" s="80"/>
      <c r="AU138" s="80"/>
      <c r="AV138" s="80"/>
      <c r="AW138" s="80"/>
      <c r="AX138" s="80"/>
      <c r="AY138" s="80"/>
      <c r="AZ138" s="80"/>
      <c r="BA138" s="80"/>
      <c r="BB138" s="80"/>
      <c r="BC138" s="80"/>
      <c r="BD138" s="80"/>
      <c r="BE138" s="80"/>
      <c r="BF138" s="80"/>
    </row>
    <row r="139" spans="1:58" ht="40.049999999999997" customHeight="1" x14ac:dyDescent="0.25">
      <c r="A139" s="98">
        <v>138</v>
      </c>
      <c r="B139" s="99">
        <v>102</v>
      </c>
      <c r="C139" s="100" t="s">
        <v>258</v>
      </c>
      <c r="D139" s="101" t="s">
        <v>258</v>
      </c>
      <c r="E139" s="101" t="s">
        <v>652</v>
      </c>
      <c r="F139" s="101" t="s">
        <v>656</v>
      </c>
      <c r="G139" s="101" t="s">
        <v>657</v>
      </c>
      <c r="H139" s="102">
        <v>14.99</v>
      </c>
      <c r="I139" s="100" t="s">
        <v>46</v>
      </c>
      <c r="J139" s="103">
        <v>1098.08</v>
      </c>
      <c r="K139" s="100">
        <v>222</v>
      </c>
      <c r="L139" s="104">
        <v>121806</v>
      </c>
      <c r="M139" s="104">
        <v>12180</v>
      </c>
      <c r="N139" s="104">
        <v>133986</v>
      </c>
      <c r="O139" s="77" t="s">
        <v>658</v>
      </c>
      <c r="P139" s="77" t="s">
        <v>659</v>
      </c>
      <c r="Q139" s="78">
        <f t="shared" si="16"/>
        <v>222</v>
      </c>
      <c r="R139" s="79">
        <v>46150</v>
      </c>
      <c r="S139" s="79">
        <f t="shared" si="17"/>
        <v>46371</v>
      </c>
      <c r="T139" s="80">
        <v>115715.7</v>
      </c>
      <c r="U139" s="80">
        <f t="shared" si="18"/>
        <v>11571.57</v>
      </c>
      <c r="V139" s="80">
        <f t="shared" si="19"/>
        <v>127287.26999999999</v>
      </c>
      <c r="W139" s="78"/>
      <c r="X139" s="79">
        <f t="shared" si="20"/>
        <v>46150</v>
      </c>
      <c r="Y139" s="79" t="str">
        <f t="shared" si="21"/>
        <v/>
      </c>
      <c r="Z139" s="80"/>
      <c r="AA139" s="80">
        <f t="shared" si="22"/>
        <v>0</v>
      </c>
      <c r="AB139" s="80">
        <f t="shared" si="23"/>
        <v>0</v>
      </c>
      <c r="AC139" s="80"/>
      <c r="AD139" s="80"/>
      <c r="AE139" s="80"/>
      <c r="AF139" s="80">
        <v>0</v>
      </c>
      <c r="AG139" s="80">
        <v>0</v>
      </c>
      <c r="AH139" s="80"/>
      <c r="AI139" s="80">
        <v>13760.79</v>
      </c>
      <c r="AJ139" s="80">
        <v>13760.79</v>
      </c>
      <c r="AK139" s="80"/>
      <c r="AL139" s="80">
        <v>17200.990000000002</v>
      </c>
      <c r="AM139" s="80">
        <v>17200.990000000002</v>
      </c>
      <c r="AN139" s="80"/>
      <c r="AO139" s="80">
        <v>17774.349999999999</v>
      </c>
      <c r="AP139" s="80">
        <v>17774.349999999999</v>
      </c>
      <c r="AQ139" s="80"/>
      <c r="AR139" s="80"/>
      <c r="AS139" s="80"/>
      <c r="AT139" s="80"/>
      <c r="AU139" s="80"/>
      <c r="AV139" s="80"/>
      <c r="AW139" s="80"/>
      <c r="AX139" s="80"/>
      <c r="AY139" s="80"/>
      <c r="AZ139" s="80"/>
      <c r="BA139" s="80"/>
      <c r="BB139" s="80"/>
      <c r="BC139" s="80"/>
      <c r="BD139" s="80"/>
      <c r="BE139" s="80"/>
      <c r="BF139" s="80"/>
    </row>
    <row r="140" spans="1:58" ht="40.049999999999997" customHeight="1" x14ac:dyDescent="0.25">
      <c r="A140" s="98">
        <v>139</v>
      </c>
      <c r="B140" s="99">
        <v>102</v>
      </c>
      <c r="C140" s="100" t="s">
        <v>258</v>
      </c>
      <c r="D140" s="101" t="s">
        <v>258</v>
      </c>
      <c r="E140" s="101" t="s">
        <v>660</v>
      </c>
      <c r="F140" s="101" t="s">
        <v>661</v>
      </c>
      <c r="G140" s="101" t="s">
        <v>662</v>
      </c>
      <c r="H140" s="102">
        <v>22.15</v>
      </c>
      <c r="I140" s="100" t="s">
        <v>46</v>
      </c>
      <c r="J140" s="103">
        <v>1079.4000000000001</v>
      </c>
      <c r="K140" s="100">
        <v>222</v>
      </c>
      <c r="L140" s="104">
        <v>176924</v>
      </c>
      <c r="M140" s="104">
        <v>17692</v>
      </c>
      <c r="N140" s="104">
        <v>194616</v>
      </c>
      <c r="O140" s="77" t="s">
        <v>663</v>
      </c>
      <c r="P140" s="77" t="s">
        <v>664</v>
      </c>
      <c r="Q140" s="78">
        <f t="shared" ref="Q140:Q176" si="24">+$K140</f>
        <v>222</v>
      </c>
      <c r="R140" s="79">
        <v>46147</v>
      </c>
      <c r="S140" s="79">
        <f t="shared" si="17"/>
        <v>46368</v>
      </c>
      <c r="T140" s="80">
        <v>168077.8</v>
      </c>
      <c r="U140" s="80">
        <f t="shared" si="18"/>
        <v>16807.78</v>
      </c>
      <c r="V140" s="80">
        <f t="shared" si="19"/>
        <v>184885.58</v>
      </c>
      <c r="W140" s="78"/>
      <c r="X140" s="79">
        <f t="shared" si="20"/>
        <v>46147</v>
      </c>
      <c r="Y140" s="79" t="str">
        <f t="shared" si="21"/>
        <v/>
      </c>
      <c r="Z140" s="80"/>
      <c r="AA140" s="80">
        <f t="shared" si="22"/>
        <v>0</v>
      </c>
      <c r="AB140" s="80">
        <f t="shared" si="23"/>
        <v>0</v>
      </c>
      <c r="AC140" s="80"/>
      <c r="AD140" s="80"/>
      <c r="AE140" s="80"/>
      <c r="AF140" s="80">
        <v>0</v>
      </c>
      <c r="AG140" s="80">
        <v>0</v>
      </c>
      <c r="AH140" s="80"/>
      <c r="AI140" s="80">
        <v>22486.080000000002</v>
      </c>
      <c r="AJ140" s="80">
        <v>22486.080000000002</v>
      </c>
      <c r="AK140" s="80"/>
      <c r="AL140" s="80">
        <v>24984.54</v>
      </c>
      <c r="AM140" s="80">
        <v>24984.54</v>
      </c>
      <c r="AN140" s="80"/>
      <c r="AO140" s="80">
        <v>25817.35</v>
      </c>
      <c r="AP140" s="80">
        <v>25817.35</v>
      </c>
      <c r="AQ140" s="80"/>
      <c r="AR140" s="80"/>
      <c r="AS140" s="80"/>
      <c r="AT140" s="80"/>
      <c r="AU140" s="80"/>
      <c r="AV140" s="80"/>
      <c r="AW140" s="80"/>
      <c r="AX140" s="80"/>
      <c r="AY140" s="80"/>
      <c r="AZ140" s="80"/>
      <c r="BA140" s="80"/>
      <c r="BB140" s="80"/>
      <c r="BC140" s="80"/>
      <c r="BD140" s="80"/>
      <c r="BE140" s="80"/>
      <c r="BF140" s="80"/>
    </row>
    <row r="141" spans="1:58" ht="40.049999999999997" customHeight="1" thickBot="1" x14ac:dyDescent="0.3">
      <c r="A141" s="130">
        <v>140</v>
      </c>
      <c r="B141" s="131">
        <v>102</v>
      </c>
      <c r="C141" s="132" t="s">
        <v>258</v>
      </c>
      <c r="D141" s="133" t="s">
        <v>258</v>
      </c>
      <c r="E141" s="133" t="s">
        <v>665</v>
      </c>
      <c r="F141" s="133" t="s">
        <v>666</v>
      </c>
      <c r="G141" s="133" t="s">
        <v>667</v>
      </c>
      <c r="H141" s="134">
        <v>14.56</v>
      </c>
      <c r="I141" s="132" t="s">
        <v>46</v>
      </c>
      <c r="J141" s="135">
        <v>1009.9</v>
      </c>
      <c r="K141" s="132">
        <v>222</v>
      </c>
      <c r="L141" s="136">
        <v>108811</v>
      </c>
      <c r="M141" s="136">
        <v>10881</v>
      </c>
      <c r="N141" s="136">
        <v>119692</v>
      </c>
      <c r="O141" s="137" t="s">
        <v>668</v>
      </c>
      <c r="P141" s="137" t="s">
        <v>558</v>
      </c>
      <c r="Q141" s="138">
        <f t="shared" si="24"/>
        <v>222</v>
      </c>
      <c r="R141" s="139">
        <v>46149</v>
      </c>
      <c r="S141" s="139">
        <f t="shared" si="17"/>
        <v>46370</v>
      </c>
      <c r="T141" s="140">
        <v>103370.45</v>
      </c>
      <c r="U141" s="140">
        <f t="shared" si="18"/>
        <v>10337.049999999999</v>
      </c>
      <c r="V141" s="140">
        <f t="shared" si="19"/>
        <v>113707.5</v>
      </c>
      <c r="W141" s="138"/>
      <c r="X141" s="139">
        <f t="shared" si="20"/>
        <v>46149</v>
      </c>
      <c r="Y141" s="139" t="str">
        <f t="shared" si="21"/>
        <v/>
      </c>
      <c r="Z141" s="140"/>
      <c r="AA141" s="140">
        <f t="shared" si="22"/>
        <v>0</v>
      </c>
      <c r="AB141" s="140">
        <f t="shared" si="23"/>
        <v>0</v>
      </c>
      <c r="AC141" s="140"/>
      <c r="AD141" s="140"/>
      <c r="AE141" s="140"/>
      <c r="AF141" s="140">
        <v>0</v>
      </c>
      <c r="AG141" s="140">
        <v>0</v>
      </c>
      <c r="AH141" s="140"/>
      <c r="AI141" s="140">
        <v>12804.9</v>
      </c>
      <c r="AJ141" s="140">
        <v>12804.9</v>
      </c>
      <c r="AK141" s="140"/>
      <c r="AL141" s="140">
        <v>15365.88</v>
      </c>
      <c r="AM141" s="140">
        <v>15365.88</v>
      </c>
      <c r="AN141" s="140"/>
      <c r="AO141" s="140">
        <v>15878.07</v>
      </c>
      <c r="AP141" s="140">
        <v>15878.07</v>
      </c>
      <c r="AQ141" s="140"/>
      <c r="AR141" s="140"/>
      <c r="AS141" s="140"/>
      <c r="AT141" s="140"/>
      <c r="AU141" s="140"/>
      <c r="AV141" s="140"/>
      <c r="AW141" s="140"/>
      <c r="AX141" s="140"/>
      <c r="AY141" s="140"/>
      <c r="AZ141" s="140"/>
      <c r="BA141" s="140"/>
      <c r="BB141" s="140"/>
      <c r="BC141" s="140"/>
      <c r="BD141" s="140"/>
      <c r="BE141" s="140"/>
      <c r="BF141" s="140"/>
    </row>
    <row r="142" spans="1:58" ht="40.049999999999997" customHeight="1" thickTop="1" x14ac:dyDescent="0.25">
      <c r="A142" s="119">
        <v>141</v>
      </c>
      <c r="B142" s="120">
        <v>175</v>
      </c>
      <c r="C142" s="121" t="s">
        <v>258</v>
      </c>
      <c r="D142" s="122" t="s">
        <v>679</v>
      </c>
      <c r="E142" s="122" t="s">
        <v>670</v>
      </c>
      <c r="F142" s="122" t="s">
        <v>671</v>
      </c>
      <c r="G142" s="122" t="s">
        <v>672</v>
      </c>
      <c r="H142" s="123">
        <v>23.821999999999999</v>
      </c>
      <c r="I142" s="121" t="s">
        <v>46</v>
      </c>
      <c r="J142" s="124">
        <v>866.26</v>
      </c>
      <c r="K142" s="121">
        <v>195</v>
      </c>
      <c r="L142" s="125">
        <v>134134</v>
      </c>
      <c r="M142" s="125">
        <v>13413</v>
      </c>
      <c r="N142" s="125">
        <v>147547</v>
      </c>
      <c r="O142" s="126" t="s">
        <v>673</v>
      </c>
      <c r="P142" s="126" t="s">
        <v>674</v>
      </c>
      <c r="Q142" s="127">
        <f t="shared" si="24"/>
        <v>195</v>
      </c>
      <c r="R142" s="128">
        <v>46167</v>
      </c>
      <c r="S142" s="128">
        <f t="shared" si="17"/>
        <v>46361</v>
      </c>
      <c r="T142" s="129">
        <v>134134</v>
      </c>
      <c r="U142" s="129">
        <f t="shared" si="18"/>
        <v>13413.4</v>
      </c>
      <c r="V142" s="129">
        <f t="shared" si="19"/>
        <v>147547.4</v>
      </c>
      <c r="W142" s="127"/>
      <c r="X142" s="128">
        <f t="shared" si="20"/>
        <v>46167</v>
      </c>
      <c r="Y142" s="128" t="str">
        <f t="shared" si="21"/>
        <v/>
      </c>
      <c r="Z142" s="129"/>
      <c r="AA142" s="129">
        <f t="shared" si="22"/>
        <v>0</v>
      </c>
      <c r="AB142" s="129">
        <f t="shared" si="23"/>
        <v>0</v>
      </c>
      <c r="AC142" s="129"/>
      <c r="AD142" s="129"/>
      <c r="AE142" s="129"/>
      <c r="AF142" s="129"/>
      <c r="AG142" s="129"/>
      <c r="AH142" s="129"/>
      <c r="AI142" s="129">
        <v>5296.58</v>
      </c>
      <c r="AJ142" s="129">
        <v>5296.58</v>
      </c>
      <c r="AK142" s="129"/>
      <c r="AL142" s="129">
        <v>22699.599999999999</v>
      </c>
      <c r="AM142" s="129">
        <v>22699.599999999999</v>
      </c>
      <c r="AN142" s="129"/>
      <c r="AO142" s="129">
        <v>23456.26</v>
      </c>
      <c r="AP142" s="129">
        <v>23456.26</v>
      </c>
      <c r="AQ142" s="129">
        <v>326240.71999999997</v>
      </c>
      <c r="AR142" s="129"/>
      <c r="AS142" s="129"/>
      <c r="AT142" s="129">
        <v>281373.51</v>
      </c>
      <c r="AU142" s="129"/>
      <c r="AV142" s="129"/>
      <c r="AW142" s="129"/>
      <c r="AX142" s="129"/>
      <c r="AY142" s="129"/>
      <c r="AZ142" s="129"/>
      <c r="BA142" s="129"/>
      <c r="BB142" s="129"/>
      <c r="BC142" s="129"/>
      <c r="BD142" s="129"/>
      <c r="BE142" s="129"/>
      <c r="BF142" s="129"/>
    </row>
    <row r="143" spans="1:58" ht="40.049999999999997" customHeight="1" x14ac:dyDescent="0.25">
      <c r="A143" s="91">
        <v>142</v>
      </c>
      <c r="B143" s="92">
        <v>175</v>
      </c>
      <c r="C143" s="93" t="s">
        <v>258</v>
      </c>
      <c r="D143" s="94" t="s">
        <v>679</v>
      </c>
      <c r="E143" s="94" t="s">
        <v>670</v>
      </c>
      <c r="F143" s="94" t="s">
        <v>680</v>
      </c>
      <c r="G143" s="94" t="s">
        <v>681</v>
      </c>
      <c r="H143" s="95">
        <v>14.186</v>
      </c>
      <c r="I143" s="93" t="s">
        <v>46</v>
      </c>
      <c r="J143" s="96">
        <v>976.75</v>
      </c>
      <c r="K143" s="93">
        <v>203</v>
      </c>
      <c r="L143" s="97">
        <v>93760</v>
      </c>
      <c r="M143" s="97">
        <v>9376</v>
      </c>
      <c r="N143" s="97">
        <v>103136</v>
      </c>
      <c r="O143" s="77" t="s">
        <v>682</v>
      </c>
      <c r="P143" s="77" t="s">
        <v>683</v>
      </c>
      <c r="Q143" s="78">
        <f t="shared" si="24"/>
        <v>203</v>
      </c>
      <c r="R143" s="79">
        <v>46167</v>
      </c>
      <c r="S143" s="79">
        <f t="shared" si="17"/>
        <v>46369</v>
      </c>
      <c r="T143" s="80">
        <v>93760</v>
      </c>
      <c r="U143" s="80">
        <f t="shared" si="18"/>
        <v>9376</v>
      </c>
      <c r="V143" s="80">
        <f t="shared" si="19"/>
        <v>103136</v>
      </c>
      <c r="W143" s="78"/>
      <c r="X143" s="79">
        <f t="shared" si="20"/>
        <v>46167</v>
      </c>
      <c r="Y143" s="79" t="str">
        <f t="shared" si="21"/>
        <v/>
      </c>
      <c r="Z143" s="80"/>
      <c r="AA143" s="80">
        <f t="shared" si="22"/>
        <v>0</v>
      </c>
      <c r="AB143" s="80">
        <f t="shared" si="23"/>
        <v>0</v>
      </c>
      <c r="AC143" s="80"/>
      <c r="AD143" s="80"/>
      <c r="AE143" s="80"/>
      <c r="AF143" s="80"/>
      <c r="AG143" s="80"/>
      <c r="AH143" s="80"/>
      <c r="AI143" s="80">
        <v>3556.41</v>
      </c>
      <c r="AJ143" s="80">
        <v>3556.41</v>
      </c>
      <c r="AK143" s="80"/>
      <c r="AL143" s="80">
        <v>15241.78</v>
      </c>
      <c r="AM143" s="80">
        <v>15241.78</v>
      </c>
      <c r="AN143" s="80"/>
      <c r="AO143" s="80">
        <v>15749.83</v>
      </c>
      <c r="AP143" s="80">
        <v>15749.83</v>
      </c>
      <c r="AQ143" s="80"/>
      <c r="AR143" s="80"/>
      <c r="AS143" s="80"/>
      <c r="AT143" s="80"/>
      <c r="AU143" s="80"/>
      <c r="AV143" s="80"/>
      <c r="AW143" s="80"/>
      <c r="AX143" s="80"/>
      <c r="AY143" s="80"/>
      <c r="AZ143" s="80"/>
      <c r="BA143" s="80"/>
      <c r="BB143" s="80"/>
      <c r="BC143" s="80"/>
      <c r="BD143" s="80"/>
      <c r="BE143" s="80"/>
      <c r="BF143" s="80"/>
    </row>
    <row r="144" spans="1:58" ht="40.049999999999997" customHeight="1" x14ac:dyDescent="0.25">
      <c r="A144" s="91">
        <v>143</v>
      </c>
      <c r="B144" s="92">
        <v>175</v>
      </c>
      <c r="C144" s="93" t="s">
        <v>258</v>
      </c>
      <c r="D144" s="94" t="s">
        <v>679</v>
      </c>
      <c r="E144" s="94" t="s">
        <v>684</v>
      </c>
      <c r="F144" s="94" t="s">
        <v>685</v>
      </c>
      <c r="G144" s="94" t="s">
        <v>686</v>
      </c>
      <c r="H144" s="95">
        <v>31.667999999999999</v>
      </c>
      <c r="I144" s="93" t="s">
        <v>46</v>
      </c>
      <c r="J144" s="96">
        <v>845.82</v>
      </c>
      <c r="K144" s="93">
        <v>195</v>
      </c>
      <c r="L144" s="97">
        <v>174105</v>
      </c>
      <c r="M144" s="97">
        <v>17411</v>
      </c>
      <c r="N144" s="97">
        <v>191516</v>
      </c>
      <c r="O144" s="77" t="s">
        <v>687</v>
      </c>
      <c r="P144" s="77" t="s">
        <v>688</v>
      </c>
      <c r="Q144" s="78">
        <f t="shared" si="24"/>
        <v>195</v>
      </c>
      <c r="R144" s="79">
        <v>46167</v>
      </c>
      <c r="S144" s="79">
        <f t="shared" si="17"/>
        <v>46361</v>
      </c>
      <c r="T144" s="80">
        <v>174105</v>
      </c>
      <c r="U144" s="80">
        <f t="shared" si="18"/>
        <v>17410.5</v>
      </c>
      <c r="V144" s="80">
        <f t="shared" si="19"/>
        <v>191515.5</v>
      </c>
      <c r="W144" s="78"/>
      <c r="X144" s="79">
        <f t="shared" si="20"/>
        <v>46167</v>
      </c>
      <c r="Y144" s="79" t="str">
        <f t="shared" si="21"/>
        <v/>
      </c>
      <c r="Z144" s="80"/>
      <c r="AA144" s="80">
        <f t="shared" si="22"/>
        <v>0</v>
      </c>
      <c r="AB144" s="80">
        <f t="shared" si="23"/>
        <v>0</v>
      </c>
      <c r="AC144" s="80"/>
      <c r="AD144" s="80"/>
      <c r="AE144" s="80"/>
      <c r="AF144" s="80"/>
      <c r="AG144" s="80"/>
      <c r="AH144" s="80"/>
      <c r="AI144" s="80">
        <v>6874.91</v>
      </c>
      <c r="AJ144" s="80">
        <v>6874.91</v>
      </c>
      <c r="AK144" s="80"/>
      <c r="AL144" s="80">
        <v>29463.919999999998</v>
      </c>
      <c r="AM144" s="80">
        <v>29463.919999999998</v>
      </c>
      <c r="AN144" s="80"/>
      <c r="AO144" s="80">
        <v>30446.05</v>
      </c>
      <c r="AP144" s="80">
        <v>30446.05</v>
      </c>
      <c r="AQ144" s="80"/>
      <c r="AR144" s="80"/>
      <c r="AS144" s="80"/>
      <c r="AT144" s="80"/>
      <c r="AU144" s="80"/>
      <c r="AV144" s="80"/>
      <c r="AW144" s="80"/>
      <c r="AX144" s="80"/>
      <c r="AY144" s="80"/>
      <c r="AZ144" s="80"/>
      <c r="BA144" s="80"/>
      <c r="BB144" s="80"/>
      <c r="BC144" s="80"/>
      <c r="BD144" s="80"/>
      <c r="BE144" s="80"/>
      <c r="BF144" s="80"/>
    </row>
    <row r="145" spans="1:58" ht="40.049999999999997" customHeight="1" x14ac:dyDescent="0.25">
      <c r="A145" s="91">
        <v>144</v>
      </c>
      <c r="B145" s="92">
        <v>175</v>
      </c>
      <c r="C145" s="93" t="s">
        <v>258</v>
      </c>
      <c r="D145" s="94" t="s">
        <v>679</v>
      </c>
      <c r="E145" s="94" t="s">
        <v>689</v>
      </c>
      <c r="F145" s="94" t="s">
        <v>690</v>
      </c>
      <c r="G145" s="94" t="s">
        <v>691</v>
      </c>
      <c r="H145" s="95">
        <v>36.47</v>
      </c>
      <c r="I145" s="93" t="s">
        <v>46</v>
      </c>
      <c r="J145" s="96">
        <v>863.46</v>
      </c>
      <c r="K145" s="93">
        <v>195</v>
      </c>
      <c r="L145" s="97">
        <v>204688</v>
      </c>
      <c r="M145" s="97">
        <v>20469</v>
      </c>
      <c r="N145" s="97">
        <v>225157</v>
      </c>
      <c r="O145" s="77" t="s">
        <v>692</v>
      </c>
      <c r="P145" s="77" t="s">
        <v>693</v>
      </c>
      <c r="Q145" s="78">
        <f t="shared" si="24"/>
        <v>195</v>
      </c>
      <c r="R145" s="79">
        <v>46167</v>
      </c>
      <c r="S145" s="79">
        <f t="shared" si="17"/>
        <v>46361</v>
      </c>
      <c r="T145" s="80">
        <v>204688</v>
      </c>
      <c r="U145" s="80">
        <f t="shared" si="18"/>
        <v>20468.8</v>
      </c>
      <c r="V145" s="80">
        <f t="shared" si="19"/>
        <v>225156.8</v>
      </c>
      <c r="W145" s="78"/>
      <c r="X145" s="79">
        <f t="shared" si="20"/>
        <v>46167</v>
      </c>
      <c r="Y145" s="79" t="str">
        <f t="shared" si="21"/>
        <v/>
      </c>
      <c r="Z145" s="80"/>
      <c r="AA145" s="80">
        <f t="shared" si="22"/>
        <v>0</v>
      </c>
      <c r="AB145" s="80">
        <f t="shared" si="23"/>
        <v>0</v>
      </c>
      <c r="AC145" s="80"/>
      <c r="AD145" s="80"/>
      <c r="AE145" s="80"/>
      <c r="AF145" s="80"/>
      <c r="AG145" s="80"/>
      <c r="AH145" s="80"/>
      <c r="AI145" s="80">
        <v>8082.55</v>
      </c>
      <c r="AJ145" s="80">
        <v>8082.55</v>
      </c>
      <c r="AK145" s="80"/>
      <c r="AL145" s="80">
        <v>34639.51</v>
      </c>
      <c r="AM145" s="80">
        <v>34639.51</v>
      </c>
      <c r="AN145" s="80"/>
      <c r="AO145" s="80">
        <v>35794.15</v>
      </c>
      <c r="AP145" s="80">
        <v>35794.15</v>
      </c>
      <c r="AQ145" s="80"/>
      <c r="AR145" s="80"/>
      <c r="AS145" s="80"/>
      <c r="AT145" s="80"/>
      <c r="AU145" s="80"/>
      <c r="AV145" s="80"/>
      <c r="AW145" s="80"/>
      <c r="AX145" s="80"/>
      <c r="AY145" s="80"/>
      <c r="AZ145" s="80"/>
      <c r="BA145" s="80"/>
      <c r="BB145" s="80"/>
      <c r="BC145" s="80"/>
      <c r="BD145" s="80"/>
      <c r="BE145" s="80"/>
      <c r="BF145" s="80"/>
    </row>
    <row r="146" spans="1:58" ht="40.049999999999997" customHeight="1" x14ac:dyDescent="0.25">
      <c r="A146" s="91">
        <v>145</v>
      </c>
      <c r="B146" s="92">
        <v>175</v>
      </c>
      <c r="C146" s="93" t="s">
        <v>258</v>
      </c>
      <c r="D146" s="94" t="s">
        <v>679</v>
      </c>
      <c r="E146" s="94" t="s">
        <v>694</v>
      </c>
      <c r="F146" s="94" t="s">
        <v>695</v>
      </c>
      <c r="G146" s="94" t="s">
        <v>696</v>
      </c>
      <c r="H146" s="95">
        <v>24.03</v>
      </c>
      <c r="I146" s="93" t="s">
        <v>46</v>
      </c>
      <c r="J146" s="96">
        <v>870.91</v>
      </c>
      <c r="K146" s="93">
        <v>195</v>
      </c>
      <c r="L146" s="97">
        <v>136032</v>
      </c>
      <c r="M146" s="97">
        <v>13603</v>
      </c>
      <c r="N146" s="97">
        <v>149635</v>
      </c>
      <c r="O146" s="77" t="s">
        <v>697</v>
      </c>
      <c r="P146" s="77" t="s">
        <v>698</v>
      </c>
      <c r="Q146" s="78">
        <f t="shared" si="24"/>
        <v>195</v>
      </c>
      <c r="R146" s="79">
        <v>46167</v>
      </c>
      <c r="S146" s="79">
        <f t="shared" si="17"/>
        <v>46361</v>
      </c>
      <c r="T146" s="80">
        <v>136032</v>
      </c>
      <c r="U146" s="80">
        <f t="shared" si="18"/>
        <v>13603.2</v>
      </c>
      <c r="V146" s="80">
        <f t="shared" si="19"/>
        <v>149635.20000000001</v>
      </c>
      <c r="W146" s="78"/>
      <c r="X146" s="79">
        <f t="shared" si="20"/>
        <v>46167</v>
      </c>
      <c r="Y146" s="79" t="str">
        <f t="shared" si="21"/>
        <v/>
      </c>
      <c r="Z146" s="80"/>
      <c r="AA146" s="80">
        <f t="shared" si="22"/>
        <v>0</v>
      </c>
      <c r="AB146" s="80">
        <f t="shared" si="23"/>
        <v>0</v>
      </c>
      <c r="AC146" s="80"/>
      <c r="AD146" s="80"/>
      <c r="AE146" s="80"/>
      <c r="AF146" s="80"/>
      <c r="AG146" s="80"/>
      <c r="AH146" s="80"/>
      <c r="AI146" s="80">
        <v>5371.52</v>
      </c>
      <c r="AJ146" s="80">
        <v>5371.52</v>
      </c>
      <c r="AK146" s="80"/>
      <c r="AL146" s="80">
        <v>23020.799999999999</v>
      </c>
      <c r="AM146" s="80">
        <v>23020.799999999999</v>
      </c>
      <c r="AN146" s="80"/>
      <c r="AO146" s="80">
        <v>23788.16</v>
      </c>
      <c r="AP146" s="80">
        <v>23788.16</v>
      </c>
      <c r="AQ146" s="80"/>
      <c r="AR146" s="80"/>
      <c r="AS146" s="80"/>
      <c r="AT146" s="80"/>
      <c r="AU146" s="80"/>
      <c r="AV146" s="80"/>
      <c r="AW146" s="80"/>
      <c r="AX146" s="80"/>
      <c r="AY146" s="80"/>
      <c r="AZ146" s="80"/>
      <c r="BA146" s="80"/>
      <c r="BB146" s="80"/>
      <c r="BC146" s="80"/>
      <c r="BD146" s="80"/>
      <c r="BE146" s="80"/>
      <c r="BF146" s="80"/>
    </row>
    <row r="147" spans="1:58" ht="40.049999999999997" customHeight="1" x14ac:dyDescent="0.25">
      <c r="A147" s="91">
        <v>146</v>
      </c>
      <c r="B147" s="92">
        <v>175</v>
      </c>
      <c r="C147" s="93" t="s">
        <v>258</v>
      </c>
      <c r="D147" s="94" t="s">
        <v>679</v>
      </c>
      <c r="E147" s="94" t="s">
        <v>699</v>
      </c>
      <c r="F147" s="94" t="s">
        <v>700</v>
      </c>
      <c r="G147" s="94" t="s">
        <v>701</v>
      </c>
      <c r="H147" s="95">
        <v>23.4</v>
      </c>
      <c r="I147" s="93" t="s">
        <v>46</v>
      </c>
      <c r="J147" s="96">
        <v>863.6</v>
      </c>
      <c r="K147" s="93">
        <v>195</v>
      </c>
      <c r="L147" s="97">
        <v>131354</v>
      </c>
      <c r="M147" s="97">
        <v>13135</v>
      </c>
      <c r="N147" s="97">
        <v>144489</v>
      </c>
      <c r="O147" s="77" t="s">
        <v>702</v>
      </c>
      <c r="P147" s="77" t="s">
        <v>703</v>
      </c>
      <c r="Q147" s="78">
        <f t="shared" si="24"/>
        <v>195</v>
      </c>
      <c r="R147" s="79">
        <v>46167</v>
      </c>
      <c r="S147" s="79">
        <f t="shared" si="17"/>
        <v>46361</v>
      </c>
      <c r="T147" s="80">
        <v>131354</v>
      </c>
      <c r="U147" s="80">
        <f t="shared" si="18"/>
        <v>13135.4</v>
      </c>
      <c r="V147" s="80">
        <f t="shared" si="19"/>
        <v>144489.4</v>
      </c>
      <c r="W147" s="78"/>
      <c r="X147" s="79">
        <f t="shared" si="20"/>
        <v>46167</v>
      </c>
      <c r="Y147" s="79" t="str">
        <f t="shared" si="21"/>
        <v/>
      </c>
      <c r="Z147" s="80"/>
      <c r="AA147" s="80">
        <f t="shared" si="22"/>
        <v>0</v>
      </c>
      <c r="AB147" s="80">
        <f t="shared" si="23"/>
        <v>0</v>
      </c>
      <c r="AC147" s="80"/>
      <c r="AD147" s="80"/>
      <c r="AE147" s="80"/>
      <c r="AF147" s="80"/>
      <c r="AG147" s="80"/>
      <c r="AH147" s="80"/>
      <c r="AI147" s="80">
        <v>5186.8</v>
      </c>
      <c r="AJ147" s="80">
        <v>5186.8</v>
      </c>
      <c r="AK147" s="80"/>
      <c r="AL147" s="80">
        <v>22229.14</v>
      </c>
      <c r="AM147" s="80">
        <v>22229.14</v>
      </c>
      <c r="AN147" s="80"/>
      <c r="AO147" s="80">
        <v>22970.11</v>
      </c>
      <c r="AP147" s="80">
        <v>22970.11</v>
      </c>
      <c r="AQ147" s="80"/>
      <c r="AR147" s="80"/>
      <c r="AS147" s="80"/>
      <c r="AT147" s="80"/>
      <c r="AU147" s="80"/>
      <c r="AV147" s="80"/>
      <c r="AW147" s="80"/>
      <c r="AX147" s="80"/>
      <c r="AY147" s="80"/>
      <c r="AZ147" s="80"/>
      <c r="BA147" s="80"/>
      <c r="BB147" s="80"/>
      <c r="BC147" s="80"/>
      <c r="BD147" s="80"/>
      <c r="BE147" s="80"/>
      <c r="BF147" s="80"/>
    </row>
    <row r="148" spans="1:58" ht="40.049999999999997" customHeight="1" x14ac:dyDescent="0.25">
      <c r="A148" s="91">
        <v>147</v>
      </c>
      <c r="B148" s="92">
        <v>175</v>
      </c>
      <c r="C148" s="93" t="s">
        <v>258</v>
      </c>
      <c r="D148" s="94" t="s">
        <v>679</v>
      </c>
      <c r="E148" s="94" t="s">
        <v>704</v>
      </c>
      <c r="F148" s="94" t="s">
        <v>705</v>
      </c>
      <c r="G148" s="94" t="s">
        <v>706</v>
      </c>
      <c r="H148" s="95">
        <v>16.600000000000001</v>
      </c>
      <c r="I148" s="93" t="s">
        <v>46</v>
      </c>
      <c r="J148" s="96">
        <v>873.68</v>
      </c>
      <c r="K148" s="93">
        <v>200</v>
      </c>
      <c r="L148" s="97">
        <v>96687</v>
      </c>
      <c r="M148" s="97">
        <v>9669</v>
      </c>
      <c r="N148" s="97">
        <v>106356</v>
      </c>
      <c r="O148" s="77" t="s">
        <v>707</v>
      </c>
      <c r="P148" s="77" t="s">
        <v>432</v>
      </c>
      <c r="Q148" s="78">
        <f t="shared" si="24"/>
        <v>200</v>
      </c>
      <c r="R148" s="79">
        <v>46167</v>
      </c>
      <c r="S148" s="79">
        <f t="shared" si="17"/>
        <v>46366</v>
      </c>
      <c r="T148" s="80">
        <v>96687</v>
      </c>
      <c r="U148" s="80">
        <f t="shared" si="18"/>
        <v>9668.7000000000007</v>
      </c>
      <c r="V148" s="80">
        <f t="shared" si="19"/>
        <v>106355.7</v>
      </c>
      <c r="W148" s="78"/>
      <c r="X148" s="79">
        <f t="shared" si="20"/>
        <v>46167</v>
      </c>
      <c r="Y148" s="79" t="str">
        <f t="shared" si="21"/>
        <v/>
      </c>
      <c r="Z148" s="80"/>
      <c r="AA148" s="80">
        <f t="shared" si="22"/>
        <v>0</v>
      </c>
      <c r="AB148" s="80">
        <f t="shared" si="23"/>
        <v>0</v>
      </c>
      <c r="AC148" s="80"/>
      <c r="AD148" s="80"/>
      <c r="AE148" s="80"/>
      <c r="AF148" s="80"/>
      <c r="AG148" s="80"/>
      <c r="AH148" s="80"/>
      <c r="AI148" s="80">
        <v>3722.46</v>
      </c>
      <c r="AJ148" s="80">
        <v>3722.46</v>
      </c>
      <c r="AK148" s="80"/>
      <c r="AL148" s="80">
        <v>15953.36</v>
      </c>
      <c r="AM148" s="80">
        <v>15953.36</v>
      </c>
      <c r="AN148" s="80"/>
      <c r="AO148" s="80">
        <v>16485.14</v>
      </c>
      <c r="AP148" s="80">
        <v>16485.14</v>
      </c>
      <c r="AQ148" s="80"/>
      <c r="AR148" s="80"/>
      <c r="AS148" s="80"/>
      <c r="AT148" s="80"/>
      <c r="AU148" s="80"/>
      <c r="AV148" s="80"/>
      <c r="AW148" s="80"/>
      <c r="AX148" s="80"/>
      <c r="AY148" s="80"/>
      <c r="AZ148" s="80"/>
      <c r="BA148" s="80"/>
      <c r="BB148" s="80"/>
      <c r="BC148" s="80"/>
      <c r="BD148" s="80"/>
      <c r="BE148" s="80"/>
      <c r="BF148" s="80"/>
    </row>
    <row r="149" spans="1:58" ht="40.049999999999997" customHeight="1" x14ac:dyDescent="0.25">
      <c r="A149" s="91">
        <v>148</v>
      </c>
      <c r="B149" s="92">
        <v>175</v>
      </c>
      <c r="C149" s="93" t="s">
        <v>258</v>
      </c>
      <c r="D149" s="94" t="s">
        <v>679</v>
      </c>
      <c r="E149" s="94" t="s">
        <v>670</v>
      </c>
      <c r="F149" s="94" t="s">
        <v>708</v>
      </c>
      <c r="G149" s="94" t="s">
        <v>709</v>
      </c>
      <c r="H149" s="95">
        <v>15.8</v>
      </c>
      <c r="I149" s="93" t="s">
        <v>46</v>
      </c>
      <c r="J149" s="96">
        <v>873.14</v>
      </c>
      <c r="K149" s="93">
        <v>200</v>
      </c>
      <c r="L149" s="97">
        <v>91971</v>
      </c>
      <c r="M149" s="97">
        <v>9197</v>
      </c>
      <c r="N149" s="97">
        <v>101168</v>
      </c>
      <c r="O149" s="77" t="s">
        <v>710</v>
      </c>
      <c r="P149" s="77" t="s">
        <v>711</v>
      </c>
      <c r="Q149" s="78">
        <f t="shared" si="24"/>
        <v>200</v>
      </c>
      <c r="R149" s="79">
        <v>46167</v>
      </c>
      <c r="S149" s="79">
        <f t="shared" si="17"/>
        <v>46366</v>
      </c>
      <c r="T149" s="80">
        <v>91971</v>
      </c>
      <c r="U149" s="80">
        <f t="shared" si="18"/>
        <v>9197.1</v>
      </c>
      <c r="V149" s="80">
        <f t="shared" si="19"/>
        <v>101168.1</v>
      </c>
      <c r="W149" s="78"/>
      <c r="X149" s="79">
        <f t="shared" si="20"/>
        <v>46167</v>
      </c>
      <c r="Y149" s="79" t="str">
        <f t="shared" si="21"/>
        <v/>
      </c>
      <c r="Z149" s="80"/>
      <c r="AA149" s="80">
        <f t="shared" si="22"/>
        <v>0</v>
      </c>
      <c r="AB149" s="80">
        <f t="shared" si="23"/>
        <v>0</v>
      </c>
      <c r="AC149" s="80"/>
      <c r="AD149" s="80"/>
      <c r="AE149" s="80"/>
      <c r="AF149" s="80"/>
      <c r="AG149" s="80"/>
      <c r="AH149" s="80"/>
      <c r="AI149" s="80">
        <v>3540.89</v>
      </c>
      <c r="AJ149" s="80">
        <v>3540.89</v>
      </c>
      <c r="AK149" s="80"/>
      <c r="AL149" s="80">
        <v>15175.22</v>
      </c>
      <c r="AM149" s="80">
        <v>15175.22</v>
      </c>
      <c r="AN149" s="80"/>
      <c r="AO149" s="80">
        <v>15681.06</v>
      </c>
      <c r="AP149" s="80">
        <v>15681.06</v>
      </c>
      <c r="AQ149" s="80"/>
      <c r="AR149" s="80"/>
      <c r="AS149" s="80"/>
      <c r="AT149" s="80"/>
      <c r="AU149" s="80"/>
      <c r="AV149" s="80"/>
      <c r="AW149" s="80"/>
      <c r="AX149" s="80"/>
      <c r="AY149" s="80"/>
      <c r="AZ149" s="80"/>
      <c r="BA149" s="80"/>
      <c r="BB149" s="80"/>
      <c r="BC149" s="80"/>
      <c r="BD149" s="80"/>
      <c r="BE149" s="80"/>
      <c r="BF149" s="80"/>
    </row>
    <row r="150" spans="1:58" ht="40.049999999999997" customHeight="1" x14ac:dyDescent="0.25">
      <c r="A150" s="91">
        <v>149</v>
      </c>
      <c r="B150" s="92">
        <v>175</v>
      </c>
      <c r="C150" s="93" t="s">
        <v>258</v>
      </c>
      <c r="D150" s="94" t="s">
        <v>679</v>
      </c>
      <c r="E150" s="94" t="s">
        <v>712</v>
      </c>
      <c r="F150" s="94" t="s">
        <v>713</v>
      </c>
      <c r="G150" s="94" t="s">
        <v>714</v>
      </c>
      <c r="H150" s="95">
        <v>32</v>
      </c>
      <c r="I150" s="93" t="s">
        <v>46</v>
      </c>
      <c r="J150" s="96">
        <v>826.73</v>
      </c>
      <c r="K150" s="93">
        <v>195</v>
      </c>
      <c r="L150" s="97">
        <v>171960</v>
      </c>
      <c r="M150" s="97">
        <v>17196</v>
      </c>
      <c r="N150" s="97">
        <v>189156</v>
      </c>
      <c r="O150" s="77" t="s">
        <v>715</v>
      </c>
      <c r="P150" s="77" t="s">
        <v>432</v>
      </c>
      <c r="Q150" s="78">
        <f t="shared" si="24"/>
        <v>195</v>
      </c>
      <c r="R150" s="79">
        <v>46167</v>
      </c>
      <c r="S150" s="79">
        <f t="shared" si="17"/>
        <v>46361</v>
      </c>
      <c r="T150" s="80">
        <v>171960</v>
      </c>
      <c r="U150" s="80">
        <f t="shared" si="18"/>
        <v>17196</v>
      </c>
      <c r="V150" s="80">
        <f t="shared" si="19"/>
        <v>189156</v>
      </c>
      <c r="W150" s="78"/>
      <c r="X150" s="79">
        <f t="shared" si="20"/>
        <v>46167</v>
      </c>
      <c r="Y150" s="79" t="str">
        <f t="shared" si="21"/>
        <v/>
      </c>
      <c r="Z150" s="80"/>
      <c r="AA150" s="80">
        <f t="shared" si="22"/>
        <v>0</v>
      </c>
      <c r="AB150" s="80">
        <f t="shared" si="23"/>
        <v>0</v>
      </c>
      <c r="AC150" s="80"/>
      <c r="AD150" s="80"/>
      <c r="AE150" s="80"/>
      <c r="AF150" s="80"/>
      <c r="AG150" s="80"/>
      <c r="AH150" s="80"/>
      <c r="AI150" s="80">
        <v>6790.21</v>
      </c>
      <c r="AJ150" s="80">
        <v>6790.21</v>
      </c>
      <c r="AK150" s="80"/>
      <c r="AL150" s="80">
        <v>29100.92</v>
      </c>
      <c r="AM150" s="80">
        <v>29100.92</v>
      </c>
      <c r="AN150" s="80"/>
      <c r="AO150" s="80">
        <v>30070.95</v>
      </c>
      <c r="AP150" s="80">
        <v>30070.95</v>
      </c>
      <c r="AQ150" s="80"/>
      <c r="AR150" s="80"/>
      <c r="AS150" s="80"/>
      <c r="AT150" s="80"/>
      <c r="AU150" s="80"/>
      <c r="AV150" s="80"/>
      <c r="AW150" s="80"/>
      <c r="AX150" s="80"/>
      <c r="AY150" s="80"/>
      <c r="AZ150" s="80"/>
      <c r="BA150" s="80"/>
      <c r="BB150" s="80"/>
      <c r="BC150" s="80"/>
      <c r="BD150" s="80"/>
      <c r="BE150" s="80"/>
      <c r="BF150" s="80"/>
    </row>
    <row r="151" spans="1:58" ht="40.049999999999997" customHeight="1" x14ac:dyDescent="0.25">
      <c r="A151" s="91">
        <v>150</v>
      </c>
      <c r="B151" s="92">
        <v>175</v>
      </c>
      <c r="C151" s="93" t="s">
        <v>258</v>
      </c>
      <c r="D151" s="94" t="s">
        <v>679</v>
      </c>
      <c r="E151" s="94" t="s">
        <v>712</v>
      </c>
      <c r="F151" s="94" t="s">
        <v>716</v>
      </c>
      <c r="G151" s="94" t="s">
        <v>717</v>
      </c>
      <c r="H151" s="95">
        <v>23.2</v>
      </c>
      <c r="I151" s="93" t="s">
        <v>46</v>
      </c>
      <c r="J151" s="96">
        <v>805.44</v>
      </c>
      <c r="K151" s="93">
        <v>202</v>
      </c>
      <c r="L151" s="97">
        <v>125820</v>
      </c>
      <c r="M151" s="97">
        <v>12582</v>
      </c>
      <c r="N151" s="97">
        <v>138402</v>
      </c>
      <c r="O151" s="77" t="s">
        <v>718</v>
      </c>
      <c r="P151" s="77" t="s">
        <v>719</v>
      </c>
      <c r="Q151" s="78">
        <f t="shared" si="24"/>
        <v>202</v>
      </c>
      <c r="R151" s="79">
        <v>46181</v>
      </c>
      <c r="S151" s="79">
        <f t="shared" si="17"/>
        <v>46382</v>
      </c>
      <c r="T151" s="80">
        <v>125820</v>
      </c>
      <c r="U151" s="80">
        <f t="shared" si="18"/>
        <v>12582</v>
      </c>
      <c r="V151" s="80">
        <f t="shared" si="19"/>
        <v>138402</v>
      </c>
      <c r="W151" s="78"/>
      <c r="X151" s="79">
        <f t="shared" si="20"/>
        <v>46181</v>
      </c>
      <c r="Y151" s="79" t="str">
        <f t="shared" si="21"/>
        <v/>
      </c>
      <c r="Z151" s="80"/>
      <c r="AA151" s="80">
        <f t="shared" si="22"/>
        <v>0</v>
      </c>
      <c r="AB151" s="80">
        <f t="shared" si="23"/>
        <v>0</v>
      </c>
      <c r="AC151" s="80"/>
      <c r="AD151" s="80"/>
      <c r="AE151" s="80"/>
      <c r="AF151" s="80"/>
      <c r="AG151" s="80"/>
      <c r="AH151" s="80"/>
      <c r="AI151" s="80">
        <v>0</v>
      </c>
      <c r="AJ151" s="80">
        <v>0</v>
      </c>
      <c r="AK151" s="80"/>
      <c r="AL151" s="80">
        <v>15758.64</v>
      </c>
      <c r="AM151" s="80">
        <v>15758.64</v>
      </c>
      <c r="AN151" s="80"/>
      <c r="AO151" s="80">
        <v>21239.91</v>
      </c>
      <c r="AP151" s="80">
        <v>21239.91</v>
      </c>
      <c r="AQ151" s="80"/>
      <c r="AR151" s="80"/>
      <c r="AS151" s="80"/>
      <c r="AT151" s="80"/>
      <c r="AU151" s="80"/>
      <c r="AV151" s="80"/>
      <c r="AW151" s="80"/>
      <c r="AX151" s="80"/>
      <c r="AY151" s="80"/>
      <c r="AZ151" s="80"/>
      <c r="BA151" s="80"/>
      <c r="BB151" s="80"/>
      <c r="BC151" s="80"/>
      <c r="BD151" s="80"/>
      <c r="BE151" s="80"/>
      <c r="BF151" s="80"/>
    </row>
    <row r="152" spans="1:58" ht="40.049999999999997" customHeight="1" x14ac:dyDescent="0.25">
      <c r="A152" s="91">
        <v>151</v>
      </c>
      <c r="B152" s="92">
        <v>175</v>
      </c>
      <c r="C152" s="93" t="s">
        <v>258</v>
      </c>
      <c r="D152" s="94" t="s">
        <v>679</v>
      </c>
      <c r="E152" s="94" t="s">
        <v>720</v>
      </c>
      <c r="F152" s="94" t="s">
        <v>721</v>
      </c>
      <c r="G152" s="94" t="s">
        <v>722</v>
      </c>
      <c r="H152" s="95">
        <v>33.517000000000003</v>
      </c>
      <c r="I152" s="93" t="s">
        <v>46</v>
      </c>
      <c r="J152" s="96">
        <v>797.62</v>
      </c>
      <c r="K152" s="93">
        <v>195</v>
      </c>
      <c r="L152" s="97">
        <v>173770</v>
      </c>
      <c r="M152" s="97">
        <v>17377</v>
      </c>
      <c r="N152" s="97">
        <v>191147</v>
      </c>
      <c r="O152" s="77" t="s">
        <v>723</v>
      </c>
      <c r="P152" s="77" t="s">
        <v>724</v>
      </c>
      <c r="Q152" s="78">
        <f t="shared" si="24"/>
        <v>195</v>
      </c>
      <c r="R152" s="79">
        <v>46167</v>
      </c>
      <c r="S152" s="79">
        <f t="shared" si="17"/>
        <v>46361</v>
      </c>
      <c r="T152" s="80">
        <v>173770</v>
      </c>
      <c r="U152" s="80">
        <f t="shared" si="18"/>
        <v>17377</v>
      </c>
      <c r="V152" s="80">
        <f t="shared" si="19"/>
        <v>191147</v>
      </c>
      <c r="W152" s="78"/>
      <c r="X152" s="79">
        <f t="shared" si="20"/>
        <v>46167</v>
      </c>
      <c r="Y152" s="79" t="str">
        <f t="shared" si="21"/>
        <v/>
      </c>
      <c r="Z152" s="80"/>
      <c r="AA152" s="80">
        <f t="shared" si="22"/>
        <v>0</v>
      </c>
      <c r="AB152" s="80">
        <f t="shared" si="23"/>
        <v>0</v>
      </c>
      <c r="AC152" s="80"/>
      <c r="AD152" s="80"/>
      <c r="AE152" s="80"/>
      <c r="AF152" s="80"/>
      <c r="AG152" s="80"/>
      <c r="AH152" s="80"/>
      <c r="AI152" s="80">
        <v>6861.69</v>
      </c>
      <c r="AJ152" s="80">
        <v>6861.69</v>
      </c>
      <c r="AK152" s="80"/>
      <c r="AL152" s="80">
        <v>29407.24</v>
      </c>
      <c r="AM152" s="80">
        <v>29407.24</v>
      </c>
      <c r="AN152" s="80"/>
      <c r="AO152" s="80">
        <v>30387.47</v>
      </c>
      <c r="AP152" s="80">
        <v>30387.47</v>
      </c>
      <c r="AQ152" s="80"/>
      <c r="AR152" s="80"/>
      <c r="AS152" s="80"/>
      <c r="AT152" s="80"/>
      <c r="AU152" s="80"/>
      <c r="AV152" s="80"/>
      <c r="AW152" s="80"/>
      <c r="AX152" s="80"/>
      <c r="AY152" s="80"/>
      <c r="AZ152" s="80"/>
      <c r="BA152" s="80"/>
      <c r="BB152" s="80"/>
      <c r="BC152" s="80"/>
      <c r="BD152" s="80"/>
      <c r="BE152" s="80"/>
      <c r="BF152" s="80"/>
    </row>
    <row r="153" spans="1:58" ht="40.049999999999997" customHeight="1" thickBot="1" x14ac:dyDescent="0.3">
      <c r="A153" s="148">
        <v>152</v>
      </c>
      <c r="B153" s="149">
        <v>175</v>
      </c>
      <c r="C153" s="150" t="s">
        <v>258</v>
      </c>
      <c r="D153" s="151" t="s">
        <v>679</v>
      </c>
      <c r="E153" s="151" t="s">
        <v>725</v>
      </c>
      <c r="F153" s="151" t="s">
        <v>726</v>
      </c>
      <c r="G153" s="151" t="s">
        <v>727</v>
      </c>
      <c r="H153" s="152">
        <v>16.5</v>
      </c>
      <c r="I153" s="150" t="s">
        <v>46</v>
      </c>
      <c r="J153" s="153">
        <v>816.02</v>
      </c>
      <c r="K153" s="150">
        <v>200</v>
      </c>
      <c r="L153" s="154">
        <v>89762</v>
      </c>
      <c r="M153" s="154">
        <v>8976</v>
      </c>
      <c r="N153" s="154">
        <v>98738</v>
      </c>
      <c r="O153" s="137" t="s">
        <v>728</v>
      </c>
      <c r="P153" s="137" t="s">
        <v>729</v>
      </c>
      <c r="Q153" s="138">
        <f t="shared" si="24"/>
        <v>200</v>
      </c>
      <c r="R153" s="139">
        <v>46167</v>
      </c>
      <c r="S153" s="139">
        <f t="shared" si="17"/>
        <v>46366</v>
      </c>
      <c r="T153" s="140">
        <v>89762</v>
      </c>
      <c r="U153" s="140">
        <f t="shared" si="18"/>
        <v>8976.2000000000007</v>
      </c>
      <c r="V153" s="140">
        <f t="shared" si="19"/>
        <v>98738.2</v>
      </c>
      <c r="W153" s="138"/>
      <c r="X153" s="139">
        <f t="shared" si="20"/>
        <v>46167</v>
      </c>
      <c r="Y153" s="139" t="str">
        <f t="shared" si="21"/>
        <v/>
      </c>
      <c r="Z153" s="140"/>
      <c r="AA153" s="140">
        <f t="shared" si="22"/>
        <v>0</v>
      </c>
      <c r="AB153" s="140">
        <f t="shared" si="23"/>
        <v>0</v>
      </c>
      <c r="AC153" s="140"/>
      <c r="AD153" s="140"/>
      <c r="AE153" s="140"/>
      <c r="AF153" s="140"/>
      <c r="AG153" s="140"/>
      <c r="AH153" s="140"/>
      <c r="AI153" s="140">
        <v>3455.84</v>
      </c>
      <c r="AJ153" s="140">
        <v>3455.84</v>
      </c>
      <c r="AK153" s="140"/>
      <c r="AL153" s="140">
        <v>14810.73</v>
      </c>
      <c r="AM153" s="140">
        <v>14810.73</v>
      </c>
      <c r="AN153" s="140"/>
      <c r="AO153" s="140">
        <v>15304.42</v>
      </c>
      <c r="AP153" s="140">
        <v>15304.42</v>
      </c>
      <c r="AQ153" s="140"/>
      <c r="AR153" s="140"/>
      <c r="AS153" s="140"/>
      <c r="AT153" s="140"/>
      <c r="AU153" s="140"/>
      <c r="AV153" s="140"/>
      <c r="AW153" s="140"/>
      <c r="AX153" s="140"/>
      <c r="AY153" s="140"/>
      <c r="AZ153" s="140"/>
      <c r="BA153" s="140"/>
      <c r="BB153" s="140"/>
      <c r="BC153" s="140"/>
      <c r="BD153" s="140"/>
      <c r="BE153" s="140"/>
      <c r="BF153" s="140"/>
    </row>
    <row r="154" spans="1:58" ht="40.049999999999997" customHeight="1" thickTop="1" x14ac:dyDescent="0.25">
      <c r="A154" s="141">
        <v>153</v>
      </c>
      <c r="B154" s="142">
        <v>107</v>
      </c>
      <c r="C154" s="143" t="s">
        <v>258</v>
      </c>
      <c r="D154" s="144" t="s">
        <v>730</v>
      </c>
      <c r="E154" s="144" t="s">
        <v>731</v>
      </c>
      <c r="F154" s="144" t="s">
        <v>732</v>
      </c>
      <c r="G154" s="144" t="s">
        <v>733</v>
      </c>
      <c r="H154" s="145">
        <v>43.841999999999999</v>
      </c>
      <c r="I154" s="143" t="s">
        <v>46</v>
      </c>
      <c r="J154" s="146">
        <v>810</v>
      </c>
      <c r="K154" s="143">
        <v>240</v>
      </c>
      <c r="L154" s="147">
        <v>284097</v>
      </c>
      <c r="M154" s="147">
        <v>28409</v>
      </c>
      <c r="N154" s="147">
        <v>312506</v>
      </c>
      <c r="O154" s="126" t="s">
        <v>734</v>
      </c>
      <c r="P154" s="126" t="s">
        <v>735</v>
      </c>
      <c r="Q154" s="127">
        <f t="shared" si="24"/>
        <v>240</v>
      </c>
      <c r="R154" s="128">
        <v>46113</v>
      </c>
      <c r="S154" s="128">
        <f t="shared" si="17"/>
        <v>46352</v>
      </c>
      <c r="T154" s="129">
        <v>269892.15000000002</v>
      </c>
      <c r="U154" s="129">
        <f t="shared" si="18"/>
        <v>26989.22</v>
      </c>
      <c r="V154" s="129">
        <f t="shared" si="19"/>
        <v>296881.37</v>
      </c>
      <c r="W154" s="127"/>
      <c r="X154" s="128">
        <f t="shared" si="20"/>
        <v>46113</v>
      </c>
      <c r="Y154" s="128" t="str">
        <f t="shared" si="21"/>
        <v/>
      </c>
      <c r="Z154" s="129"/>
      <c r="AA154" s="129">
        <f t="shared" si="22"/>
        <v>0</v>
      </c>
      <c r="AB154" s="129">
        <f t="shared" si="23"/>
        <v>0</v>
      </c>
      <c r="AC154" s="129"/>
      <c r="AD154" s="129"/>
      <c r="AE154" s="129"/>
      <c r="AF154" s="129">
        <v>37110.17</v>
      </c>
      <c r="AG154" s="129">
        <v>37110.17</v>
      </c>
      <c r="AH154" s="129"/>
      <c r="AI154" s="129">
        <v>38347.17</v>
      </c>
      <c r="AJ154" s="129">
        <v>38347.17</v>
      </c>
      <c r="AK154" s="129">
        <v>313661.03999999998</v>
      </c>
      <c r="AL154" s="129">
        <v>37110.17</v>
      </c>
      <c r="AM154" s="129">
        <v>37110.17</v>
      </c>
      <c r="AN154" s="129"/>
      <c r="AO154" s="129">
        <v>38347.17</v>
      </c>
      <c r="AP154" s="129">
        <v>38347.17</v>
      </c>
      <c r="AQ154" s="129">
        <v>718359.64</v>
      </c>
      <c r="AR154" s="129">
        <v>38347.17</v>
      </c>
      <c r="AS154" s="129">
        <v>38347.17</v>
      </c>
      <c r="AT154" s="129">
        <v>365067.98</v>
      </c>
      <c r="AU154" s="129"/>
      <c r="AV154" s="129"/>
      <c r="AW154" s="129">
        <v>365067.98</v>
      </c>
      <c r="AX154" s="129"/>
      <c r="AY154" s="129"/>
      <c r="AZ154" s="129"/>
      <c r="BA154" s="129"/>
      <c r="BB154" s="129"/>
      <c r="BC154" s="129"/>
      <c r="BD154" s="129"/>
      <c r="BE154" s="129"/>
      <c r="BF154" s="129"/>
    </row>
    <row r="155" spans="1:58" ht="40.049999999999997" customHeight="1" x14ac:dyDescent="0.25">
      <c r="A155" s="98">
        <v>154</v>
      </c>
      <c r="B155" s="99">
        <v>107</v>
      </c>
      <c r="C155" s="100" t="s">
        <v>258</v>
      </c>
      <c r="D155" s="101" t="s">
        <v>730</v>
      </c>
      <c r="E155" s="101" t="s">
        <v>742</v>
      </c>
      <c r="F155" s="101" t="s">
        <v>743</v>
      </c>
      <c r="G155" s="101" t="s">
        <v>744</v>
      </c>
      <c r="H155" s="102">
        <v>34.35</v>
      </c>
      <c r="I155" s="100" t="s">
        <v>46</v>
      </c>
      <c r="J155" s="103">
        <v>804</v>
      </c>
      <c r="K155" s="100">
        <v>240</v>
      </c>
      <c r="L155" s="104">
        <v>220940</v>
      </c>
      <c r="M155" s="104">
        <v>22094</v>
      </c>
      <c r="N155" s="104">
        <v>243034</v>
      </c>
      <c r="O155" s="77" t="s">
        <v>745</v>
      </c>
      <c r="P155" s="77" t="s">
        <v>746</v>
      </c>
      <c r="Q155" s="78">
        <f t="shared" si="24"/>
        <v>240</v>
      </c>
      <c r="R155" s="79">
        <v>46141</v>
      </c>
      <c r="S155" s="79">
        <f t="shared" si="17"/>
        <v>46380</v>
      </c>
      <c r="T155" s="80">
        <v>209893</v>
      </c>
      <c r="U155" s="80">
        <f t="shared" si="18"/>
        <v>20989.3</v>
      </c>
      <c r="V155" s="80">
        <f t="shared" si="19"/>
        <v>230882.3</v>
      </c>
      <c r="W155" s="78">
        <v>225</v>
      </c>
      <c r="X155" s="79">
        <f t="shared" si="20"/>
        <v>46141</v>
      </c>
      <c r="Y155" s="79">
        <f t="shared" si="21"/>
        <v>46365</v>
      </c>
      <c r="Z155" s="80">
        <v>196774</v>
      </c>
      <c r="AA155" s="80">
        <f t="shared" si="22"/>
        <v>19677.400000000001</v>
      </c>
      <c r="AB155" s="80">
        <f t="shared" si="23"/>
        <v>216451.4</v>
      </c>
      <c r="AC155" s="80"/>
      <c r="AD155" s="80"/>
      <c r="AE155" s="80"/>
      <c r="AF155" s="80">
        <v>1924.01</v>
      </c>
      <c r="AG155" s="80">
        <v>1924.01</v>
      </c>
      <c r="AH155" s="80"/>
      <c r="AI155" s="80">
        <v>29822.18</v>
      </c>
      <c r="AJ155" s="80">
        <v>29822.18</v>
      </c>
      <c r="AK155" s="80"/>
      <c r="AL155" s="80">
        <v>28860.18</v>
      </c>
      <c r="AM155" s="80">
        <v>28860.18</v>
      </c>
      <c r="AN155" s="80"/>
      <c r="AO155" s="80">
        <v>29822.18</v>
      </c>
      <c r="AP155" s="80">
        <v>29822.18</v>
      </c>
      <c r="AQ155" s="80"/>
      <c r="AR155" s="80">
        <v>29822.18</v>
      </c>
      <c r="AS155" s="80">
        <v>29822.18</v>
      </c>
      <c r="AT155" s="80"/>
      <c r="AU155" s="80"/>
      <c r="AV155" s="80"/>
      <c r="AW155" s="80"/>
      <c r="AX155" s="80"/>
      <c r="AY155" s="80"/>
      <c r="AZ155" s="80"/>
      <c r="BA155" s="80"/>
      <c r="BB155" s="80"/>
      <c r="BC155" s="80"/>
      <c r="BD155" s="80"/>
      <c r="BE155" s="80"/>
      <c r="BF155" s="80"/>
    </row>
    <row r="156" spans="1:58" ht="40.049999999999997" customHeight="1" x14ac:dyDescent="0.25">
      <c r="A156" s="98">
        <v>155</v>
      </c>
      <c r="B156" s="99">
        <v>107</v>
      </c>
      <c r="C156" s="100" t="s">
        <v>258</v>
      </c>
      <c r="D156" s="101" t="s">
        <v>730</v>
      </c>
      <c r="E156" s="101" t="s">
        <v>747</v>
      </c>
      <c r="F156" s="101" t="s">
        <v>748</v>
      </c>
      <c r="G156" s="101" t="s">
        <v>749</v>
      </c>
      <c r="H156" s="102">
        <v>32.380000000000003</v>
      </c>
      <c r="I156" s="100" t="s">
        <v>46</v>
      </c>
      <c r="J156" s="103">
        <v>851</v>
      </c>
      <c r="K156" s="100">
        <v>240</v>
      </c>
      <c r="L156" s="104">
        <v>220444</v>
      </c>
      <c r="M156" s="104">
        <v>22044</v>
      </c>
      <c r="N156" s="104">
        <v>242488</v>
      </c>
      <c r="O156" s="77" t="s">
        <v>750</v>
      </c>
      <c r="P156" s="77" t="s">
        <v>751</v>
      </c>
      <c r="Q156" s="78">
        <f t="shared" si="24"/>
        <v>240</v>
      </c>
      <c r="R156" s="79">
        <v>46118</v>
      </c>
      <c r="S156" s="79">
        <f t="shared" si="17"/>
        <v>46357</v>
      </c>
      <c r="T156" s="80">
        <v>209421.8</v>
      </c>
      <c r="U156" s="80">
        <f t="shared" si="18"/>
        <v>20942.18</v>
      </c>
      <c r="V156" s="80">
        <f t="shared" si="19"/>
        <v>230363.97999999998</v>
      </c>
      <c r="W156" s="78"/>
      <c r="X156" s="79">
        <f t="shared" si="20"/>
        <v>46118</v>
      </c>
      <c r="Y156" s="79" t="str">
        <f t="shared" si="21"/>
        <v/>
      </c>
      <c r="Z156" s="80"/>
      <c r="AA156" s="80">
        <f t="shared" si="22"/>
        <v>0</v>
      </c>
      <c r="AB156" s="80">
        <f t="shared" si="23"/>
        <v>0</v>
      </c>
      <c r="AC156" s="80"/>
      <c r="AD156" s="80"/>
      <c r="AE156" s="80"/>
      <c r="AF156" s="80">
        <v>23996.240000000002</v>
      </c>
      <c r="AG156" s="80">
        <v>23996.240000000002</v>
      </c>
      <c r="AH156" s="80"/>
      <c r="AI156" s="80">
        <v>29755.35</v>
      </c>
      <c r="AJ156" s="80">
        <v>29755.35</v>
      </c>
      <c r="AK156" s="80"/>
      <c r="AL156" s="80">
        <v>28795.5</v>
      </c>
      <c r="AM156" s="80">
        <v>28795.5</v>
      </c>
      <c r="AN156" s="80"/>
      <c r="AO156" s="80">
        <v>29755.35</v>
      </c>
      <c r="AP156" s="80">
        <v>29755.35</v>
      </c>
      <c r="AQ156" s="80"/>
      <c r="AR156" s="80">
        <v>29755.35</v>
      </c>
      <c r="AS156" s="80">
        <v>29755.35</v>
      </c>
      <c r="AT156" s="80"/>
      <c r="AU156" s="80"/>
      <c r="AV156" s="80"/>
      <c r="AW156" s="80"/>
      <c r="AX156" s="80"/>
      <c r="AY156" s="80"/>
      <c r="AZ156" s="80"/>
      <c r="BA156" s="80"/>
      <c r="BB156" s="80"/>
      <c r="BC156" s="80"/>
      <c r="BD156" s="80"/>
      <c r="BE156" s="80"/>
      <c r="BF156" s="80"/>
    </row>
    <row r="157" spans="1:58" ht="40.049999999999997" customHeight="1" x14ac:dyDescent="0.25">
      <c r="A157" s="98">
        <v>156</v>
      </c>
      <c r="B157" s="99">
        <v>107</v>
      </c>
      <c r="C157" s="100" t="s">
        <v>258</v>
      </c>
      <c r="D157" s="101" t="s">
        <v>730</v>
      </c>
      <c r="E157" s="101" t="s">
        <v>752</v>
      </c>
      <c r="F157" s="101" t="s">
        <v>753</v>
      </c>
      <c r="G157" s="101" t="s">
        <v>754</v>
      </c>
      <c r="H157" s="102">
        <v>31.3</v>
      </c>
      <c r="I157" s="100" t="s">
        <v>46</v>
      </c>
      <c r="J157" s="103">
        <v>940</v>
      </c>
      <c r="K157" s="100">
        <v>240</v>
      </c>
      <c r="L157" s="104">
        <v>235376</v>
      </c>
      <c r="M157" s="104">
        <v>23537</v>
      </c>
      <c r="N157" s="104">
        <v>258913</v>
      </c>
      <c r="O157" s="77" t="s">
        <v>755</v>
      </c>
      <c r="P157" s="77" t="s">
        <v>756</v>
      </c>
      <c r="Q157" s="78">
        <f t="shared" si="24"/>
        <v>240</v>
      </c>
      <c r="R157" s="79">
        <v>46113</v>
      </c>
      <c r="S157" s="79">
        <f t="shared" si="17"/>
        <v>46352</v>
      </c>
      <c r="T157" s="80">
        <v>223607.2</v>
      </c>
      <c r="U157" s="80">
        <f t="shared" si="18"/>
        <v>22360.720000000001</v>
      </c>
      <c r="V157" s="80">
        <f t="shared" si="19"/>
        <v>245967.92</v>
      </c>
      <c r="W157" s="78"/>
      <c r="X157" s="79">
        <f t="shared" si="20"/>
        <v>46113</v>
      </c>
      <c r="Y157" s="79" t="str">
        <f t="shared" si="21"/>
        <v/>
      </c>
      <c r="Z157" s="80"/>
      <c r="AA157" s="80">
        <f t="shared" si="22"/>
        <v>0</v>
      </c>
      <c r="AB157" s="80">
        <f t="shared" si="23"/>
        <v>0</v>
      </c>
      <c r="AC157" s="80"/>
      <c r="AD157" s="80"/>
      <c r="AE157" s="80"/>
      <c r="AF157" s="80">
        <v>30745.99</v>
      </c>
      <c r="AG157" s="80">
        <v>30745.99</v>
      </c>
      <c r="AH157" s="80"/>
      <c r="AI157" s="80">
        <v>31770.86</v>
      </c>
      <c r="AJ157" s="80">
        <v>31770.86</v>
      </c>
      <c r="AK157" s="80"/>
      <c r="AL157" s="80">
        <v>30745.99</v>
      </c>
      <c r="AM157" s="80">
        <v>30745.99</v>
      </c>
      <c r="AN157" s="80"/>
      <c r="AO157" s="80">
        <v>31770.86</v>
      </c>
      <c r="AP157" s="80">
        <v>31770.86</v>
      </c>
      <c r="AQ157" s="80"/>
      <c r="AR157" s="80">
        <v>31770.86</v>
      </c>
      <c r="AS157" s="80">
        <v>31770.86</v>
      </c>
      <c r="AT157" s="80"/>
      <c r="AU157" s="80"/>
      <c r="AV157" s="80"/>
      <c r="AW157" s="80"/>
      <c r="AX157" s="80"/>
      <c r="AY157" s="80"/>
      <c r="AZ157" s="80"/>
      <c r="BA157" s="80"/>
      <c r="BB157" s="80"/>
      <c r="BC157" s="80"/>
      <c r="BD157" s="80"/>
      <c r="BE157" s="80"/>
      <c r="BF157" s="80"/>
    </row>
    <row r="158" spans="1:58" ht="40.049999999999997" customHeight="1" x14ac:dyDescent="0.25">
      <c r="A158" s="98">
        <v>157</v>
      </c>
      <c r="B158" s="99">
        <v>107</v>
      </c>
      <c r="C158" s="100" t="s">
        <v>258</v>
      </c>
      <c r="D158" s="101" t="s">
        <v>730</v>
      </c>
      <c r="E158" s="101" t="s">
        <v>757</v>
      </c>
      <c r="F158" s="101" t="s">
        <v>758</v>
      </c>
      <c r="G158" s="101" t="s">
        <v>759</v>
      </c>
      <c r="H158" s="102">
        <v>22.37</v>
      </c>
      <c r="I158" s="100" t="s">
        <v>46</v>
      </c>
      <c r="J158" s="103">
        <v>786</v>
      </c>
      <c r="K158" s="100">
        <v>240</v>
      </c>
      <c r="L158" s="104">
        <v>140663</v>
      </c>
      <c r="M158" s="104">
        <v>14066</v>
      </c>
      <c r="N158" s="104">
        <v>154729</v>
      </c>
      <c r="O158" s="77" t="s">
        <v>760</v>
      </c>
      <c r="P158" s="77" t="s">
        <v>761</v>
      </c>
      <c r="Q158" s="78">
        <f t="shared" si="24"/>
        <v>240</v>
      </c>
      <c r="R158" s="79">
        <v>46113</v>
      </c>
      <c r="S158" s="79">
        <f t="shared" si="17"/>
        <v>46352</v>
      </c>
      <c r="T158" s="80">
        <v>133629.85</v>
      </c>
      <c r="U158" s="80">
        <f t="shared" si="18"/>
        <v>13362.99</v>
      </c>
      <c r="V158" s="80">
        <f t="shared" si="19"/>
        <v>146992.84</v>
      </c>
      <c r="W158" s="78"/>
      <c r="X158" s="79">
        <f t="shared" si="20"/>
        <v>46113</v>
      </c>
      <c r="Y158" s="79" t="str">
        <f t="shared" si="21"/>
        <v/>
      </c>
      <c r="Z158" s="80"/>
      <c r="AA158" s="80">
        <f t="shared" si="22"/>
        <v>0</v>
      </c>
      <c r="AB158" s="80">
        <f t="shared" si="23"/>
        <v>0</v>
      </c>
      <c r="AC158" s="80"/>
      <c r="AD158" s="80"/>
      <c r="AE158" s="80"/>
      <c r="AF158" s="80">
        <v>18374.099999999999</v>
      </c>
      <c r="AG158" s="80">
        <v>18374.099999999999</v>
      </c>
      <c r="AH158" s="80"/>
      <c r="AI158" s="80">
        <v>18986.57</v>
      </c>
      <c r="AJ158" s="80">
        <v>18986.57</v>
      </c>
      <c r="AK158" s="80"/>
      <c r="AL158" s="80">
        <v>18374.099999999999</v>
      </c>
      <c r="AM158" s="80">
        <v>18374.099999999999</v>
      </c>
      <c r="AN158" s="80"/>
      <c r="AO158" s="80">
        <v>18986.57</v>
      </c>
      <c r="AP158" s="80">
        <v>18986.57</v>
      </c>
      <c r="AQ158" s="80"/>
      <c r="AR158" s="80">
        <v>18986.57</v>
      </c>
      <c r="AS158" s="80">
        <v>18986.57</v>
      </c>
      <c r="AT158" s="80"/>
      <c r="AU158" s="80"/>
      <c r="AV158" s="80"/>
      <c r="AW158" s="80"/>
      <c r="AX158" s="80"/>
      <c r="AY158" s="80"/>
      <c r="AZ158" s="80"/>
      <c r="BA158" s="80"/>
      <c r="BB158" s="80"/>
      <c r="BC158" s="80"/>
      <c r="BD158" s="80"/>
      <c r="BE158" s="80"/>
      <c r="BF158" s="80"/>
    </row>
    <row r="159" spans="1:58" ht="40.049999999999997" customHeight="1" x14ac:dyDescent="0.25">
      <c r="A159" s="98">
        <v>158</v>
      </c>
      <c r="B159" s="99">
        <v>107</v>
      </c>
      <c r="C159" s="100" t="s">
        <v>258</v>
      </c>
      <c r="D159" s="101" t="s">
        <v>730</v>
      </c>
      <c r="E159" s="101" t="s">
        <v>762</v>
      </c>
      <c r="F159" s="101" t="s">
        <v>763</v>
      </c>
      <c r="G159" s="101" t="s">
        <v>764</v>
      </c>
      <c r="H159" s="102">
        <v>20.49</v>
      </c>
      <c r="I159" s="100" t="s">
        <v>46</v>
      </c>
      <c r="J159" s="103">
        <v>821</v>
      </c>
      <c r="K159" s="100">
        <v>240</v>
      </c>
      <c r="L159" s="104">
        <v>134579</v>
      </c>
      <c r="M159" s="104">
        <v>13457</v>
      </c>
      <c r="N159" s="104">
        <v>148036</v>
      </c>
      <c r="O159" s="77" t="s">
        <v>765</v>
      </c>
      <c r="P159" s="77" t="s">
        <v>766</v>
      </c>
      <c r="Q159" s="78">
        <f t="shared" si="24"/>
        <v>240</v>
      </c>
      <c r="R159" s="79">
        <v>46113</v>
      </c>
      <c r="S159" s="79">
        <f t="shared" si="17"/>
        <v>46352</v>
      </c>
      <c r="T159" s="80">
        <v>127850.06</v>
      </c>
      <c r="U159" s="80">
        <f t="shared" si="18"/>
        <v>12785.01</v>
      </c>
      <c r="V159" s="80">
        <f t="shared" si="19"/>
        <v>140635.07</v>
      </c>
      <c r="W159" s="78"/>
      <c r="X159" s="79">
        <f t="shared" si="20"/>
        <v>46113</v>
      </c>
      <c r="Y159" s="79" t="str">
        <f t="shared" si="21"/>
        <v/>
      </c>
      <c r="Z159" s="80"/>
      <c r="AA159" s="80">
        <f t="shared" si="22"/>
        <v>0</v>
      </c>
      <c r="AB159" s="80">
        <f t="shared" si="23"/>
        <v>0</v>
      </c>
      <c r="AC159" s="80"/>
      <c r="AD159" s="80"/>
      <c r="AE159" s="80"/>
      <c r="AF159" s="80">
        <v>17579.38</v>
      </c>
      <c r="AG159" s="80">
        <v>17579.38</v>
      </c>
      <c r="AH159" s="80"/>
      <c r="AI159" s="80">
        <v>18165.36</v>
      </c>
      <c r="AJ159" s="80">
        <v>18165.36</v>
      </c>
      <c r="AK159" s="80"/>
      <c r="AL159" s="80">
        <v>17579.38</v>
      </c>
      <c r="AM159" s="80">
        <v>17579.38</v>
      </c>
      <c r="AN159" s="80"/>
      <c r="AO159" s="80">
        <v>18165.36</v>
      </c>
      <c r="AP159" s="80">
        <v>18165.36</v>
      </c>
      <c r="AQ159" s="80"/>
      <c r="AR159" s="80">
        <v>18165.36</v>
      </c>
      <c r="AS159" s="80">
        <v>18165.36</v>
      </c>
      <c r="AT159" s="80"/>
      <c r="AU159" s="80"/>
      <c r="AV159" s="80"/>
      <c r="AW159" s="80"/>
      <c r="AX159" s="80"/>
      <c r="AY159" s="80"/>
      <c r="AZ159" s="80"/>
      <c r="BA159" s="80"/>
      <c r="BB159" s="80"/>
      <c r="BC159" s="80"/>
      <c r="BD159" s="80"/>
      <c r="BE159" s="80"/>
      <c r="BF159" s="80"/>
    </row>
    <row r="160" spans="1:58" ht="40.049999999999997" customHeight="1" x14ac:dyDescent="0.25">
      <c r="A160" s="98">
        <v>159</v>
      </c>
      <c r="B160" s="99">
        <v>107</v>
      </c>
      <c r="C160" s="100" t="s">
        <v>258</v>
      </c>
      <c r="D160" s="101" t="s">
        <v>730</v>
      </c>
      <c r="E160" s="101" t="s">
        <v>767</v>
      </c>
      <c r="F160" s="101" t="s">
        <v>768</v>
      </c>
      <c r="G160" s="101" t="s">
        <v>769</v>
      </c>
      <c r="H160" s="102">
        <v>19.57</v>
      </c>
      <c r="I160" s="100" t="s">
        <v>46</v>
      </c>
      <c r="J160" s="103">
        <v>796</v>
      </c>
      <c r="K160" s="100">
        <v>240</v>
      </c>
      <c r="L160" s="104">
        <v>124622</v>
      </c>
      <c r="M160" s="104">
        <v>12462</v>
      </c>
      <c r="N160" s="104">
        <v>137084</v>
      </c>
      <c r="O160" s="77" t="s">
        <v>770</v>
      </c>
      <c r="P160" s="77" t="s">
        <v>771</v>
      </c>
      <c r="Q160" s="78">
        <f t="shared" si="24"/>
        <v>240</v>
      </c>
      <c r="R160" s="79">
        <v>46113</v>
      </c>
      <c r="S160" s="79">
        <f t="shared" si="17"/>
        <v>46352</v>
      </c>
      <c r="T160" s="80">
        <v>118390.9</v>
      </c>
      <c r="U160" s="80">
        <f t="shared" si="18"/>
        <v>11839.09</v>
      </c>
      <c r="V160" s="80">
        <f t="shared" si="19"/>
        <v>130229.98999999999</v>
      </c>
      <c r="W160" s="78"/>
      <c r="X160" s="79">
        <f t="shared" si="20"/>
        <v>46113</v>
      </c>
      <c r="Y160" s="79" t="str">
        <f t="shared" si="21"/>
        <v/>
      </c>
      <c r="Z160" s="80"/>
      <c r="AA160" s="80">
        <f t="shared" si="22"/>
        <v>0</v>
      </c>
      <c r="AB160" s="80">
        <f t="shared" si="23"/>
        <v>0</v>
      </c>
      <c r="AC160" s="80"/>
      <c r="AD160" s="80"/>
      <c r="AE160" s="80"/>
      <c r="AF160" s="80">
        <v>16278.74</v>
      </c>
      <c r="AG160" s="80">
        <v>16278.74</v>
      </c>
      <c r="AH160" s="80"/>
      <c r="AI160" s="80">
        <v>16821.37</v>
      </c>
      <c r="AJ160" s="80">
        <v>16821.37</v>
      </c>
      <c r="AK160" s="80"/>
      <c r="AL160" s="80">
        <v>16278.74</v>
      </c>
      <c r="AM160" s="80">
        <v>16278.74</v>
      </c>
      <c r="AN160" s="80"/>
      <c r="AO160" s="80">
        <v>16821.37</v>
      </c>
      <c r="AP160" s="80">
        <v>16821.37</v>
      </c>
      <c r="AQ160" s="80"/>
      <c r="AR160" s="80">
        <v>16821.37</v>
      </c>
      <c r="AS160" s="80">
        <v>16821.37</v>
      </c>
      <c r="AT160" s="80"/>
      <c r="AU160" s="80"/>
      <c r="AV160" s="80"/>
      <c r="AW160" s="80"/>
      <c r="AX160" s="80"/>
      <c r="AY160" s="80"/>
      <c r="AZ160" s="80"/>
      <c r="BA160" s="80"/>
      <c r="BB160" s="80"/>
      <c r="BC160" s="80"/>
      <c r="BD160" s="80"/>
      <c r="BE160" s="80"/>
      <c r="BF160" s="80"/>
    </row>
    <row r="161" spans="1:58" ht="40.049999999999997" customHeight="1" x14ac:dyDescent="0.25">
      <c r="A161" s="98">
        <v>160</v>
      </c>
      <c r="B161" s="99">
        <v>107</v>
      </c>
      <c r="C161" s="100" t="s">
        <v>258</v>
      </c>
      <c r="D161" s="101" t="s">
        <v>730</v>
      </c>
      <c r="E161" s="101" t="s">
        <v>772</v>
      </c>
      <c r="F161" s="101" t="s">
        <v>773</v>
      </c>
      <c r="G161" s="101" t="s">
        <v>774</v>
      </c>
      <c r="H161" s="102">
        <v>18.48</v>
      </c>
      <c r="I161" s="100" t="s">
        <v>46</v>
      </c>
      <c r="J161" s="103">
        <v>854</v>
      </c>
      <c r="K161" s="100">
        <v>240</v>
      </c>
      <c r="L161" s="104">
        <v>126256</v>
      </c>
      <c r="M161" s="104">
        <v>12625</v>
      </c>
      <c r="N161" s="104">
        <v>138881</v>
      </c>
      <c r="O161" s="77" t="s">
        <v>775</v>
      </c>
      <c r="P161" s="77" t="s">
        <v>776</v>
      </c>
      <c r="Q161" s="78">
        <f t="shared" si="24"/>
        <v>240</v>
      </c>
      <c r="R161" s="79">
        <v>46113</v>
      </c>
      <c r="S161" s="79">
        <f t="shared" si="17"/>
        <v>46352</v>
      </c>
      <c r="T161" s="80">
        <v>119943.2</v>
      </c>
      <c r="U161" s="80">
        <f t="shared" si="18"/>
        <v>11994.32</v>
      </c>
      <c r="V161" s="80">
        <f t="shared" si="19"/>
        <v>131937.51999999999</v>
      </c>
      <c r="W161" s="78"/>
      <c r="X161" s="79">
        <f t="shared" si="20"/>
        <v>46113</v>
      </c>
      <c r="Y161" s="79" t="str">
        <f t="shared" si="21"/>
        <v/>
      </c>
      <c r="Z161" s="80"/>
      <c r="AA161" s="80">
        <f t="shared" si="22"/>
        <v>0</v>
      </c>
      <c r="AB161" s="80">
        <f t="shared" si="23"/>
        <v>0</v>
      </c>
      <c r="AC161" s="80"/>
      <c r="AD161" s="80"/>
      <c r="AE161" s="80"/>
      <c r="AF161" s="80">
        <v>16492.189999999999</v>
      </c>
      <c r="AG161" s="80">
        <v>16492.189999999999</v>
      </c>
      <c r="AH161" s="80"/>
      <c r="AI161" s="80">
        <v>17041.919999999998</v>
      </c>
      <c r="AJ161" s="80">
        <v>17041.919999999998</v>
      </c>
      <c r="AK161" s="80"/>
      <c r="AL161" s="80">
        <v>16492.189999999999</v>
      </c>
      <c r="AM161" s="80">
        <v>16492.189999999999</v>
      </c>
      <c r="AN161" s="80"/>
      <c r="AO161" s="80">
        <v>17041.919999999998</v>
      </c>
      <c r="AP161" s="80">
        <v>17041.919999999998</v>
      </c>
      <c r="AQ161" s="80"/>
      <c r="AR161" s="80">
        <v>17041.919999999998</v>
      </c>
      <c r="AS161" s="80">
        <v>17041.919999999998</v>
      </c>
      <c r="AT161" s="80"/>
      <c r="AU161" s="80"/>
      <c r="AV161" s="80"/>
      <c r="AW161" s="80"/>
      <c r="AX161" s="80"/>
      <c r="AY161" s="80"/>
      <c r="AZ161" s="80"/>
      <c r="BA161" s="80"/>
      <c r="BB161" s="80"/>
      <c r="BC161" s="80"/>
      <c r="BD161" s="80"/>
      <c r="BE161" s="80"/>
      <c r="BF161" s="80"/>
    </row>
    <row r="162" spans="1:58" ht="40.049999999999997" customHeight="1" x14ac:dyDescent="0.25">
      <c r="A162" s="98">
        <v>161</v>
      </c>
      <c r="B162" s="99">
        <v>107</v>
      </c>
      <c r="C162" s="100" t="s">
        <v>258</v>
      </c>
      <c r="D162" s="101" t="s">
        <v>730</v>
      </c>
      <c r="E162" s="101" t="s">
        <v>777</v>
      </c>
      <c r="F162" s="101" t="s">
        <v>778</v>
      </c>
      <c r="G162" s="101" t="s">
        <v>779</v>
      </c>
      <c r="H162" s="102">
        <v>17.736999999999998</v>
      </c>
      <c r="I162" s="100" t="s">
        <v>46</v>
      </c>
      <c r="J162" s="103">
        <v>903.22</v>
      </c>
      <c r="K162" s="100">
        <v>240</v>
      </c>
      <c r="L162" s="104">
        <v>128164</v>
      </c>
      <c r="M162" s="104">
        <v>12816</v>
      </c>
      <c r="N162" s="104">
        <v>140980</v>
      </c>
      <c r="O162" s="77" t="s">
        <v>780</v>
      </c>
      <c r="P162" s="77" t="s">
        <v>781</v>
      </c>
      <c r="Q162" s="78">
        <f t="shared" si="24"/>
        <v>240</v>
      </c>
      <c r="R162" s="79">
        <v>46119</v>
      </c>
      <c r="S162" s="79">
        <f t="shared" si="17"/>
        <v>46358</v>
      </c>
      <c r="T162" s="80">
        <v>121755.8</v>
      </c>
      <c r="U162" s="80">
        <f t="shared" si="18"/>
        <v>12175.58</v>
      </c>
      <c r="V162" s="80">
        <f t="shared" si="19"/>
        <v>133931.38</v>
      </c>
      <c r="W162" s="78"/>
      <c r="X162" s="79">
        <f t="shared" si="20"/>
        <v>46119</v>
      </c>
      <c r="Y162" s="79" t="str">
        <f t="shared" si="21"/>
        <v/>
      </c>
      <c r="Z162" s="80"/>
      <c r="AA162" s="80">
        <f t="shared" si="22"/>
        <v>0</v>
      </c>
      <c r="AB162" s="80">
        <f t="shared" si="23"/>
        <v>0</v>
      </c>
      <c r="AC162" s="80"/>
      <c r="AD162" s="80"/>
      <c r="AE162" s="80"/>
      <c r="AF162" s="80">
        <v>13393.13</v>
      </c>
      <c r="AG162" s="80">
        <v>13393.13</v>
      </c>
      <c r="AH162" s="80"/>
      <c r="AI162" s="80">
        <v>17299.46</v>
      </c>
      <c r="AJ162" s="80">
        <v>17299.46</v>
      </c>
      <c r="AK162" s="80"/>
      <c r="AL162" s="80">
        <v>16741.419999999998</v>
      </c>
      <c r="AM162" s="80">
        <v>16741.419999999998</v>
      </c>
      <c r="AN162" s="80"/>
      <c r="AO162" s="80">
        <v>17299.46</v>
      </c>
      <c r="AP162" s="80">
        <v>17299.46</v>
      </c>
      <c r="AQ162" s="80"/>
      <c r="AR162" s="80">
        <v>17299.46</v>
      </c>
      <c r="AS162" s="80">
        <v>17299.46</v>
      </c>
      <c r="AT162" s="80"/>
      <c r="AU162" s="80"/>
      <c r="AV162" s="80"/>
      <c r="AW162" s="80"/>
      <c r="AX162" s="80"/>
      <c r="AY162" s="80"/>
      <c r="AZ162" s="80"/>
      <c r="BA162" s="80"/>
      <c r="BB162" s="80"/>
      <c r="BC162" s="80"/>
      <c r="BD162" s="80"/>
      <c r="BE162" s="80"/>
      <c r="BF162" s="80"/>
    </row>
    <row r="163" spans="1:58" ht="40.049999999999997" customHeight="1" x14ac:dyDescent="0.25">
      <c r="A163" s="98">
        <v>162</v>
      </c>
      <c r="B163" s="99">
        <v>107</v>
      </c>
      <c r="C163" s="100" t="s">
        <v>258</v>
      </c>
      <c r="D163" s="101" t="s">
        <v>730</v>
      </c>
      <c r="E163" s="101" t="s">
        <v>782</v>
      </c>
      <c r="F163" s="101" t="s">
        <v>783</v>
      </c>
      <c r="G163" s="101" t="s">
        <v>784</v>
      </c>
      <c r="H163" s="102">
        <v>16.13</v>
      </c>
      <c r="I163" s="100" t="s">
        <v>46</v>
      </c>
      <c r="J163" s="103">
        <v>879</v>
      </c>
      <c r="K163" s="100">
        <v>243</v>
      </c>
      <c r="L163" s="104">
        <v>114844</v>
      </c>
      <c r="M163" s="104">
        <v>11484</v>
      </c>
      <c r="N163" s="104">
        <v>126328</v>
      </c>
      <c r="O163" s="77" t="s">
        <v>785</v>
      </c>
      <c r="P163" s="77" t="s">
        <v>786</v>
      </c>
      <c r="Q163" s="78">
        <f t="shared" si="24"/>
        <v>243</v>
      </c>
      <c r="R163" s="79">
        <v>46113</v>
      </c>
      <c r="S163" s="79">
        <f t="shared" si="17"/>
        <v>46355</v>
      </c>
      <c r="T163" s="80">
        <v>109101.8</v>
      </c>
      <c r="U163" s="80">
        <f t="shared" si="18"/>
        <v>10910.18</v>
      </c>
      <c r="V163" s="80">
        <f t="shared" si="19"/>
        <v>120011.98000000001</v>
      </c>
      <c r="W163" s="78"/>
      <c r="X163" s="79">
        <f t="shared" si="20"/>
        <v>46113</v>
      </c>
      <c r="Y163" s="79" t="str">
        <f t="shared" si="21"/>
        <v/>
      </c>
      <c r="Z163" s="80"/>
      <c r="AA163" s="80">
        <f t="shared" si="22"/>
        <v>0</v>
      </c>
      <c r="AB163" s="80">
        <f t="shared" si="23"/>
        <v>0</v>
      </c>
      <c r="AC163" s="80"/>
      <c r="AD163" s="80"/>
      <c r="AE163" s="80"/>
      <c r="AF163" s="80">
        <v>14816.29</v>
      </c>
      <c r="AG163" s="80">
        <v>14816.29</v>
      </c>
      <c r="AH163" s="80"/>
      <c r="AI163" s="80">
        <v>15310.17</v>
      </c>
      <c r="AJ163" s="80">
        <v>15310.17</v>
      </c>
      <c r="AK163" s="80"/>
      <c r="AL163" s="80">
        <v>14816.29</v>
      </c>
      <c r="AM163" s="80">
        <v>14816.29</v>
      </c>
      <c r="AN163" s="80"/>
      <c r="AO163" s="80">
        <v>15310.17</v>
      </c>
      <c r="AP163" s="80">
        <v>15310.17</v>
      </c>
      <c r="AQ163" s="80"/>
      <c r="AR163" s="80">
        <v>15310.17</v>
      </c>
      <c r="AS163" s="80">
        <v>15310.17</v>
      </c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</row>
    <row r="164" spans="1:58" ht="40.049999999999997" customHeight="1" x14ac:dyDescent="0.25">
      <c r="A164" s="98">
        <v>163</v>
      </c>
      <c r="B164" s="99">
        <v>107</v>
      </c>
      <c r="C164" s="100" t="s">
        <v>258</v>
      </c>
      <c r="D164" s="101" t="s">
        <v>730</v>
      </c>
      <c r="E164" s="101" t="s">
        <v>787</v>
      </c>
      <c r="F164" s="101" t="s">
        <v>788</v>
      </c>
      <c r="G164" s="101" t="s">
        <v>789</v>
      </c>
      <c r="H164" s="102">
        <v>13.417999999999999</v>
      </c>
      <c r="I164" s="100" t="s">
        <v>46</v>
      </c>
      <c r="J164" s="103">
        <v>908.88</v>
      </c>
      <c r="K164" s="100">
        <v>240</v>
      </c>
      <c r="L164" s="104">
        <v>97563</v>
      </c>
      <c r="M164" s="104">
        <v>9756</v>
      </c>
      <c r="N164" s="104">
        <v>107319</v>
      </c>
      <c r="O164" s="77" t="s">
        <v>790</v>
      </c>
      <c r="P164" s="77" t="s">
        <v>791</v>
      </c>
      <c r="Q164" s="78">
        <f t="shared" si="24"/>
        <v>240</v>
      </c>
      <c r="R164" s="79">
        <v>46113</v>
      </c>
      <c r="S164" s="79">
        <f t="shared" si="17"/>
        <v>46352</v>
      </c>
      <c r="T164" s="80">
        <v>92684.85</v>
      </c>
      <c r="U164" s="80">
        <f t="shared" si="18"/>
        <v>9268.49</v>
      </c>
      <c r="V164" s="80">
        <f t="shared" si="19"/>
        <v>101953.34000000001</v>
      </c>
      <c r="W164" s="78"/>
      <c r="X164" s="79">
        <f t="shared" si="20"/>
        <v>46113</v>
      </c>
      <c r="Y164" s="79" t="str">
        <f t="shared" si="21"/>
        <v/>
      </c>
      <c r="Z164" s="80"/>
      <c r="AA164" s="80">
        <f t="shared" si="22"/>
        <v>0</v>
      </c>
      <c r="AB164" s="80">
        <f t="shared" si="23"/>
        <v>0</v>
      </c>
      <c r="AC164" s="80"/>
      <c r="AD164" s="80"/>
      <c r="AE164" s="80"/>
      <c r="AF164" s="80">
        <v>12744.17</v>
      </c>
      <c r="AG164" s="80">
        <v>12744.17</v>
      </c>
      <c r="AH164" s="80"/>
      <c r="AI164" s="80">
        <v>13168.96</v>
      </c>
      <c r="AJ164" s="80">
        <v>13168.96</v>
      </c>
      <c r="AK164" s="80"/>
      <c r="AL164" s="80">
        <v>12744.17</v>
      </c>
      <c r="AM164" s="80">
        <v>12744.17</v>
      </c>
      <c r="AN164" s="80"/>
      <c r="AO164" s="80">
        <v>13168.96</v>
      </c>
      <c r="AP164" s="80">
        <v>13168.96</v>
      </c>
      <c r="AQ164" s="80"/>
      <c r="AR164" s="80">
        <v>13168.96</v>
      </c>
      <c r="AS164" s="80">
        <v>13168.96</v>
      </c>
      <c r="AT164" s="80"/>
      <c r="AU164" s="80"/>
      <c r="AV164" s="80"/>
      <c r="AW164" s="80"/>
      <c r="AX164" s="80"/>
      <c r="AY164" s="80"/>
      <c r="AZ164" s="80"/>
      <c r="BA164" s="80"/>
      <c r="BB164" s="80"/>
      <c r="BC164" s="80"/>
      <c r="BD164" s="80"/>
      <c r="BE164" s="80"/>
      <c r="BF164" s="80"/>
    </row>
    <row r="165" spans="1:58" ht="40.049999999999997" customHeight="1" x14ac:dyDescent="0.25">
      <c r="A165" s="98">
        <v>164</v>
      </c>
      <c r="B165" s="99">
        <v>107</v>
      </c>
      <c r="C165" s="100" t="s">
        <v>258</v>
      </c>
      <c r="D165" s="101" t="s">
        <v>730</v>
      </c>
      <c r="E165" s="101" t="s">
        <v>792</v>
      </c>
      <c r="F165" s="101" t="s">
        <v>793</v>
      </c>
      <c r="G165" s="101" t="s">
        <v>794</v>
      </c>
      <c r="H165" s="102">
        <v>12.97</v>
      </c>
      <c r="I165" s="100" t="s">
        <v>46</v>
      </c>
      <c r="J165" s="103">
        <v>770</v>
      </c>
      <c r="K165" s="100">
        <v>240</v>
      </c>
      <c r="L165" s="104">
        <v>79896</v>
      </c>
      <c r="M165" s="104">
        <v>7989</v>
      </c>
      <c r="N165" s="104">
        <v>87885</v>
      </c>
      <c r="O165" s="77" t="s">
        <v>795</v>
      </c>
      <c r="P165" s="77" t="s">
        <v>796</v>
      </c>
      <c r="Q165" s="78">
        <f t="shared" si="24"/>
        <v>240</v>
      </c>
      <c r="R165" s="79">
        <v>46120</v>
      </c>
      <c r="S165" s="79">
        <f t="shared" si="17"/>
        <v>46359</v>
      </c>
      <c r="T165" s="80">
        <v>75901</v>
      </c>
      <c r="U165" s="80">
        <f t="shared" si="18"/>
        <v>7590.1</v>
      </c>
      <c r="V165" s="80">
        <f t="shared" si="19"/>
        <v>83491.100000000006</v>
      </c>
      <c r="W165" s="78"/>
      <c r="X165" s="79">
        <f t="shared" si="20"/>
        <v>46120</v>
      </c>
      <c r="Y165" s="79" t="str">
        <f t="shared" si="21"/>
        <v/>
      </c>
      <c r="Z165" s="80"/>
      <c r="AA165" s="80">
        <f t="shared" si="22"/>
        <v>0</v>
      </c>
      <c r="AB165" s="80">
        <f t="shared" si="23"/>
        <v>0</v>
      </c>
      <c r="AC165" s="80"/>
      <c r="AD165" s="80"/>
      <c r="AE165" s="80"/>
      <c r="AF165" s="80">
        <v>8001.23</v>
      </c>
      <c r="AG165" s="80">
        <v>8001.23</v>
      </c>
      <c r="AH165" s="80"/>
      <c r="AI165" s="80">
        <v>10784.26</v>
      </c>
      <c r="AJ165" s="80">
        <v>10784.26</v>
      </c>
      <c r="AK165" s="80"/>
      <c r="AL165" s="80">
        <v>10436.39</v>
      </c>
      <c r="AM165" s="80">
        <v>10436.39</v>
      </c>
      <c r="AN165" s="80"/>
      <c r="AO165" s="80">
        <v>10784.26</v>
      </c>
      <c r="AP165" s="80">
        <v>10784.26</v>
      </c>
      <c r="AQ165" s="80"/>
      <c r="AR165" s="80">
        <v>10784.26</v>
      </c>
      <c r="AS165" s="80">
        <v>10784.26</v>
      </c>
      <c r="AT165" s="80"/>
      <c r="AU165" s="80"/>
      <c r="AV165" s="80"/>
      <c r="AW165" s="80"/>
      <c r="AX165" s="80"/>
      <c r="AY165" s="80"/>
      <c r="AZ165" s="80"/>
      <c r="BA165" s="80"/>
      <c r="BB165" s="80"/>
      <c r="BC165" s="80"/>
      <c r="BD165" s="80"/>
      <c r="BE165" s="80"/>
      <c r="BF165" s="80"/>
    </row>
    <row r="166" spans="1:58" ht="40.049999999999997" customHeight="1" x14ac:dyDescent="0.25">
      <c r="A166" s="98">
        <v>165</v>
      </c>
      <c r="B166" s="99">
        <v>107</v>
      </c>
      <c r="C166" s="100" t="s">
        <v>258</v>
      </c>
      <c r="D166" s="101" t="s">
        <v>730</v>
      </c>
      <c r="E166" s="101" t="s">
        <v>797</v>
      </c>
      <c r="F166" s="101" t="s">
        <v>798</v>
      </c>
      <c r="G166" s="101" t="s">
        <v>799</v>
      </c>
      <c r="H166" s="102">
        <v>12.5</v>
      </c>
      <c r="I166" s="100" t="s">
        <v>46</v>
      </c>
      <c r="J166" s="103">
        <v>905</v>
      </c>
      <c r="K166" s="100">
        <v>240</v>
      </c>
      <c r="L166" s="104">
        <v>90500</v>
      </c>
      <c r="M166" s="104">
        <v>9050</v>
      </c>
      <c r="N166" s="104">
        <v>99550</v>
      </c>
      <c r="O166" s="77" t="s">
        <v>800</v>
      </c>
      <c r="P166" s="77" t="s">
        <v>801</v>
      </c>
      <c r="Q166" s="78">
        <f t="shared" si="24"/>
        <v>240</v>
      </c>
      <c r="R166" s="79">
        <v>46113</v>
      </c>
      <c r="S166" s="79">
        <f t="shared" si="17"/>
        <v>46352</v>
      </c>
      <c r="T166" s="80">
        <v>90500</v>
      </c>
      <c r="U166" s="80">
        <f t="shared" si="18"/>
        <v>9050</v>
      </c>
      <c r="V166" s="80">
        <f t="shared" si="19"/>
        <v>99550</v>
      </c>
      <c r="W166" s="78"/>
      <c r="X166" s="79">
        <f t="shared" si="20"/>
        <v>46113</v>
      </c>
      <c r="Y166" s="79" t="str">
        <f t="shared" si="21"/>
        <v/>
      </c>
      <c r="Z166" s="80"/>
      <c r="AA166" s="80">
        <f t="shared" si="22"/>
        <v>0</v>
      </c>
      <c r="AB166" s="80">
        <f t="shared" si="23"/>
        <v>0</v>
      </c>
      <c r="AC166" s="80"/>
      <c r="AD166" s="80"/>
      <c r="AE166" s="80"/>
      <c r="AF166" s="80">
        <v>12443.75</v>
      </c>
      <c r="AG166" s="80">
        <v>12443.75</v>
      </c>
      <c r="AH166" s="80"/>
      <c r="AI166" s="80">
        <v>12858.53</v>
      </c>
      <c r="AJ166" s="80">
        <v>12858.53</v>
      </c>
      <c r="AK166" s="80"/>
      <c r="AL166" s="80">
        <v>12443.75</v>
      </c>
      <c r="AM166" s="80">
        <v>12443.75</v>
      </c>
      <c r="AN166" s="80"/>
      <c r="AO166" s="80">
        <v>12858.53</v>
      </c>
      <c r="AP166" s="80">
        <v>12858.53</v>
      </c>
      <c r="AQ166" s="80"/>
      <c r="AR166" s="80">
        <v>12858.53</v>
      </c>
      <c r="AS166" s="80">
        <v>12858.53</v>
      </c>
      <c r="AT166" s="80"/>
      <c r="AU166" s="80"/>
      <c r="AV166" s="80"/>
      <c r="AW166" s="80"/>
      <c r="AX166" s="80"/>
      <c r="AY166" s="80"/>
      <c r="AZ166" s="80"/>
      <c r="BA166" s="80"/>
      <c r="BB166" s="80"/>
      <c r="BC166" s="80"/>
      <c r="BD166" s="80"/>
      <c r="BE166" s="80"/>
      <c r="BF166" s="80"/>
    </row>
    <row r="167" spans="1:58" ht="40.049999999999997" customHeight="1" x14ac:dyDescent="0.25">
      <c r="A167" s="98">
        <v>166</v>
      </c>
      <c r="B167" s="99">
        <v>107</v>
      </c>
      <c r="C167" s="100" t="s">
        <v>258</v>
      </c>
      <c r="D167" s="101" t="s">
        <v>730</v>
      </c>
      <c r="E167" s="101" t="s">
        <v>792</v>
      </c>
      <c r="F167" s="101" t="s">
        <v>802</v>
      </c>
      <c r="G167" s="101" t="s">
        <v>803</v>
      </c>
      <c r="H167" s="102">
        <v>12.5</v>
      </c>
      <c r="I167" s="100" t="s">
        <v>46</v>
      </c>
      <c r="J167" s="103">
        <v>848</v>
      </c>
      <c r="K167" s="100">
        <v>246</v>
      </c>
      <c r="L167" s="104">
        <v>86920</v>
      </c>
      <c r="M167" s="104">
        <v>8692</v>
      </c>
      <c r="N167" s="104">
        <v>95612</v>
      </c>
      <c r="O167" s="77" t="s">
        <v>804</v>
      </c>
      <c r="P167" s="77" t="s">
        <v>791</v>
      </c>
      <c r="Q167" s="78">
        <f t="shared" si="24"/>
        <v>246</v>
      </c>
      <c r="R167" s="79">
        <v>46113</v>
      </c>
      <c r="S167" s="79">
        <f t="shared" si="17"/>
        <v>46358</v>
      </c>
      <c r="T167" s="80">
        <v>82574</v>
      </c>
      <c r="U167" s="80">
        <f t="shared" si="18"/>
        <v>8257.4</v>
      </c>
      <c r="V167" s="80">
        <f t="shared" si="19"/>
        <v>90831.4</v>
      </c>
      <c r="W167" s="78"/>
      <c r="X167" s="79">
        <f t="shared" si="20"/>
        <v>46113</v>
      </c>
      <c r="Y167" s="79" t="str">
        <f t="shared" si="21"/>
        <v/>
      </c>
      <c r="Z167" s="80"/>
      <c r="AA167" s="80">
        <f t="shared" si="22"/>
        <v>0</v>
      </c>
      <c r="AB167" s="80">
        <f t="shared" si="23"/>
        <v>0</v>
      </c>
      <c r="AC167" s="80"/>
      <c r="AD167" s="80"/>
      <c r="AE167" s="80"/>
      <c r="AF167" s="80">
        <v>11077</v>
      </c>
      <c r="AG167" s="80">
        <v>11077</v>
      </c>
      <c r="AH167" s="80"/>
      <c r="AI167" s="80">
        <v>11446.23</v>
      </c>
      <c r="AJ167" s="80">
        <v>11446.23</v>
      </c>
      <c r="AK167" s="80"/>
      <c r="AL167" s="80">
        <v>11077</v>
      </c>
      <c r="AM167" s="80">
        <v>11077</v>
      </c>
      <c r="AN167" s="80"/>
      <c r="AO167" s="80">
        <v>11446.23</v>
      </c>
      <c r="AP167" s="80">
        <v>11446.23</v>
      </c>
      <c r="AQ167" s="80"/>
      <c r="AR167" s="80">
        <v>11446.23</v>
      </c>
      <c r="AS167" s="80">
        <v>11446.23</v>
      </c>
      <c r="AT167" s="80"/>
      <c r="AU167" s="80"/>
      <c r="AV167" s="80"/>
      <c r="AW167" s="80"/>
      <c r="AX167" s="80"/>
      <c r="AY167" s="80"/>
      <c r="AZ167" s="80"/>
      <c r="BA167" s="80"/>
      <c r="BB167" s="80"/>
      <c r="BC167" s="80"/>
      <c r="BD167" s="80"/>
      <c r="BE167" s="80"/>
      <c r="BF167" s="80"/>
    </row>
    <row r="168" spans="1:58" ht="40.049999999999997" customHeight="1" x14ac:dyDescent="0.25">
      <c r="A168" s="98">
        <v>167</v>
      </c>
      <c r="B168" s="99">
        <v>107</v>
      </c>
      <c r="C168" s="100" t="s">
        <v>258</v>
      </c>
      <c r="D168" s="101" t="s">
        <v>730</v>
      </c>
      <c r="E168" s="101" t="s">
        <v>805</v>
      </c>
      <c r="F168" s="101" t="s">
        <v>806</v>
      </c>
      <c r="G168" s="101" t="s">
        <v>807</v>
      </c>
      <c r="H168" s="102">
        <v>11.718999999999999</v>
      </c>
      <c r="I168" s="100" t="s">
        <v>46</v>
      </c>
      <c r="J168" s="103">
        <v>827.98</v>
      </c>
      <c r="K168" s="100">
        <v>246</v>
      </c>
      <c r="L168" s="104">
        <v>79566</v>
      </c>
      <c r="M168" s="104">
        <v>7956</v>
      </c>
      <c r="N168" s="104">
        <v>87522</v>
      </c>
      <c r="O168" s="77" t="s">
        <v>808</v>
      </c>
      <c r="P168" s="77" t="s">
        <v>796</v>
      </c>
      <c r="Q168" s="78">
        <f t="shared" si="24"/>
        <v>246</v>
      </c>
      <c r="R168" s="79">
        <v>46113</v>
      </c>
      <c r="S168" s="79">
        <f t="shared" si="17"/>
        <v>46358</v>
      </c>
      <c r="T168" s="80">
        <v>79566</v>
      </c>
      <c r="U168" s="80">
        <f t="shared" si="18"/>
        <v>7956.6</v>
      </c>
      <c r="V168" s="80">
        <f t="shared" si="19"/>
        <v>87522.6</v>
      </c>
      <c r="W168" s="78"/>
      <c r="X168" s="79">
        <f t="shared" si="20"/>
        <v>46113</v>
      </c>
      <c r="Y168" s="79" t="str">
        <f t="shared" si="21"/>
        <v/>
      </c>
      <c r="Z168" s="80"/>
      <c r="AA168" s="80">
        <f t="shared" si="22"/>
        <v>0</v>
      </c>
      <c r="AB168" s="80">
        <f t="shared" si="23"/>
        <v>0</v>
      </c>
      <c r="AC168" s="80"/>
      <c r="AD168" s="80"/>
      <c r="AE168" s="80"/>
      <c r="AF168" s="80">
        <v>10673.48</v>
      </c>
      <c r="AG168" s="80">
        <v>10673.48</v>
      </c>
      <c r="AH168" s="80"/>
      <c r="AI168" s="80">
        <v>11029.27</v>
      </c>
      <c r="AJ168" s="80">
        <v>11029.27</v>
      </c>
      <c r="AK168" s="80"/>
      <c r="AL168" s="80">
        <v>10673.48</v>
      </c>
      <c r="AM168" s="80">
        <v>10673.48</v>
      </c>
      <c r="AN168" s="80"/>
      <c r="AO168" s="80">
        <v>11029.27</v>
      </c>
      <c r="AP168" s="80">
        <v>11029.27</v>
      </c>
      <c r="AQ168" s="80"/>
      <c r="AR168" s="80">
        <v>11029.27</v>
      </c>
      <c r="AS168" s="80">
        <v>11029.27</v>
      </c>
      <c r="AT168" s="80"/>
      <c r="AU168" s="80"/>
      <c r="AV168" s="80"/>
      <c r="AW168" s="80"/>
      <c r="AX168" s="80"/>
      <c r="AY168" s="80"/>
      <c r="AZ168" s="80"/>
      <c r="BA168" s="80"/>
      <c r="BB168" s="80"/>
      <c r="BC168" s="80"/>
      <c r="BD168" s="80"/>
      <c r="BE168" s="80"/>
      <c r="BF168" s="80"/>
    </row>
    <row r="169" spans="1:58" ht="40.049999999999997" customHeight="1" x14ac:dyDescent="0.25">
      <c r="A169" s="98">
        <v>168</v>
      </c>
      <c r="B169" s="99">
        <v>107</v>
      </c>
      <c r="C169" s="100" t="s">
        <v>258</v>
      </c>
      <c r="D169" s="101" t="s">
        <v>730</v>
      </c>
      <c r="E169" s="101" t="s">
        <v>809</v>
      </c>
      <c r="F169" s="101" t="s">
        <v>810</v>
      </c>
      <c r="G169" s="101" t="s">
        <v>811</v>
      </c>
      <c r="H169" s="102">
        <v>11.2</v>
      </c>
      <c r="I169" s="100" t="s">
        <v>46</v>
      </c>
      <c r="J169" s="103">
        <v>913.87</v>
      </c>
      <c r="K169" s="100">
        <v>240</v>
      </c>
      <c r="L169" s="104">
        <v>81883</v>
      </c>
      <c r="M169" s="104">
        <v>8188</v>
      </c>
      <c r="N169" s="104">
        <v>90071</v>
      </c>
      <c r="O169" s="77" t="s">
        <v>812</v>
      </c>
      <c r="P169" s="77" t="s">
        <v>813</v>
      </c>
      <c r="Q169" s="78">
        <f t="shared" si="24"/>
        <v>240</v>
      </c>
      <c r="R169" s="79">
        <v>46113</v>
      </c>
      <c r="S169" s="79">
        <f t="shared" si="17"/>
        <v>46352</v>
      </c>
      <c r="T169" s="80">
        <v>81883</v>
      </c>
      <c r="U169" s="80">
        <f t="shared" si="18"/>
        <v>8188.3</v>
      </c>
      <c r="V169" s="80">
        <f t="shared" si="19"/>
        <v>90071.3</v>
      </c>
      <c r="W169" s="78"/>
      <c r="X169" s="79">
        <f t="shared" si="20"/>
        <v>46113</v>
      </c>
      <c r="Y169" s="79" t="str">
        <f t="shared" si="21"/>
        <v/>
      </c>
      <c r="Z169" s="80"/>
      <c r="AA169" s="80">
        <f t="shared" si="22"/>
        <v>0</v>
      </c>
      <c r="AB169" s="80">
        <f t="shared" si="23"/>
        <v>0</v>
      </c>
      <c r="AC169" s="80"/>
      <c r="AD169" s="80"/>
      <c r="AE169" s="80"/>
      <c r="AF169" s="80">
        <v>11258.91</v>
      </c>
      <c r="AG169" s="80">
        <v>11258.91</v>
      </c>
      <c r="AH169" s="80"/>
      <c r="AI169" s="80">
        <v>11634.2</v>
      </c>
      <c r="AJ169" s="80">
        <v>11634.2</v>
      </c>
      <c r="AK169" s="80"/>
      <c r="AL169" s="80">
        <v>11258.91</v>
      </c>
      <c r="AM169" s="80">
        <v>11258.91</v>
      </c>
      <c r="AN169" s="80"/>
      <c r="AO169" s="80">
        <v>11634.2</v>
      </c>
      <c r="AP169" s="80">
        <v>11634.2</v>
      </c>
      <c r="AQ169" s="80"/>
      <c r="AR169" s="80">
        <v>11634.2</v>
      </c>
      <c r="AS169" s="80">
        <v>11634.2</v>
      </c>
      <c r="AT169" s="80"/>
      <c r="AU169" s="80"/>
      <c r="AV169" s="80"/>
      <c r="AW169" s="80"/>
      <c r="AX169" s="80"/>
      <c r="AY169" s="80"/>
      <c r="AZ169" s="80"/>
      <c r="BA169" s="80"/>
      <c r="BB169" s="80"/>
      <c r="BC169" s="80"/>
      <c r="BD169" s="80"/>
      <c r="BE169" s="80"/>
      <c r="BF169" s="80"/>
    </row>
    <row r="170" spans="1:58" ht="40.049999999999997" customHeight="1" x14ac:dyDescent="0.25">
      <c r="A170" s="98">
        <v>169</v>
      </c>
      <c r="B170" s="99">
        <v>107</v>
      </c>
      <c r="C170" s="100" t="s">
        <v>258</v>
      </c>
      <c r="D170" s="101" t="s">
        <v>730</v>
      </c>
      <c r="E170" s="101" t="s">
        <v>814</v>
      </c>
      <c r="F170" s="101" t="s">
        <v>815</v>
      </c>
      <c r="G170" s="101" t="s">
        <v>816</v>
      </c>
      <c r="H170" s="102">
        <v>10.936</v>
      </c>
      <c r="I170" s="100" t="s">
        <v>46</v>
      </c>
      <c r="J170" s="103">
        <v>784.27</v>
      </c>
      <c r="K170" s="100">
        <v>249</v>
      </c>
      <c r="L170" s="104">
        <v>71188</v>
      </c>
      <c r="M170" s="104">
        <v>7118</v>
      </c>
      <c r="N170" s="104">
        <v>78306</v>
      </c>
      <c r="O170" s="77" t="s">
        <v>817</v>
      </c>
      <c r="P170" s="77" t="s">
        <v>818</v>
      </c>
      <c r="Q170" s="78">
        <f t="shared" si="24"/>
        <v>249</v>
      </c>
      <c r="R170" s="79">
        <v>46113</v>
      </c>
      <c r="S170" s="79">
        <f t="shared" si="17"/>
        <v>46361</v>
      </c>
      <c r="T170" s="80">
        <v>71188</v>
      </c>
      <c r="U170" s="80">
        <f t="shared" si="18"/>
        <v>7118.8</v>
      </c>
      <c r="V170" s="80">
        <f t="shared" si="19"/>
        <v>78306.8</v>
      </c>
      <c r="W170" s="78"/>
      <c r="X170" s="79">
        <f t="shared" si="20"/>
        <v>46113</v>
      </c>
      <c r="Y170" s="79" t="str">
        <f t="shared" si="21"/>
        <v/>
      </c>
      <c r="Z170" s="80"/>
      <c r="AA170" s="80">
        <f t="shared" si="22"/>
        <v>0</v>
      </c>
      <c r="AB170" s="80">
        <f t="shared" si="23"/>
        <v>0</v>
      </c>
      <c r="AC170" s="80"/>
      <c r="AD170" s="80"/>
      <c r="AE170" s="80"/>
      <c r="AF170" s="80">
        <v>9434.5499999999993</v>
      </c>
      <c r="AG170" s="80">
        <v>9434.5499999999993</v>
      </c>
      <c r="AH170" s="80"/>
      <c r="AI170" s="80">
        <v>9749.0300000000007</v>
      </c>
      <c r="AJ170" s="80">
        <v>9749.0300000000007</v>
      </c>
      <c r="AK170" s="80"/>
      <c r="AL170" s="80">
        <v>9434.5499999999993</v>
      </c>
      <c r="AM170" s="80">
        <v>9434.5499999999993</v>
      </c>
      <c r="AN170" s="80"/>
      <c r="AO170" s="80">
        <v>9749.0300000000007</v>
      </c>
      <c r="AP170" s="80">
        <v>9749.0300000000007</v>
      </c>
      <c r="AQ170" s="80"/>
      <c r="AR170" s="80">
        <v>9749.0300000000007</v>
      </c>
      <c r="AS170" s="80">
        <v>9749.0300000000007</v>
      </c>
      <c r="AT170" s="80"/>
      <c r="AU170" s="80"/>
      <c r="AV170" s="80"/>
      <c r="AW170" s="80"/>
      <c r="AX170" s="80"/>
      <c r="AY170" s="80"/>
      <c r="AZ170" s="80"/>
      <c r="BA170" s="80"/>
      <c r="BB170" s="80"/>
      <c r="BC170" s="80"/>
      <c r="BD170" s="80"/>
      <c r="BE170" s="80"/>
      <c r="BF170" s="80"/>
    </row>
    <row r="171" spans="1:58" ht="40.049999999999997" customHeight="1" x14ac:dyDescent="0.25">
      <c r="A171" s="98">
        <v>170</v>
      </c>
      <c r="B171" s="99">
        <v>107</v>
      </c>
      <c r="C171" s="100" t="s">
        <v>258</v>
      </c>
      <c r="D171" s="101" t="s">
        <v>730</v>
      </c>
      <c r="E171" s="101" t="s">
        <v>819</v>
      </c>
      <c r="F171" s="101" t="s">
        <v>820</v>
      </c>
      <c r="G171" s="101" t="s">
        <v>821</v>
      </c>
      <c r="H171" s="102">
        <v>10.175000000000001</v>
      </c>
      <c r="I171" s="100" t="s">
        <v>46</v>
      </c>
      <c r="J171" s="103">
        <v>832.88</v>
      </c>
      <c r="K171" s="100">
        <v>249</v>
      </c>
      <c r="L171" s="104">
        <v>70339</v>
      </c>
      <c r="M171" s="104">
        <v>7033</v>
      </c>
      <c r="N171" s="104">
        <v>77372</v>
      </c>
      <c r="O171" s="77" t="s">
        <v>822</v>
      </c>
      <c r="P171" s="77" t="s">
        <v>823</v>
      </c>
      <c r="Q171" s="78">
        <f t="shared" si="24"/>
        <v>249</v>
      </c>
      <c r="R171" s="79">
        <v>46113</v>
      </c>
      <c r="S171" s="79">
        <f t="shared" si="17"/>
        <v>46361</v>
      </c>
      <c r="T171" s="80">
        <v>70338.990000000005</v>
      </c>
      <c r="U171" s="80">
        <f t="shared" si="18"/>
        <v>7033.9</v>
      </c>
      <c r="V171" s="80">
        <f t="shared" si="19"/>
        <v>77372.89</v>
      </c>
      <c r="W171" s="78"/>
      <c r="X171" s="79">
        <f t="shared" si="20"/>
        <v>46113</v>
      </c>
      <c r="Y171" s="79" t="str">
        <f t="shared" si="21"/>
        <v/>
      </c>
      <c r="Z171" s="80"/>
      <c r="AA171" s="80">
        <f t="shared" si="22"/>
        <v>0</v>
      </c>
      <c r="AB171" s="80">
        <f t="shared" si="23"/>
        <v>0</v>
      </c>
      <c r="AC171" s="80"/>
      <c r="AD171" s="80"/>
      <c r="AE171" s="80"/>
      <c r="AF171" s="80">
        <v>9322.0300000000007</v>
      </c>
      <c r="AG171" s="80">
        <v>9322.0300000000007</v>
      </c>
      <c r="AH171" s="80"/>
      <c r="AI171" s="80">
        <v>9632.76</v>
      </c>
      <c r="AJ171" s="80">
        <v>9632.76</v>
      </c>
      <c r="AK171" s="80"/>
      <c r="AL171" s="80">
        <v>9322.0300000000007</v>
      </c>
      <c r="AM171" s="80">
        <v>9322.0300000000007</v>
      </c>
      <c r="AN171" s="80"/>
      <c r="AO171" s="80">
        <v>9632.76</v>
      </c>
      <c r="AP171" s="80">
        <v>9632.76</v>
      </c>
      <c r="AQ171" s="80"/>
      <c r="AR171" s="80">
        <v>9632.76</v>
      </c>
      <c r="AS171" s="80">
        <v>9632.76</v>
      </c>
      <c r="AT171" s="80"/>
      <c r="AU171" s="80"/>
      <c r="AV171" s="80"/>
      <c r="AW171" s="80"/>
      <c r="AX171" s="80"/>
      <c r="AY171" s="80"/>
      <c r="AZ171" s="80"/>
      <c r="BA171" s="80"/>
      <c r="BB171" s="80"/>
      <c r="BC171" s="80"/>
      <c r="BD171" s="80"/>
      <c r="BE171" s="80"/>
      <c r="BF171" s="80"/>
    </row>
    <row r="172" spans="1:58" ht="40.049999999999997" customHeight="1" x14ac:dyDescent="0.25">
      <c r="A172" s="98">
        <v>171</v>
      </c>
      <c r="B172" s="99">
        <v>107</v>
      </c>
      <c r="C172" s="100" t="s">
        <v>258</v>
      </c>
      <c r="D172" s="101" t="s">
        <v>730</v>
      </c>
      <c r="E172" s="101" t="s">
        <v>824</v>
      </c>
      <c r="F172" s="101" t="s">
        <v>825</v>
      </c>
      <c r="G172" s="101" t="s">
        <v>826</v>
      </c>
      <c r="H172" s="102">
        <v>9.4629999999999992</v>
      </c>
      <c r="I172" s="100" t="s">
        <v>46</v>
      </c>
      <c r="J172" s="103">
        <v>889.67</v>
      </c>
      <c r="K172" s="100">
        <v>246</v>
      </c>
      <c r="L172" s="104">
        <v>69036</v>
      </c>
      <c r="M172" s="104">
        <v>6903</v>
      </c>
      <c r="N172" s="104">
        <v>75939</v>
      </c>
      <c r="O172" s="77" t="s">
        <v>827</v>
      </c>
      <c r="P172" s="77" t="s">
        <v>823</v>
      </c>
      <c r="Q172" s="78">
        <f t="shared" si="24"/>
        <v>246</v>
      </c>
      <c r="R172" s="79">
        <v>46113</v>
      </c>
      <c r="S172" s="79">
        <f t="shared" si="17"/>
        <v>46358</v>
      </c>
      <c r="T172" s="80">
        <v>69035.98</v>
      </c>
      <c r="U172" s="80">
        <f t="shared" si="18"/>
        <v>6903.6</v>
      </c>
      <c r="V172" s="80">
        <f t="shared" si="19"/>
        <v>75939.58</v>
      </c>
      <c r="W172" s="78"/>
      <c r="X172" s="79">
        <f t="shared" si="20"/>
        <v>46113</v>
      </c>
      <c r="Y172" s="79" t="str">
        <f t="shared" si="21"/>
        <v/>
      </c>
      <c r="Z172" s="80"/>
      <c r="AA172" s="80">
        <f t="shared" si="22"/>
        <v>0</v>
      </c>
      <c r="AB172" s="80">
        <f t="shared" si="23"/>
        <v>0</v>
      </c>
      <c r="AC172" s="80"/>
      <c r="AD172" s="80"/>
      <c r="AE172" s="80"/>
      <c r="AF172" s="80">
        <v>9260.92</v>
      </c>
      <c r="AG172" s="80">
        <v>9260.92</v>
      </c>
      <c r="AH172" s="80"/>
      <c r="AI172" s="80">
        <v>9569.6200000000008</v>
      </c>
      <c r="AJ172" s="80">
        <v>9569.6200000000008</v>
      </c>
      <c r="AK172" s="80"/>
      <c r="AL172" s="80">
        <v>9260.92</v>
      </c>
      <c r="AM172" s="80">
        <v>9260.92</v>
      </c>
      <c r="AN172" s="80"/>
      <c r="AO172" s="80">
        <v>9569.6200000000008</v>
      </c>
      <c r="AP172" s="80">
        <v>9569.6200000000008</v>
      </c>
      <c r="AQ172" s="80"/>
      <c r="AR172" s="80">
        <v>9569.6200000000008</v>
      </c>
      <c r="AS172" s="80">
        <v>9569.6200000000008</v>
      </c>
      <c r="AT172" s="80"/>
      <c r="AU172" s="80"/>
      <c r="AV172" s="80"/>
      <c r="AW172" s="80"/>
      <c r="AX172" s="80"/>
      <c r="AY172" s="80"/>
      <c r="AZ172" s="80"/>
      <c r="BA172" s="80"/>
      <c r="BB172" s="80"/>
      <c r="BC172" s="80"/>
      <c r="BD172" s="80"/>
      <c r="BE172" s="80"/>
      <c r="BF172" s="80"/>
    </row>
    <row r="173" spans="1:58" ht="40.049999999999997" customHeight="1" x14ac:dyDescent="0.25">
      <c r="A173" s="98">
        <v>172</v>
      </c>
      <c r="B173" s="99">
        <v>107</v>
      </c>
      <c r="C173" s="100" t="s">
        <v>258</v>
      </c>
      <c r="D173" s="101" t="s">
        <v>730</v>
      </c>
      <c r="E173" s="101" t="s">
        <v>814</v>
      </c>
      <c r="F173" s="101" t="s">
        <v>828</v>
      </c>
      <c r="G173" s="101" t="s">
        <v>829</v>
      </c>
      <c r="H173" s="102">
        <v>9.0350000000000001</v>
      </c>
      <c r="I173" s="100" t="s">
        <v>46</v>
      </c>
      <c r="J173" s="103">
        <v>910.63</v>
      </c>
      <c r="K173" s="100">
        <v>249</v>
      </c>
      <c r="L173" s="104">
        <v>68289</v>
      </c>
      <c r="M173" s="104">
        <v>6828</v>
      </c>
      <c r="N173" s="104">
        <v>75117</v>
      </c>
      <c r="O173" s="77" t="s">
        <v>830</v>
      </c>
      <c r="P173" s="77" t="s">
        <v>831</v>
      </c>
      <c r="Q173" s="78">
        <f t="shared" si="24"/>
        <v>249</v>
      </c>
      <c r="R173" s="79">
        <v>46120</v>
      </c>
      <c r="S173" s="79">
        <f t="shared" si="17"/>
        <v>46368</v>
      </c>
      <c r="T173" s="80">
        <v>68289</v>
      </c>
      <c r="U173" s="80">
        <f t="shared" si="18"/>
        <v>6828.9</v>
      </c>
      <c r="V173" s="80">
        <f t="shared" si="19"/>
        <v>75117.899999999994</v>
      </c>
      <c r="W173" s="78"/>
      <c r="X173" s="79">
        <f t="shared" si="20"/>
        <v>46120</v>
      </c>
      <c r="Y173" s="79" t="str">
        <f t="shared" si="21"/>
        <v/>
      </c>
      <c r="Z173" s="80"/>
      <c r="AA173" s="80">
        <f t="shared" si="22"/>
        <v>0</v>
      </c>
      <c r="AB173" s="80">
        <f t="shared" si="23"/>
        <v>0</v>
      </c>
      <c r="AC173" s="80"/>
      <c r="AD173" s="80"/>
      <c r="AE173" s="80"/>
      <c r="AF173" s="80">
        <v>6938.6</v>
      </c>
      <c r="AG173" s="80">
        <v>6938.6</v>
      </c>
      <c r="AH173" s="80"/>
      <c r="AI173" s="80">
        <v>9352.02</v>
      </c>
      <c r="AJ173" s="80">
        <v>9352.02</v>
      </c>
      <c r="AK173" s="80"/>
      <c r="AL173" s="80">
        <v>9050.34</v>
      </c>
      <c r="AM173" s="80">
        <v>9050.34</v>
      </c>
      <c r="AN173" s="80"/>
      <c r="AO173" s="80">
        <v>9352.02</v>
      </c>
      <c r="AP173" s="80">
        <v>9352.02</v>
      </c>
      <c r="AQ173" s="80"/>
      <c r="AR173" s="80">
        <v>9352.02</v>
      </c>
      <c r="AS173" s="80">
        <v>9352.02</v>
      </c>
      <c r="AT173" s="80"/>
      <c r="AU173" s="80"/>
      <c r="AV173" s="80"/>
      <c r="AW173" s="80"/>
      <c r="AX173" s="80"/>
      <c r="AY173" s="80"/>
      <c r="AZ173" s="80"/>
      <c r="BA173" s="80"/>
      <c r="BB173" s="80"/>
      <c r="BC173" s="80"/>
      <c r="BD173" s="80"/>
      <c r="BE173" s="80"/>
      <c r="BF173" s="80"/>
    </row>
    <row r="174" spans="1:58" ht="40.049999999999997" customHeight="1" x14ac:dyDescent="0.25">
      <c r="A174" s="98">
        <v>173</v>
      </c>
      <c r="B174" s="99">
        <v>107</v>
      </c>
      <c r="C174" s="100" t="s">
        <v>258</v>
      </c>
      <c r="D174" s="101" t="s">
        <v>730</v>
      </c>
      <c r="E174" s="101" t="s">
        <v>832</v>
      </c>
      <c r="F174" s="101" t="s">
        <v>833</v>
      </c>
      <c r="G174" s="101" t="s">
        <v>834</v>
      </c>
      <c r="H174" s="102">
        <v>9.0129999999999999</v>
      </c>
      <c r="I174" s="100" t="s">
        <v>46</v>
      </c>
      <c r="J174" s="103">
        <v>898.12</v>
      </c>
      <c r="K174" s="100">
        <v>249</v>
      </c>
      <c r="L174" s="104">
        <v>67187</v>
      </c>
      <c r="M174" s="104">
        <v>6718</v>
      </c>
      <c r="N174" s="104">
        <v>73905</v>
      </c>
      <c r="O174" s="77" t="s">
        <v>835</v>
      </c>
      <c r="P174" s="77" t="s">
        <v>836</v>
      </c>
      <c r="Q174" s="78">
        <f t="shared" si="24"/>
        <v>249</v>
      </c>
      <c r="R174" s="79">
        <v>46113</v>
      </c>
      <c r="S174" s="79">
        <f t="shared" si="17"/>
        <v>46361</v>
      </c>
      <c r="T174" s="80">
        <v>67187</v>
      </c>
      <c r="U174" s="80">
        <f t="shared" si="18"/>
        <v>6718.7</v>
      </c>
      <c r="V174" s="80">
        <f t="shared" si="19"/>
        <v>73905.7</v>
      </c>
      <c r="W174" s="78"/>
      <c r="X174" s="79">
        <f t="shared" si="20"/>
        <v>46113</v>
      </c>
      <c r="Y174" s="79" t="str">
        <f t="shared" si="21"/>
        <v/>
      </c>
      <c r="Z174" s="80"/>
      <c r="AA174" s="80">
        <f t="shared" si="22"/>
        <v>0</v>
      </c>
      <c r="AB174" s="80">
        <f t="shared" si="23"/>
        <v>0</v>
      </c>
      <c r="AC174" s="80"/>
      <c r="AD174" s="80"/>
      <c r="AE174" s="80"/>
      <c r="AF174" s="80">
        <v>8904.2999999999993</v>
      </c>
      <c r="AG174" s="80">
        <v>8904.2999999999993</v>
      </c>
      <c r="AH174" s="80"/>
      <c r="AI174" s="80">
        <v>9201.11</v>
      </c>
      <c r="AJ174" s="80">
        <v>9201.11</v>
      </c>
      <c r="AK174" s="80"/>
      <c r="AL174" s="80">
        <v>8904.2999999999993</v>
      </c>
      <c r="AM174" s="80">
        <v>8904.2999999999993</v>
      </c>
      <c r="AN174" s="80"/>
      <c r="AO174" s="80">
        <v>9201.11</v>
      </c>
      <c r="AP174" s="80">
        <v>9201.11</v>
      </c>
      <c r="AQ174" s="80"/>
      <c r="AR174" s="80">
        <v>9201.11</v>
      </c>
      <c r="AS174" s="80">
        <v>9201.11</v>
      </c>
      <c r="AT174" s="80"/>
      <c r="AU174" s="80"/>
      <c r="AV174" s="80"/>
      <c r="AW174" s="80"/>
      <c r="AX174" s="80"/>
      <c r="AY174" s="80"/>
      <c r="AZ174" s="80"/>
      <c r="BA174" s="80"/>
      <c r="BB174" s="80"/>
      <c r="BC174" s="80"/>
      <c r="BD174" s="80"/>
      <c r="BE174" s="80"/>
      <c r="BF174" s="80"/>
    </row>
    <row r="175" spans="1:58" ht="40.049999999999997" customHeight="1" x14ac:dyDescent="0.25">
      <c r="A175" s="98">
        <v>174</v>
      </c>
      <c r="B175" s="99">
        <v>107</v>
      </c>
      <c r="C175" s="100" t="s">
        <v>258</v>
      </c>
      <c r="D175" s="101" t="s">
        <v>730</v>
      </c>
      <c r="E175" s="101" t="s">
        <v>782</v>
      </c>
      <c r="F175" s="101" t="s">
        <v>837</v>
      </c>
      <c r="G175" s="101" t="s">
        <v>838</v>
      </c>
      <c r="H175" s="102">
        <v>6.8310000000000004</v>
      </c>
      <c r="I175" s="100" t="s">
        <v>46</v>
      </c>
      <c r="J175" s="103">
        <v>893.2</v>
      </c>
      <c r="K175" s="100">
        <v>249</v>
      </c>
      <c r="L175" s="104">
        <v>50643</v>
      </c>
      <c r="M175" s="104">
        <v>5064</v>
      </c>
      <c r="N175" s="104">
        <v>55707</v>
      </c>
      <c r="O175" s="77" t="s">
        <v>839</v>
      </c>
      <c r="P175" s="77" t="s">
        <v>781</v>
      </c>
      <c r="Q175" s="78">
        <f t="shared" si="24"/>
        <v>249</v>
      </c>
      <c r="R175" s="79">
        <v>46113</v>
      </c>
      <c r="S175" s="79">
        <f t="shared" si="17"/>
        <v>46361</v>
      </c>
      <c r="T175" s="80">
        <v>50643</v>
      </c>
      <c r="U175" s="80">
        <f t="shared" si="18"/>
        <v>5064.3</v>
      </c>
      <c r="V175" s="80">
        <f t="shared" si="19"/>
        <v>55707.3</v>
      </c>
      <c r="W175" s="78"/>
      <c r="X175" s="79">
        <f t="shared" si="20"/>
        <v>46113</v>
      </c>
      <c r="Y175" s="79" t="str">
        <f t="shared" si="21"/>
        <v/>
      </c>
      <c r="Z175" s="80"/>
      <c r="AA175" s="80">
        <f t="shared" si="22"/>
        <v>0</v>
      </c>
      <c r="AB175" s="80">
        <f t="shared" si="23"/>
        <v>0</v>
      </c>
      <c r="AC175" s="80"/>
      <c r="AD175" s="80"/>
      <c r="AE175" s="80"/>
      <c r="AF175" s="80">
        <v>6711.72</v>
      </c>
      <c r="AG175" s="80">
        <v>6711.72</v>
      </c>
      <c r="AH175" s="80"/>
      <c r="AI175" s="80">
        <v>6935.44</v>
      </c>
      <c r="AJ175" s="80">
        <v>6935.44</v>
      </c>
      <c r="AK175" s="80"/>
      <c r="AL175" s="80">
        <v>6711.72</v>
      </c>
      <c r="AM175" s="80">
        <v>6711.72</v>
      </c>
      <c r="AN175" s="80"/>
      <c r="AO175" s="80">
        <v>6935.44</v>
      </c>
      <c r="AP175" s="80">
        <v>6935.44</v>
      </c>
      <c r="AQ175" s="80"/>
      <c r="AR175" s="80">
        <v>6935.44</v>
      </c>
      <c r="AS175" s="80">
        <v>6935.44</v>
      </c>
      <c r="AT175" s="80"/>
      <c r="AU175" s="80"/>
      <c r="AV175" s="80"/>
      <c r="AW175" s="80"/>
      <c r="AX175" s="80"/>
      <c r="AY175" s="80"/>
      <c r="AZ175" s="80"/>
      <c r="BA175" s="80"/>
      <c r="BB175" s="80"/>
      <c r="BC175" s="80"/>
      <c r="BD175" s="80"/>
      <c r="BE175" s="80"/>
      <c r="BF175" s="80"/>
    </row>
    <row r="176" spans="1:58" ht="40.049999999999997" customHeight="1" x14ac:dyDescent="0.25">
      <c r="A176" s="105">
        <v>175</v>
      </c>
      <c r="B176" s="106">
        <v>107</v>
      </c>
      <c r="C176" s="107" t="s">
        <v>258</v>
      </c>
      <c r="D176" s="108" t="s">
        <v>730</v>
      </c>
      <c r="E176" s="108" t="s">
        <v>840</v>
      </c>
      <c r="F176" s="108" t="s">
        <v>841</v>
      </c>
      <c r="G176" s="108" t="s">
        <v>842</v>
      </c>
      <c r="H176" s="109">
        <v>6.5030000000000001</v>
      </c>
      <c r="I176" s="107" t="s">
        <v>46</v>
      </c>
      <c r="J176" s="110">
        <v>863.94</v>
      </c>
      <c r="K176" s="107">
        <v>249</v>
      </c>
      <c r="L176" s="111">
        <v>46632</v>
      </c>
      <c r="M176" s="111">
        <v>4663</v>
      </c>
      <c r="N176" s="111">
        <v>51295</v>
      </c>
      <c r="O176" s="83" t="s">
        <v>843</v>
      </c>
      <c r="P176" s="83" t="s">
        <v>801</v>
      </c>
      <c r="Q176" s="84">
        <f t="shared" si="24"/>
        <v>249</v>
      </c>
      <c r="R176" s="85">
        <v>46113</v>
      </c>
      <c r="S176" s="85">
        <f t="shared" si="17"/>
        <v>46361</v>
      </c>
      <c r="T176" s="86">
        <v>46632</v>
      </c>
      <c r="U176" s="86">
        <f t="shared" si="18"/>
        <v>4663.2</v>
      </c>
      <c r="V176" s="86">
        <f t="shared" si="19"/>
        <v>51295.199999999997</v>
      </c>
      <c r="W176" s="84"/>
      <c r="X176" s="85">
        <f t="shared" si="20"/>
        <v>46113</v>
      </c>
      <c r="Y176" s="85" t="str">
        <f t="shared" si="21"/>
        <v/>
      </c>
      <c r="Z176" s="86"/>
      <c r="AA176" s="86">
        <f t="shared" si="22"/>
        <v>0</v>
      </c>
      <c r="AB176" s="86">
        <f t="shared" si="23"/>
        <v>0</v>
      </c>
      <c r="AC176" s="86"/>
      <c r="AD176" s="86"/>
      <c r="AE176" s="86"/>
      <c r="AF176" s="86">
        <v>6180.14</v>
      </c>
      <c r="AG176" s="86">
        <v>6180.14</v>
      </c>
      <c r="AH176" s="86"/>
      <c r="AI176" s="86">
        <v>6386.14</v>
      </c>
      <c r="AJ176" s="86">
        <v>6386.14</v>
      </c>
      <c r="AK176" s="86"/>
      <c r="AL176" s="86">
        <v>6180.14</v>
      </c>
      <c r="AM176" s="86">
        <v>6180.14</v>
      </c>
      <c r="AN176" s="86"/>
      <c r="AO176" s="86">
        <v>6386.14</v>
      </c>
      <c r="AP176" s="86">
        <v>6386.14</v>
      </c>
      <c r="AQ176" s="86"/>
      <c r="AR176" s="86">
        <v>6386.14</v>
      </c>
      <c r="AS176" s="86">
        <v>6386.14</v>
      </c>
      <c r="AT176" s="86"/>
      <c r="AU176" s="86"/>
      <c r="AV176" s="86"/>
      <c r="AW176" s="86"/>
      <c r="AX176" s="86"/>
      <c r="AY176" s="86"/>
      <c r="AZ176" s="86"/>
      <c r="BA176" s="86"/>
      <c r="BB176" s="86"/>
      <c r="BC176" s="86"/>
      <c r="BD176" s="86"/>
      <c r="BE176" s="86"/>
      <c r="BF176" s="86"/>
    </row>
  </sheetData>
  <conditionalFormatting sqref="S2:S51">
    <cfRule type="expression" dxfId="62" priority="2">
      <formula>S2&gt;DATE(2026,12,31)</formula>
    </cfRule>
  </conditionalFormatting>
  <conditionalFormatting sqref="S52:S176">
    <cfRule type="expression" dxfId="61" priority="1">
      <formula>S52&gt;DATE(2026,12,31)</formula>
    </cfRule>
  </conditionalFormatting>
  <pageMargins left="0.7" right="0.7" top="0.75" bottom="0.75" header="0.3" footer="0.3"/>
  <pageSetup paperSize="9" orientation="portrait" r:id="rId1"/>
  <ignoredErrors>
    <ignoredError sqref="Q8:Q176" calculatedColumn="1"/>
  </ignoredError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04103-B33C-4A3D-8238-3B964E4EFA64}">
  <dimension ref="A1:L200"/>
  <sheetViews>
    <sheetView tabSelected="1" topLeftCell="A139" workbookViewId="0">
      <selection activeCell="A140" sqref="A140"/>
    </sheetView>
  </sheetViews>
  <sheetFormatPr baseColWidth="10" defaultColWidth="15.77734375" defaultRowHeight="30" customHeight="1" x14ac:dyDescent="0.3"/>
  <cols>
    <col min="1" max="16384" width="15.77734375" style="170"/>
  </cols>
  <sheetData>
    <row r="1" spans="1:12" ht="30" customHeight="1" x14ac:dyDescent="0.3">
      <c r="A1" s="194" t="s">
        <v>917</v>
      </c>
      <c r="B1" s="194" t="s">
        <v>927</v>
      </c>
      <c r="C1" s="194" t="s">
        <v>918</v>
      </c>
      <c r="D1" s="194" t="s">
        <v>919</v>
      </c>
      <c r="E1" s="194" t="s">
        <v>920</v>
      </c>
      <c r="F1" s="194" t="s">
        <v>921</v>
      </c>
      <c r="G1" s="194" t="s">
        <v>963</v>
      </c>
      <c r="H1" s="194" t="s">
        <v>923</v>
      </c>
      <c r="I1" s="194" t="s">
        <v>922</v>
      </c>
      <c r="J1" s="194" t="s">
        <v>924</v>
      </c>
      <c r="K1" s="194" t="s">
        <v>925</v>
      </c>
      <c r="L1" s="194" t="s">
        <v>926</v>
      </c>
    </row>
    <row r="2" spans="1:12" ht="30" customHeight="1" x14ac:dyDescent="0.3">
      <c r="A2" s="170" t="str">
        <f>+TablaMaestra[[#This Row],[CÓDIGO DE RUTA]]</f>
        <v>MO-609</v>
      </c>
      <c r="B2" s="170" t="str">
        <f>+TablaMaestra[[#This Row],[DENOMINACION DE INTERVENCION]]</f>
        <v>LA PAMPA (KM 13+600) - EMP. PE-36 (KM 21+725)</v>
      </c>
      <c r="C2" s="170" t="str">
        <f>+TablaMaestra[[#This Row],[DEPARTAMENTO]]</f>
        <v>MOQUEGUA</v>
      </c>
      <c r="D2" s="170" t="str">
        <f>+TablaMaestra[[#This Row],[PROVINCIA]]</f>
        <v>ILO</v>
      </c>
      <c r="E2" s="170" t="str">
        <f>+TablaMaestra[[#This Row],[DISTRITO]]</f>
        <v>ALGARROBAL</v>
      </c>
      <c r="F2" s="170" t="s">
        <v>928</v>
      </c>
      <c r="G2" s="170" t="s">
        <v>964</v>
      </c>
      <c r="H2" s="170" t="s">
        <v>929</v>
      </c>
      <c r="I2" s="170" t="s">
        <v>930</v>
      </c>
      <c r="J2" s="171">
        <v>0</v>
      </c>
      <c r="K2" s="171">
        <v>0</v>
      </c>
      <c r="L2" s="170" t="s">
        <v>933</v>
      </c>
    </row>
    <row r="3" spans="1:12" ht="30" customHeight="1" x14ac:dyDescent="0.3">
      <c r="A3" s="170" t="str">
        <f>+TablaMaestra[[#This Row],[CÓDIGO DE RUTA]]</f>
        <v>MO-610</v>
      </c>
      <c r="B3" s="170" t="str">
        <f>+TablaMaestra[[#This Row],[DENOMINACION DE INTERVENCION]]</f>
        <v>LORETO (KM 0+280) - YARAL FLORIDA - PEDREGAL - BOCATOMA DE AGUA POTABLE (KM 06+593)</v>
      </c>
      <c r="C3" s="170" t="str">
        <f>+TablaMaestra[[#This Row],[DEPARTAMENTO]]</f>
        <v>MOQUEGUA</v>
      </c>
      <c r="D3" s="170" t="str">
        <f>+TablaMaestra[[#This Row],[PROVINCIA]]</f>
        <v>ILO</v>
      </c>
      <c r="E3" s="170" t="str">
        <f>+TablaMaestra[[#This Row],[DISTRITO]]</f>
        <v>ALGARROBAL</v>
      </c>
      <c r="F3" s="170" t="s">
        <v>928</v>
      </c>
      <c r="G3" s="170" t="s">
        <v>964</v>
      </c>
      <c r="H3" s="170" t="s">
        <v>929</v>
      </c>
      <c r="I3" s="170" t="s">
        <v>930</v>
      </c>
      <c r="J3" s="171">
        <v>0</v>
      </c>
      <c r="K3" s="171">
        <v>0</v>
      </c>
      <c r="L3" s="170" t="s">
        <v>933</v>
      </c>
    </row>
    <row r="4" spans="1:12" ht="30" customHeight="1" x14ac:dyDescent="0.3">
      <c r="A4" s="170" t="str">
        <f>+TablaMaestra[[#This Row],[CÓDIGO DE RUTA]]</f>
        <v>MO-609</v>
      </c>
      <c r="B4" s="170" t="str">
        <f>+TablaMaestra[[#This Row],[DENOMINACION DE INTERVENCION]]</f>
        <v>EMP. PE-1S D - EL ALGARROBAL - EL HUESITO - LA PAMPA (KM 13+600)</v>
      </c>
      <c r="C4" s="170" t="str">
        <f>+TablaMaestra[[#This Row],[DEPARTAMENTO]]</f>
        <v>MOQUEGUA</v>
      </c>
      <c r="D4" s="170" t="str">
        <f>+TablaMaestra[[#This Row],[PROVINCIA]]</f>
        <v>ILO</v>
      </c>
      <c r="E4" s="170" t="str">
        <f>+TablaMaestra[[#This Row],[DISTRITO]]</f>
        <v>ILO; ALGARROBAL</v>
      </c>
      <c r="F4" s="170" t="s">
        <v>928</v>
      </c>
      <c r="G4" s="170" t="s">
        <v>964</v>
      </c>
      <c r="H4" s="170" t="s">
        <v>929</v>
      </c>
      <c r="I4" s="170" t="s">
        <v>930</v>
      </c>
      <c r="J4" s="171">
        <v>0</v>
      </c>
      <c r="K4" s="171">
        <v>0</v>
      </c>
      <c r="L4" s="170" t="s">
        <v>933</v>
      </c>
    </row>
    <row r="5" spans="1:12" ht="30" customHeight="1" x14ac:dyDescent="0.3">
      <c r="A5" s="170" t="str">
        <f>+TablaMaestra[[#This Row],[CÓDIGO DE RUTA]]</f>
        <v>MO-611</v>
      </c>
      <c r="B5" s="170" t="str">
        <f>+TablaMaestra[[#This Row],[DENOMINACION DE INTERVENCION]]</f>
        <v>EMP. PE-36 - EMP. MO-609 (KM 05+389)</v>
      </c>
      <c r="C5" s="170" t="str">
        <f>+TablaMaestra[[#This Row],[DEPARTAMENTO]]</f>
        <v>MOQUEGUA</v>
      </c>
      <c r="D5" s="170" t="str">
        <f>+TablaMaestra[[#This Row],[PROVINCIA]]</f>
        <v>ILO</v>
      </c>
      <c r="E5" s="170" t="str">
        <f>+TablaMaestra[[#This Row],[DISTRITO]]</f>
        <v>ILO; ALGARROBAL</v>
      </c>
      <c r="F5" s="170" t="s">
        <v>928</v>
      </c>
      <c r="G5" s="170" t="s">
        <v>964</v>
      </c>
      <c r="H5" s="170" t="s">
        <v>929</v>
      </c>
      <c r="I5" s="170" t="s">
        <v>930</v>
      </c>
      <c r="J5" s="171">
        <v>0</v>
      </c>
      <c r="K5" s="171">
        <v>0</v>
      </c>
      <c r="L5" s="170" t="s">
        <v>933</v>
      </c>
    </row>
    <row r="6" spans="1:12" ht="30" customHeight="1" x14ac:dyDescent="0.3">
      <c r="A6" s="170" t="str">
        <f>+TablaMaestra[[#This Row],[CÓDIGO DE RUTA]]</f>
        <v>MO-612</v>
      </c>
      <c r="B6" s="170" t="str">
        <f>+TablaMaestra[[#This Row],[DENOMINACION DE INTERVENCION]]</f>
        <v>EMP. PE-36 (ROTARY) - TERMINAL TERRESTRE - EMP. PE-1S D (KM 04+708)</v>
      </c>
      <c r="C6" s="170" t="str">
        <f>+TablaMaestra[[#This Row],[DEPARTAMENTO]]</f>
        <v>MOQUEGUA</v>
      </c>
      <c r="D6" s="170" t="str">
        <f>+TablaMaestra[[#This Row],[PROVINCIA]]</f>
        <v>ILO</v>
      </c>
      <c r="E6" s="170" t="str">
        <f>+TablaMaestra[[#This Row],[DISTRITO]]</f>
        <v>ILO</v>
      </c>
      <c r="F6" s="170" t="s">
        <v>928</v>
      </c>
      <c r="G6" s="170" t="s">
        <v>964</v>
      </c>
      <c r="H6" s="170" t="s">
        <v>929</v>
      </c>
      <c r="I6" s="170" t="s">
        <v>930</v>
      </c>
      <c r="J6" s="171">
        <v>0</v>
      </c>
      <c r="K6" s="171">
        <v>0</v>
      </c>
      <c r="L6" s="170" t="s">
        <v>933</v>
      </c>
    </row>
    <row r="7" spans="1:12" ht="30" customHeight="1" x14ac:dyDescent="0.3">
      <c r="A7" s="170" t="str">
        <f>+TablaMaestra[[#This Row],[CÓDIGO DE RUTA]]</f>
        <v>MO-549</v>
      </c>
      <c r="B7" s="170" t="str">
        <f>+TablaMaestra[[#This Row],[DENOMINACION DE INTERVENCION]]</f>
        <v>EMP. PE-36 B (TITIRI) - ARUNTAYA - CACHIMOCO - PASTO GRANDE WILLACOLLO - LORIPUNGO - EMP.
PE-36 A (L. D. PUNO) (KM 51+600)</v>
      </c>
      <c r="C7" s="170" t="str">
        <f>+TablaMaestra[[#This Row],[DEPARTAMENTO]]</f>
        <v>MOQUEGUA</v>
      </c>
      <c r="D7" s="170" t="str">
        <f>+TablaMaestra[[#This Row],[PROVINCIA]]</f>
        <v>MARISCAL NIETO</v>
      </c>
      <c r="E7" s="170" t="str">
        <f>+TablaMaestra[[#This Row],[DISTRITO]]</f>
        <v>CARUMAS</v>
      </c>
      <c r="F7" s="170" t="s">
        <v>928</v>
      </c>
      <c r="G7" s="170" t="s">
        <v>964</v>
      </c>
      <c r="H7" s="170" t="s">
        <v>929</v>
      </c>
      <c r="I7" s="170" t="s">
        <v>930</v>
      </c>
      <c r="J7" s="171">
        <v>0</v>
      </c>
      <c r="K7" s="171">
        <v>0</v>
      </c>
      <c r="L7" s="170" t="s">
        <v>932</v>
      </c>
    </row>
    <row r="8" spans="1:12" ht="30" customHeight="1" x14ac:dyDescent="0.3">
      <c r="A8" s="170" t="str">
        <f>+TablaMaestra[[#This Row],[CÓDIGO DE RUTA]]</f>
        <v>R1801290</v>
      </c>
      <c r="B8" s="170" t="str">
        <f>+TablaMaestra[[#This Row],[DENOMINACION DE INTERVENCION]]</f>
        <v>EMP. PE-1S (CALALUNA) - SAN ANTONIO - COPOCROP - EMP. MO-603 (KM 05+485)</v>
      </c>
      <c r="C8" s="170" t="str">
        <f>+TablaMaestra[[#This Row],[DEPARTAMENTO]]</f>
        <v>MOQUEGUA</v>
      </c>
      <c r="D8" s="170" t="str">
        <f>+TablaMaestra[[#This Row],[PROVINCIA]]</f>
        <v>MARISCAL NIETO</v>
      </c>
      <c r="E8" s="170" t="str">
        <f>+TablaMaestra[[#This Row],[DISTRITO]]</f>
        <v>SAN ANTONIO</v>
      </c>
      <c r="F8" s="170" t="s">
        <v>928</v>
      </c>
      <c r="G8" s="170" t="s">
        <v>964</v>
      </c>
      <c r="H8" s="170" t="s">
        <v>929</v>
      </c>
      <c r="I8" s="170" t="s">
        <v>930</v>
      </c>
      <c r="J8" s="171">
        <f ca="1">IF(ISBLANK(Ayuda!R8), 0, MIN(MAX(0, (TODAY() - Ayuda!R8) / (Ayuda!Q8 + IFERROR(Ayuda!W8, 0))), 1))</f>
        <v>0.66666666666666663</v>
      </c>
      <c r="K8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0.4170840077142981</v>
      </c>
      <c r="L8" s="170" t="s">
        <v>931</v>
      </c>
    </row>
    <row r="9" spans="1:12" ht="30" customHeight="1" x14ac:dyDescent="0.3">
      <c r="A9" s="170" t="str">
        <f>+TablaMaestra[[#This Row],[CÓDIGO DE RUTA]]</f>
        <v>R1801302</v>
      </c>
      <c r="B9" s="170" t="str">
        <f>+TablaMaestra[[#This Row],[DENOMINACION DE INTERVENCION]]</f>
        <v>EMP. PE-1S (SAN JOSÉ) - PTE. SANTO DOMINGO - LA MERCED - SACATA - EMP. MO-606 (KM 05+100)</v>
      </c>
      <c r="C9" s="170" t="str">
        <f>+TablaMaestra[[#This Row],[DEPARTAMENTO]]</f>
        <v>MOQUEGUA</v>
      </c>
      <c r="D9" s="170" t="str">
        <f>+TablaMaestra[[#This Row],[PROVINCIA]]</f>
        <v>MARISCAL NIETO</v>
      </c>
      <c r="E9" s="170" t="str">
        <f>+TablaMaestra[[#This Row],[DISTRITO]]</f>
        <v>SAN ANTONIO</v>
      </c>
      <c r="F9" s="170" t="s">
        <v>928</v>
      </c>
      <c r="G9" s="170" t="s">
        <v>964</v>
      </c>
      <c r="H9" s="170" t="s">
        <v>929</v>
      </c>
      <c r="I9" s="170" t="s">
        <v>930</v>
      </c>
      <c r="J9" s="171">
        <f ca="1">IF(ISBLANK(Ayuda!R9), 0, MIN(MAX(0, (TODAY() - Ayuda!R9) / (Ayuda!Q9 + IFERROR(Ayuda!W9, 0))), 1))</f>
        <v>0.66666666666666663</v>
      </c>
      <c r="K9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0.41708350006669337</v>
      </c>
      <c r="L9" s="170" t="s">
        <v>931</v>
      </c>
    </row>
    <row r="10" spans="1:12" ht="30" customHeight="1" x14ac:dyDescent="0.3">
      <c r="A10" s="170" t="str">
        <f>+TablaMaestra[[#This Row],[CÓDIGO DE RUTA]]</f>
        <v>MO-598</v>
      </c>
      <c r="B10" s="170" t="str">
        <f>+TablaMaestra[[#This Row],[DENOMINACION DE INTERVENCION]]</f>
        <v>EMP. MO-590 - EL RAYO - OCOLLITA -  ESTUQUIÑA - LOS ÁNGELES - EMP. MO-579 (TOMBOLOMBO) (KM 07+000)</v>
      </c>
      <c r="C10" s="170" t="str">
        <f>+TablaMaestra[[#This Row],[DEPARTAMENTO]]</f>
        <v>MOQUEGUA</v>
      </c>
      <c r="D10" s="170" t="str">
        <f>+TablaMaestra[[#This Row],[PROVINCIA]]</f>
        <v>MARISCAL NIETO</v>
      </c>
      <c r="E10" s="170" t="str">
        <f>+TablaMaestra[[#This Row],[DISTRITO]]</f>
        <v>MOQUEGUA</v>
      </c>
      <c r="F10" s="170" t="s">
        <v>928</v>
      </c>
      <c r="G10" s="170" t="s">
        <v>964</v>
      </c>
      <c r="H10" s="170" t="s">
        <v>929</v>
      </c>
      <c r="I10" s="170" t="s">
        <v>930</v>
      </c>
      <c r="J10" s="171">
        <f ca="1">IF(ISBLANK(Ayuda!R10), 0, MIN(MAX(0, (TODAY() - Ayuda!R10) / (Ayuda!Q10 + IFERROR(Ayuda!W10, 0))), 1))</f>
        <v>0.55000000000000004</v>
      </c>
      <c r="K10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0.13628571428571429</v>
      </c>
      <c r="L10" s="170" t="s">
        <v>931</v>
      </c>
    </row>
    <row r="11" spans="1:12" ht="30" customHeight="1" x14ac:dyDescent="0.3">
      <c r="A11" s="170" t="str">
        <f>+TablaMaestra[[#This Row],[CÓDIGO DE RUTA]]</f>
        <v>MO-583</v>
      </c>
      <c r="B11" s="170" t="str">
        <f>+TablaMaestra[[#This Row],[DENOMINACION DE INTERVENCION]]</f>
        <v>EMP. PE-36 A - IE TORATA ALTA - TORATA ALTA (KM 03+524)</v>
      </c>
      <c r="C11" s="170" t="str">
        <f>+TablaMaestra[[#This Row],[DEPARTAMENTO]]</f>
        <v>MOQUEGUA</v>
      </c>
      <c r="D11" s="170" t="str">
        <f>+TablaMaestra[[#This Row],[PROVINCIA]]</f>
        <v>MARISCAL NIETO</v>
      </c>
      <c r="E11" s="170" t="str">
        <f>+TablaMaestra[[#This Row],[DISTRITO]]</f>
        <v>TORATA</v>
      </c>
      <c r="F11" s="170" t="s">
        <v>928</v>
      </c>
      <c r="G11" s="170" t="s">
        <v>964</v>
      </c>
      <c r="H11" s="170" t="s">
        <v>929</v>
      </c>
      <c r="I11" s="170" t="s">
        <v>930</v>
      </c>
      <c r="J11" s="171">
        <f ca="1">IF(ISBLANK(Ayuda!R11), 0, MIN(MAX(0, (TODAY() - Ayuda!R11) / (Ayuda!Q11 + IFERROR(Ayuda!W11, 0))), 1))</f>
        <v>0.66666666666666663</v>
      </c>
      <c r="K11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0.35978601461207654</v>
      </c>
      <c r="L11" s="170" t="s">
        <v>931</v>
      </c>
    </row>
    <row r="12" spans="1:12" ht="30" customHeight="1" x14ac:dyDescent="0.3">
      <c r="A12" s="170" t="str">
        <f>+TablaMaestra[[#This Row],[CÓDIGO DE RUTA]]</f>
        <v>MO-521</v>
      </c>
      <c r="B12" s="170" t="str">
        <f>+TablaMaestra[[#This Row],[DENOMINACION DE INTERVENCION]]</f>
        <v>OMATE(KM 01+525) - CHICHILIN ALTO - CHALLAHUAYO - CARABAYA - COHUACHO (KM 14+931)</v>
      </c>
      <c r="C12" s="170" t="str">
        <f>+TablaMaestra[[#This Row],[DEPARTAMENTO]]</f>
        <v>MOQUEGUA</v>
      </c>
      <c r="D12" s="170" t="str">
        <f>+TablaMaestra[[#This Row],[PROVINCIA]]</f>
        <v>GENERAL SANCHEZ CERRO</v>
      </c>
      <c r="E12" s="170" t="str">
        <f>+TablaMaestra[[#This Row],[DISTRITO]]</f>
        <v>OMATE</v>
      </c>
      <c r="F12" s="170" t="s">
        <v>928</v>
      </c>
      <c r="G12" s="170" t="s">
        <v>964</v>
      </c>
      <c r="H12" s="170" t="s">
        <v>929</v>
      </c>
      <c r="I12" s="170" t="s">
        <v>930</v>
      </c>
      <c r="J12" s="171">
        <f ca="1">IF(ISBLANK(Ayuda!R12), 0, MIN(MAX(0, (TODAY() - Ayuda!R12) / (Ayuda!Q12 + IFERROR(Ayuda!W12, 0))), 1))</f>
        <v>0.26027397260273971</v>
      </c>
      <c r="K12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0.20624998413977408</v>
      </c>
      <c r="L12" s="170" t="s">
        <v>931</v>
      </c>
    </row>
    <row r="13" spans="1:12" ht="30" customHeight="1" x14ac:dyDescent="0.3">
      <c r="A13" s="170" t="str">
        <f>+TablaMaestra[[#This Row],[CÓDIGO DE RUTA]]</f>
        <v>MO-524</v>
      </c>
      <c r="B13" s="170" t="str">
        <f>+TablaMaestra[[#This Row],[DENOMINACION DE INTERVENCION]]</f>
        <v>PUENTE OMATE (KM 1+041) - ANEXO LAJE (KM 1+587), LAJE ( KM 1+952) - CAPILLA VIRGEN COPACABANA (2+386), ANEXO SABAYA ( KM 02+ 534) - SAN MIGUEL (3+476), SAN FRANCISCO (KM 5+689) - I.E. N°43057 - URINAY (7+336)</v>
      </c>
      <c r="C13" s="170" t="str">
        <f>+TablaMaestra[[#This Row],[DEPARTAMENTO]]</f>
        <v>MOQUEGUA</v>
      </c>
      <c r="D13" s="170" t="str">
        <f>+TablaMaestra[[#This Row],[PROVINCIA]]</f>
        <v>GENERAL SANCHEZ CERRO</v>
      </c>
      <c r="E13" s="170" t="str">
        <f>+TablaMaestra[[#This Row],[DISTRITO]]</f>
        <v>OMATE</v>
      </c>
      <c r="F13" s="170" t="s">
        <v>928</v>
      </c>
      <c r="G13" s="170" t="s">
        <v>964</v>
      </c>
      <c r="H13" s="170" t="s">
        <v>929</v>
      </c>
      <c r="I13" s="170" t="s">
        <v>930</v>
      </c>
      <c r="J13" s="171">
        <f ca="1">IF(ISBLANK(Ayuda!R13), 0, MIN(MAX(0, (TODAY() - Ayuda!R13) / (Ayuda!Q13 + IFERROR(Ayuda!W13, 0))), 1))</f>
        <v>0.76628352490421459</v>
      </c>
      <c r="K13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0.5521072566371682</v>
      </c>
      <c r="L13" s="170" t="s">
        <v>931</v>
      </c>
    </row>
    <row r="14" spans="1:12" ht="30" customHeight="1" x14ac:dyDescent="0.3">
      <c r="A14" s="170" t="str">
        <f>+TablaMaestra[[#This Row],[CÓDIGO DE RUTA]]</f>
        <v>R180221</v>
      </c>
      <c r="B14" s="170" t="str">
        <f>+TablaMaestra[[#This Row],[DENOMINACION DE INTERVENCION]]</f>
        <v>EMP. MO-522 - ACHICARI - HUASALON - QUINISTACAS - EMP. MO-521 (CHALLAHUAYO)</v>
      </c>
      <c r="C14" s="170" t="str">
        <f>+TablaMaestra[[#This Row],[DEPARTAMENTO]]</f>
        <v>MOQUEGUA</v>
      </c>
      <c r="D14" s="170" t="str">
        <f>+TablaMaestra[[#This Row],[PROVINCIA]]</f>
        <v>GENERAL SANCHEZ CERRO</v>
      </c>
      <c r="E14" s="170" t="str">
        <f>+TablaMaestra[[#This Row],[DISTRITO]]</f>
        <v>OMATE</v>
      </c>
      <c r="F14" s="170" t="s">
        <v>928</v>
      </c>
      <c r="G14" s="170" t="s">
        <v>964</v>
      </c>
      <c r="H14" s="170" t="s">
        <v>929</v>
      </c>
      <c r="I14" s="170" t="s">
        <v>930</v>
      </c>
      <c r="J14" s="171">
        <f ca="1">IF(ISBLANK(Ayuda!R14), 0, MIN(MAX(0, (TODAY() - Ayuda!R14) / (Ayuda!Q14 + IFERROR(Ayuda!W14, 0))), 1))</f>
        <v>0.76245210727969348</v>
      </c>
      <c r="K14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0.54789320000000008</v>
      </c>
      <c r="L14" s="170" t="s">
        <v>931</v>
      </c>
    </row>
    <row r="15" spans="1:12" ht="30" customHeight="1" x14ac:dyDescent="0.3">
      <c r="A15" s="170" t="str">
        <f>+TablaMaestra[[#This Row],[CÓDIGO DE RUTA]]</f>
        <v>MO-511</v>
      </c>
      <c r="B15" s="170" t="str">
        <f>+TablaMaestra[[#This Row],[DENOMINACION DE INTERVENCION]]</f>
        <v>PUQUINA (KM 01+245) - POCOHUAYO  (KM 7+151), POCOHUAYO (KM 07+438)  - TILIA - EMP. MO-512 (KM 10+748)</v>
      </c>
      <c r="C15" s="170" t="str">
        <f>+TablaMaestra[[#This Row],[DEPARTAMENTO]]</f>
        <v>MOQUEGUA</v>
      </c>
      <c r="D15" s="170" t="str">
        <f>+TablaMaestra[[#This Row],[PROVINCIA]]</f>
        <v>GENERAL SANCHEZ CERRO</v>
      </c>
      <c r="E15" s="170" t="str">
        <f>+TablaMaestra[[#This Row],[DISTRITO]]</f>
        <v>PUQUINA</v>
      </c>
      <c r="F15" s="170" t="s">
        <v>928</v>
      </c>
      <c r="G15" s="170" t="s">
        <v>964</v>
      </c>
      <c r="H15" s="170" t="s">
        <v>929</v>
      </c>
      <c r="I15" s="170" t="s">
        <v>930</v>
      </c>
      <c r="J15" s="171">
        <f ca="1">IF(ISBLANK(Ayuda!R15), 0, MIN(MAX(0, (TODAY() - Ayuda!R15) / (Ayuda!Q15 + IFERROR(Ayuda!W15, 0))), 1))</f>
        <v>0.26027397260273971</v>
      </c>
      <c r="K15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0.20625008504641104</v>
      </c>
      <c r="L15" s="170" t="s">
        <v>931</v>
      </c>
    </row>
    <row r="16" spans="1:12" ht="30" customHeight="1" x14ac:dyDescent="0.3">
      <c r="A16" s="170" t="str">
        <f>+TablaMaestra[[#This Row],[CÓDIGO DE RUTA]]</f>
        <v>MO-512</v>
      </c>
      <c r="B16" s="170" t="str">
        <f>+TablaMaestra[[#This Row],[DENOMINACION DE INTERVENCION]]</f>
        <v>TOHATA (KM 9+671) - COALAQUE - SOJAMURE - CAIMAN - HEMBRUNA (KM 16+019) , HEMBRUNA (KM 16+143) - CHALLAHUAYO - TALA - CURUYO - (KM 21+465), LA CAPILLA (KM 21+579) - VINOMORE - SAHUANAY (KM 24+785)</v>
      </c>
      <c r="C16" s="170" t="str">
        <f>+TablaMaestra[[#This Row],[DEPARTAMENTO]]</f>
        <v>MOQUEGUA</v>
      </c>
      <c r="D16" s="170" t="str">
        <f>+TablaMaestra[[#This Row],[PROVINCIA]]</f>
        <v>GENERAL SANCHEZ CERRO</v>
      </c>
      <c r="E16" s="170" t="str">
        <f>+TablaMaestra[[#This Row],[DISTRITO]]</f>
        <v>LA CAPILLA</v>
      </c>
      <c r="F16" s="170" t="s">
        <v>928</v>
      </c>
      <c r="G16" s="170" t="s">
        <v>964</v>
      </c>
      <c r="H16" s="170" t="s">
        <v>929</v>
      </c>
      <c r="I16" s="170" t="s">
        <v>930</v>
      </c>
      <c r="J16" s="171">
        <f ca="1">IF(ISBLANK(Ayuda!R16), 0, MIN(MAX(0, (TODAY() - Ayuda!R16) / (Ayuda!Q16 + IFERROR(Ayuda!W16, 0))), 1))</f>
        <v>0.26027397260273971</v>
      </c>
      <c r="K16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0.20625001128193463</v>
      </c>
      <c r="L16" s="170" t="s">
        <v>931</v>
      </c>
    </row>
    <row r="17" spans="1:12" ht="30" customHeight="1" x14ac:dyDescent="0.3">
      <c r="A17" s="170" t="str">
        <f>+TablaMaestra[[#This Row],[CÓDIGO DE RUTA]]</f>
        <v>MO-529</v>
      </c>
      <c r="B17" s="170" t="str">
        <f>+TablaMaestra[[#This Row],[DENOMINACION DE INTERVENCION]]</f>
        <v>EMP. MO-100 - SANCAYA - C.P. SACOHAYA  (KM 03+480), C.P. SACOHAYA (KM  03+675) - EMP. MO-101 (KM 12+865)</v>
      </c>
      <c r="C17" s="170" t="str">
        <f>+TablaMaestra[[#This Row],[DEPARTAMENTO]]</f>
        <v>MOQUEGUA</v>
      </c>
      <c r="D17" s="170" t="str">
        <f>+TablaMaestra[[#This Row],[PROVINCIA]]</f>
        <v>GENERAL SANCHEZ CERRO</v>
      </c>
      <c r="E17" s="170" t="str">
        <f>+TablaMaestra[[#This Row],[DISTRITO]]</f>
        <v>UBINAS</v>
      </c>
      <c r="F17" s="170" t="s">
        <v>928</v>
      </c>
      <c r="G17" s="170" t="s">
        <v>964</v>
      </c>
      <c r="H17" s="170" t="s">
        <v>929</v>
      </c>
      <c r="I17" s="170" t="s">
        <v>930</v>
      </c>
      <c r="J17" s="171">
        <f ca="1">IF(ISBLANK(Ayuda!R17), 0, MIN(MAX(0, (TODAY() - Ayuda!R17) / (Ayuda!Q17 + IFERROR(Ayuda!W17, 0))), 1))</f>
        <v>0.26027397260273971</v>
      </c>
      <c r="K17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0.20625206640762977</v>
      </c>
      <c r="L17" s="170" t="s">
        <v>931</v>
      </c>
    </row>
    <row r="18" spans="1:12" ht="30" customHeight="1" x14ac:dyDescent="0.3">
      <c r="A18" s="170" t="str">
        <f>+TablaMaestra[[#This Row],[CÓDIGO DE RUTA]]</f>
        <v>R180238</v>
      </c>
      <c r="B18" s="170" t="str">
        <f>+TablaMaestra[[#This Row],[DENOMINACION DE INTERVENCION]]</f>
        <v>EMP. MO-101 - EMP. MO-529</v>
      </c>
      <c r="C18" s="170" t="str">
        <f>+TablaMaestra[[#This Row],[DEPARTAMENTO]]</f>
        <v>MOQUEGUA</v>
      </c>
      <c r="D18" s="170" t="str">
        <f>+TablaMaestra[[#This Row],[PROVINCIA]]</f>
        <v>GENERAL SANCHEZ CERRO</v>
      </c>
      <c r="E18" s="170" t="str">
        <f>+TablaMaestra[[#This Row],[DISTRITO]]</f>
        <v>UBINAS</v>
      </c>
      <c r="F18" s="170" t="s">
        <v>928</v>
      </c>
      <c r="G18" s="170" t="s">
        <v>964</v>
      </c>
      <c r="H18" s="170" t="s">
        <v>929</v>
      </c>
      <c r="I18" s="170" t="s">
        <v>930</v>
      </c>
      <c r="J18" s="171">
        <f ca="1">IF(ISBLANK(Ayuda!R18), 0, MIN(MAX(0, (TODAY() - Ayuda!R18) / (Ayuda!Q18 + IFERROR(Ayuda!W18, 0))), 1))</f>
        <v>0.84583333333333333</v>
      </c>
      <c r="K18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0.61416675749318794</v>
      </c>
      <c r="L18" s="170" t="s">
        <v>931</v>
      </c>
    </row>
    <row r="19" spans="1:12" ht="30" customHeight="1" x14ac:dyDescent="0.3">
      <c r="A19" s="170" t="str">
        <f>+TablaMaestra[[#This Row],[CÓDIGO DE RUTA]]</f>
        <v>MO-530</v>
      </c>
      <c r="B19" s="170" t="str">
        <f>+TablaMaestra[[#This Row],[DENOMINACION DE INTERVENCION]]</f>
        <v>EMP. MO-101 (MAYUMAYU)-ESCACHA (KM 07+081)</v>
      </c>
      <c r="C19" s="170" t="str">
        <f>+TablaMaestra[[#This Row],[DEPARTAMENTO]]</f>
        <v>MOQUEGUA</v>
      </c>
      <c r="D19" s="170" t="str">
        <f>+TablaMaestra[[#This Row],[PROVINCIA]]</f>
        <v>GENERAL SANCHEZ CERRO</v>
      </c>
      <c r="E19" s="170" t="str">
        <f>+TablaMaestra[[#This Row],[DISTRITO]]</f>
        <v>UBINAS</v>
      </c>
      <c r="F19" s="170" t="s">
        <v>928</v>
      </c>
      <c r="G19" s="170" t="s">
        <v>964</v>
      </c>
      <c r="H19" s="170" t="s">
        <v>929</v>
      </c>
      <c r="I19" s="170" t="s">
        <v>930</v>
      </c>
      <c r="J19" s="171">
        <f ca="1">IF(ISBLANK(Ayuda!R19), 0, MIN(MAX(0, (TODAY() - Ayuda!R19) / (Ayuda!Q19 + IFERROR(Ayuda!W19, 0))), 1))</f>
        <v>0.8208333333333333</v>
      </c>
      <c r="K19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0.58666700000000005</v>
      </c>
      <c r="L19" s="170" t="s">
        <v>931</v>
      </c>
    </row>
    <row r="20" spans="1:12" ht="30" customHeight="1" x14ac:dyDescent="0.3">
      <c r="A20" s="170" t="str">
        <f>+TablaMaestra[[#This Row],[CÓDIGO DE RUTA]]</f>
        <v>MO-518</v>
      </c>
      <c r="B20" s="170" t="str">
        <f>+TablaMaestra[[#This Row],[DENOMINACION DE INTERVENCION]]</f>
        <v>EMP. MO-108 (COALAQUE) - INGRESANTES - ALTO INFIERNILLO - CHACLACA (KM 05+393)</v>
      </c>
      <c r="C20" s="170" t="str">
        <f>+TablaMaestra[[#This Row],[DEPARTAMENTO]]</f>
        <v>MOQUEGUA</v>
      </c>
      <c r="D20" s="170" t="str">
        <f>+TablaMaestra[[#This Row],[PROVINCIA]]</f>
        <v>GENERAL SANCHEZ CERRO</v>
      </c>
      <c r="E20" s="170" t="str">
        <f>+TablaMaestra[[#This Row],[DISTRITO]]</f>
        <v>COALAQUE</v>
      </c>
      <c r="F20" s="170" t="s">
        <v>928</v>
      </c>
      <c r="G20" s="170" t="s">
        <v>964</v>
      </c>
      <c r="H20" s="170" t="s">
        <v>929</v>
      </c>
      <c r="I20" s="170" t="s">
        <v>930</v>
      </c>
      <c r="J20" s="171">
        <f ca="1">IF(ISBLANK(Ayuda!R20), 0, MIN(MAX(0, (TODAY() - Ayuda!R20) / (Ayuda!Q20 + IFERROR(Ayuda!W20, 0))), 1))</f>
        <v>0.83333333333333337</v>
      </c>
      <c r="K20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0.60041666666666671</v>
      </c>
      <c r="L20" s="170" t="s">
        <v>931</v>
      </c>
    </row>
    <row r="21" spans="1:12" ht="30" customHeight="1" x14ac:dyDescent="0.3">
      <c r="A21" s="170" t="str">
        <f>+TablaMaestra[[#This Row],[CÓDIGO DE RUTA]]</f>
        <v>MO-516</v>
      </c>
      <c r="B21" s="170" t="str">
        <f>+TablaMaestra[[#This Row],[DENOMINACION DE INTERVENCION]]</f>
        <v>EMP. MO-108-PAMPA DOLORES -ULUCAN (KM 06+989)</v>
      </c>
      <c r="C21" s="170" t="str">
        <f>+TablaMaestra[[#This Row],[DEPARTAMENTO]]</f>
        <v>MOQUEGUA</v>
      </c>
      <c r="D21" s="170" t="str">
        <f>+TablaMaestra[[#This Row],[PROVINCIA]]</f>
        <v>GENERAL SANCHEZ CERRO</v>
      </c>
      <c r="E21" s="170" t="str">
        <f>+TablaMaestra[[#This Row],[DISTRITO]]</f>
        <v>COALAQUE</v>
      </c>
      <c r="F21" s="170" t="s">
        <v>928</v>
      </c>
      <c r="G21" s="170" t="s">
        <v>964</v>
      </c>
      <c r="H21" s="170" t="s">
        <v>929</v>
      </c>
      <c r="I21" s="170" t="s">
        <v>930</v>
      </c>
      <c r="J21" s="172" t="s">
        <v>930</v>
      </c>
      <c r="K21" s="171" t="s">
        <v>930</v>
      </c>
      <c r="L21" s="170" t="s">
        <v>932</v>
      </c>
    </row>
    <row r="22" spans="1:12" ht="30" customHeight="1" x14ac:dyDescent="0.3">
      <c r="A22" s="170" t="str">
        <f>+TablaMaestra[[#This Row],[CÓDIGO DE RUTA]]</f>
        <v>R180219</v>
      </c>
      <c r="B22" s="170" t="str">
        <f>+TablaMaestra[[#This Row],[DENOMINACION DE INTERVENCION]]</f>
        <v>EMP. MO-516 (ULUCAN) - PALCAMAYO (KM 02+984)</v>
      </c>
      <c r="C22" s="170" t="str">
        <f>+TablaMaestra[[#This Row],[DEPARTAMENTO]]</f>
        <v>MOQUEGUA</v>
      </c>
      <c r="D22" s="170" t="str">
        <f>+TablaMaestra[[#This Row],[PROVINCIA]]</f>
        <v>GENERAL SANCHEZ CERRO</v>
      </c>
      <c r="E22" s="170" t="str">
        <f>+TablaMaestra[[#This Row],[DISTRITO]]</f>
        <v>COALAQUE</v>
      </c>
      <c r="F22" s="170" t="s">
        <v>928</v>
      </c>
      <c r="G22" s="170" t="s">
        <v>964</v>
      </c>
      <c r="H22" s="170" t="s">
        <v>929</v>
      </c>
      <c r="I22" s="170" t="s">
        <v>930</v>
      </c>
      <c r="J22" s="172" t="s">
        <v>930</v>
      </c>
      <c r="K22" s="171" t="s">
        <v>930</v>
      </c>
      <c r="L22" s="170" t="s">
        <v>932</v>
      </c>
    </row>
    <row r="23" spans="1:12" ht="30" customHeight="1" x14ac:dyDescent="0.3">
      <c r="A23" s="170" t="str">
        <f>+TablaMaestra[[#This Row],[CÓDIGO DE RUTA]]</f>
        <v>TA-549</v>
      </c>
      <c r="B23" s="170" t="str">
        <f>+TablaMaestra[[#This Row],[DENOMINACION DE INTERVENCION]]</f>
        <v>EMP. TA-103 (ARICOTA) - MARJANI (KM 2+031)</v>
      </c>
      <c r="C23" s="170" t="str">
        <f>+TablaMaestra[[#This Row],[DEPARTAMENTO]]</f>
        <v>TACNA</v>
      </c>
      <c r="D23" s="170" t="str">
        <f>+TablaMaestra[[#This Row],[PROVINCIA]]</f>
        <v>CANDARAVE</v>
      </c>
      <c r="E23" s="170" t="str">
        <f>+TablaMaestra[[#This Row],[DISTRITO]]</f>
        <v>QUILAHUANI</v>
      </c>
      <c r="F23" s="170" t="s">
        <v>928</v>
      </c>
      <c r="G23" s="170" t="s">
        <v>964</v>
      </c>
      <c r="H23" s="170" t="s">
        <v>929</v>
      </c>
      <c r="I23" s="170" t="s">
        <v>930</v>
      </c>
      <c r="J23" s="171">
        <f ca="1">IF(ISBLANK(Ayuda!R23), 0, MIN(MAX(0, (TODAY() - Ayuda!R23) / (Ayuda!Q23 + IFERROR(Ayuda!W23, 0))), 1))</f>
        <v>0.65833333333333333</v>
      </c>
      <c r="K23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0.40791659688494392</v>
      </c>
      <c r="L23" s="170" t="s">
        <v>931</v>
      </c>
    </row>
    <row r="24" spans="1:12" ht="30" customHeight="1" x14ac:dyDescent="0.3">
      <c r="A24" s="170" t="str">
        <f>+TablaMaestra[[#This Row],[CÓDIGO DE RUTA]]</f>
        <v>TA-521</v>
      </c>
      <c r="B24" s="170" t="str">
        <f>+TablaMaestra[[#This Row],[DENOMINACION DE INTERVENCION]]</f>
        <v>EMP. TA-109 - PTA. CARRETERA (ALTO CAMILACA)</v>
      </c>
      <c r="C24" s="170" t="str">
        <f>+TablaMaestra[[#This Row],[DEPARTAMENTO]]</f>
        <v>TACNA</v>
      </c>
      <c r="D24" s="170" t="str">
        <f>+TablaMaestra[[#This Row],[PROVINCIA]]</f>
        <v>CANDARAVE</v>
      </c>
      <c r="E24" s="170" t="str">
        <f>+TablaMaestra[[#This Row],[DISTRITO]]</f>
        <v>CAMILACA</v>
      </c>
      <c r="F24" s="170" t="s">
        <v>928</v>
      </c>
      <c r="G24" s="170" t="s">
        <v>964</v>
      </c>
      <c r="H24" s="170" t="s">
        <v>929</v>
      </c>
      <c r="I24" s="170" t="s">
        <v>930</v>
      </c>
      <c r="J24" s="171">
        <f ca="1">IF(ISBLANK(Ayuda!R24), 0, MIN(MAX(0, (TODAY() - Ayuda!R24) / (Ayuda!Q24 + IFERROR(Ayuda!W24, 0))), 1))</f>
        <v>0.65833333333333333</v>
      </c>
      <c r="K24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0.40791680009315601</v>
      </c>
      <c r="L24" s="170" t="s">
        <v>931</v>
      </c>
    </row>
    <row r="25" spans="1:12" ht="30" customHeight="1" x14ac:dyDescent="0.3">
      <c r="A25" s="170" t="str">
        <f>+TablaMaestra[[#This Row],[CÓDIGO DE RUTA]]</f>
        <v>TA-544</v>
      </c>
      <c r="B25" s="170" t="str">
        <f>+TablaMaestra[[#This Row],[DENOMINACION DE INTERVENCION]]</f>
        <v>EMP. TA-109 - DV. ANTAVILCA - EMP.  TA-104 (LAGUNA ARICOTA)</v>
      </c>
      <c r="C25" s="170" t="str">
        <f>+TablaMaestra[[#This Row],[DEPARTAMENTO]]</f>
        <v>TACNA</v>
      </c>
      <c r="D25" s="170" t="str">
        <f>+TablaMaestra[[#This Row],[PROVINCIA]]</f>
        <v>CANDARAVE</v>
      </c>
      <c r="E25" s="170" t="str">
        <f>+TablaMaestra[[#This Row],[DISTRITO]]</f>
        <v>HUANUARA; CANDARAVE; CURIBAYA</v>
      </c>
      <c r="F25" s="170" t="s">
        <v>928</v>
      </c>
      <c r="G25" s="170" t="s">
        <v>964</v>
      </c>
      <c r="H25" s="170" t="s">
        <v>929</v>
      </c>
      <c r="I25" s="170" t="s">
        <v>930</v>
      </c>
      <c r="J25" s="171">
        <f ca="1">IF(ISBLANK(Ayuda!R25), 0, MIN(MAX(0, (TODAY() - Ayuda!R25) / (Ayuda!Q25 + IFERROR(Ayuda!W25, 0))), 1))</f>
        <v>0.20099255583126552</v>
      </c>
      <c r="K25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7.3499999999999996E-2</v>
      </c>
      <c r="L25" s="170" t="s">
        <v>931</v>
      </c>
    </row>
    <row r="26" spans="1:12" ht="30" customHeight="1" x14ac:dyDescent="0.3">
      <c r="A26" s="170" t="str">
        <f>+TablaMaestra[[#This Row],[CÓDIGO DE RUTA]]</f>
        <v>TA-515</v>
      </c>
      <c r="B26" s="170" t="str">
        <f>+TablaMaestra[[#This Row],[DENOMINACION DE INTERVENCION]]</f>
        <v>EMP. TA-519 (DV. ALTO CAMILACA)- PTA. CARRETERA (KM 104+852)</v>
      </c>
      <c r="C26" s="170" t="str">
        <f>+TablaMaestra[[#This Row],[DEPARTAMENTO]]</f>
        <v>TACNA</v>
      </c>
      <c r="D26" s="170" t="str">
        <f>+TablaMaestra[[#This Row],[PROVINCIA]]</f>
        <v>CANDARAVE</v>
      </c>
      <c r="E26" s="170" t="str">
        <f>+TablaMaestra[[#This Row],[DISTRITO]]</f>
        <v>CAMILACA</v>
      </c>
      <c r="F26" s="170" t="s">
        <v>928</v>
      </c>
      <c r="G26" s="170" t="s">
        <v>964</v>
      </c>
      <c r="H26" s="170" t="s">
        <v>929</v>
      </c>
      <c r="I26" s="170" t="s">
        <v>930</v>
      </c>
      <c r="J26" s="171">
        <f ca="1">IF(ISBLANK(Ayuda!R26), 0, MIN(MAX(0, (TODAY() - Ayuda!R26) / (Ayuda!Q26 + IFERROR(Ayuda!W26, 0))), 1))</f>
        <v>0.65833333333333333</v>
      </c>
      <c r="K26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0.40791666666666659</v>
      </c>
      <c r="L26" s="170" t="s">
        <v>931</v>
      </c>
    </row>
    <row r="27" spans="1:12" ht="30" customHeight="1" x14ac:dyDescent="0.3">
      <c r="A27" s="170" t="str">
        <f>+TablaMaestra[[#This Row],[CÓDIGO DE RUTA]]</f>
        <v>TA-504</v>
      </c>
      <c r="B27" s="170" t="str">
        <f>+TablaMaestra[[#This Row],[DENOMINACION DE INTERVENCION]]</f>
        <v>EMP. TA-105- SALLACPUJO-BAJAÑAMI-JACHACALA -EMP. TA-103</v>
      </c>
      <c r="C27" s="170" t="str">
        <f>+TablaMaestra[[#This Row],[DEPARTAMENTO]]</f>
        <v>TACNA</v>
      </c>
      <c r="D27" s="170" t="str">
        <f>+TablaMaestra[[#This Row],[PROVINCIA]]</f>
        <v>CANDARAVE</v>
      </c>
      <c r="E27" s="170" t="str">
        <f>+TablaMaestra[[#This Row],[DISTRITO]]</f>
        <v>CANDARAVE</v>
      </c>
      <c r="F27" s="170" t="s">
        <v>928</v>
      </c>
      <c r="G27" s="170" t="s">
        <v>964</v>
      </c>
      <c r="H27" s="170" t="s">
        <v>929</v>
      </c>
      <c r="I27" s="170" t="s">
        <v>930</v>
      </c>
      <c r="J27" s="171">
        <f ca="1">IF(ISBLANK(Ayuda!R27), 0, MIN(MAX(0, (TODAY() - Ayuda!R27) / (Ayuda!Q27 + IFERROR(Ayuda!W27, 0))), 1))</f>
        <v>0.65833333333333333</v>
      </c>
      <c r="K27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0.40791701461377872</v>
      </c>
      <c r="L27" s="170" t="s">
        <v>931</v>
      </c>
    </row>
    <row r="28" spans="1:12" ht="30" customHeight="1" x14ac:dyDescent="0.3">
      <c r="A28" s="170" t="str">
        <f>+TablaMaestra[[#This Row],[CÓDIGO DE RUTA]]</f>
        <v>TA-573</v>
      </c>
      <c r="B28" s="170" t="str">
        <f>+TablaMaestra[[#This Row],[DENOMINACION DE INTERVENCION]]</f>
        <v>CINTO (KM 15+173) - MATOGROSO - PTA. CARRETERA (KM 18+714)</v>
      </c>
      <c r="C28" s="170" t="str">
        <f>+TablaMaestra[[#This Row],[DEPARTAMENTO]]</f>
        <v>TACNA</v>
      </c>
      <c r="D28" s="170" t="str">
        <f>+TablaMaestra[[#This Row],[PROVINCIA]]</f>
        <v>JORGE BASADRE</v>
      </c>
      <c r="E28" s="170" t="str">
        <f>+TablaMaestra[[#This Row],[DISTRITO]]</f>
        <v>LOCUMBA</v>
      </c>
      <c r="F28" s="170" t="s">
        <v>928</v>
      </c>
      <c r="G28" s="170" t="s">
        <v>964</v>
      </c>
      <c r="H28" s="170" t="s">
        <v>929</v>
      </c>
      <c r="I28" s="170" t="s">
        <v>930</v>
      </c>
      <c r="J28" s="171">
        <f ca="1">IF(ISBLANK(Ayuda!R28), 0, MIN(MAX(0, (TODAY() - Ayuda!R28) / (Ayuda!Q28 + IFERROR(Ayuda!W28, 0))), 1))</f>
        <v>0.82</v>
      </c>
      <c r="K28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0.86680007377351531</v>
      </c>
      <c r="L28" s="170" t="s">
        <v>931</v>
      </c>
    </row>
    <row r="29" spans="1:12" ht="30" customHeight="1" x14ac:dyDescent="0.3">
      <c r="A29" s="170" t="str">
        <f>+TablaMaestra[[#This Row],[CÓDIGO DE RUTA]]</f>
        <v>TA-578</v>
      </c>
      <c r="B29" s="170" t="str">
        <f>+TablaMaestra[[#This Row],[DENOMINACION DE INTERVENCION]]</f>
        <v>EMP. PE-1S - LA AURORA - PTA. CARRETERA (KM 02+984)</v>
      </c>
      <c r="C29" s="170" t="str">
        <f>+TablaMaestra[[#This Row],[DEPARTAMENTO]]</f>
        <v>TACNA</v>
      </c>
      <c r="D29" s="170" t="str">
        <f>+TablaMaestra[[#This Row],[PROVINCIA]]</f>
        <v>JORGE BASADRE</v>
      </c>
      <c r="E29" s="170" t="str">
        <f>+TablaMaestra[[#This Row],[DISTRITO]]</f>
        <v>LOCUMBA</v>
      </c>
      <c r="F29" s="170" t="s">
        <v>928</v>
      </c>
      <c r="G29" s="170" t="s">
        <v>964</v>
      </c>
      <c r="H29" s="170" t="s">
        <v>929</v>
      </c>
      <c r="I29" s="170" t="s">
        <v>930</v>
      </c>
      <c r="J29" s="171">
        <f ca="1">IF(ISBLANK(Ayuda!R29), 0, MIN(MAX(0, (TODAY() - Ayuda!R29) / (Ayuda!Q29 + IFERROR(Ayuda!W29, 0))), 1))</f>
        <v>0.77946768060836502</v>
      </c>
      <c r="K29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0.82395381494772979</v>
      </c>
      <c r="L29" s="170" t="s">
        <v>931</v>
      </c>
    </row>
    <row r="30" spans="1:12" ht="30" customHeight="1" x14ac:dyDescent="0.3">
      <c r="A30" s="170" t="str">
        <f>+TablaMaestra[[#This Row],[CÓDIGO DE RUTA]]</f>
        <v>TA-572</v>
      </c>
      <c r="B30" s="170" t="str">
        <f>+TablaMaestra[[#This Row],[DENOMINACION DE INTERVENCION]]</f>
        <v>EMP. TA-109 (OCONCHAY)  - EMP. R230302 (KM 08+202)</v>
      </c>
      <c r="C30" s="170" t="str">
        <f>+TablaMaestra[[#This Row],[DEPARTAMENTO]]</f>
        <v>TACNA</v>
      </c>
      <c r="D30" s="170" t="str">
        <f>+TablaMaestra[[#This Row],[PROVINCIA]]</f>
        <v>JORGE BASADRE</v>
      </c>
      <c r="E30" s="170" t="str">
        <f>+TablaMaestra[[#This Row],[DISTRITO]]</f>
        <v>ILABAYA</v>
      </c>
      <c r="F30" s="170" t="s">
        <v>928</v>
      </c>
      <c r="G30" s="170" t="s">
        <v>964</v>
      </c>
      <c r="H30" s="170" t="s">
        <v>929</v>
      </c>
      <c r="I30" s="170" t="s">
        <v>930</v>
      </c>
      <c r="J30" s="171">
        <f ca="1">IF(ISBLANK(Ayuda!R30), 0, MIN(MAX(0, (TODAY() - Ayuda!R30) / (Ayuda!Q30 + IFERROR(Ayuda!W30, 0))), 1))</f>
        <v>0.28364389233954451</v>
      </c>
      <c r="K30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0.39926560023589253</v>
      </c>
      <c r="L30" s="170" t="s">
        <v>931</v>
      </c>
    </row>
    <row r="31" spans="1:12" ht="30" customHeight="1" x14ac:dyDescent="0.3">
      <c r="A31" s="170" t="str">
        <f>+TablaMaestra[[#This Row],[CÓDIGO DE RUTA]]</f>
        <v xml:space="preserve">R230302 </v>
      </c>
      <c r="B31" s="170" t="str">
        <f>+TablaMaestra[[#This Row],[DENOMINACION DE INTERVENCION]]</f>
        <v>EMP.TA-572 - EMP.R230305 (KM 06+742)</v>
      </c>
      <c r="C31" s="170" t="str">
        <f>+TablaMaestra[[#This Row],[DEPARTAMENTO]]</f>
        <v>TACNA</v>
      </c>
      <c r="D31" s="170" t="str">
        <f>+TablaMaestra[[#This Row],[PROVINCIA]]</f>
        <v>JORGE BASADRE</v>
      </c>
      <c r="E31" s="170" t="str">
        <f>+TablaMaestra[[#This Row],[DISTRITO]]</f>
        <v>LOCUMBA
ILABAYA</v>
      </c>
      <c r="F31" s="170" t="s">
        <v>928</v>
      </c>
      <c r="G31" s="170" t="s">
        <v>964</v>
      </c>
      <c r="H31" s="170" t="s">
        <v>929</v>
      </c>
      <c r="I31" s="170" t="s">
        <v>930</v>
      </c>
      <c r="J31" s="171">
        <f ca="1">IF(ISBLANK(Ayuda!R31), 0, MIN(MAX(0, (TODAY() - Ayuda!R31) / (Ayuda!Q31 + IFERROR(Ayuda!W31, 0))), 1))</f>
        <v>0.83673469387755106</v>
      </c>
      <c r="K31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0.88449021449046172</v>
      </c>
      <c r="L31" s="170" t="s">
        <v>931</v>
      </c>
    </row>
    <row r="32" spans="1:12" ht="30" customHeight="1" x14ac:dyDescent="0.3">
      <c r="A32" s="170" t="str">
        <f>+TablaMaestra[[#This Row],[CÓDIGO DE RUTA]]</f>
        <v>TA-575</v>
      </c>
      <c r="B32" s="170" t="str">
        <f>+TablaMaestra[[#This Row],[DENOMINACION DE INTERVENCION]]</f>
        <v>EMP. TA-109 - CUAYLATA - EMP. TA-109  (DV. CHIPE)</v>
      </c>
      <c r="C32" s="170" t="str">
        <f>+TablaMaestra[[#This Row],[DEPARTAMENTO]]</f>
        <v>TACNA</v>
      </c>
      <c r="D32" s="170" t="str">
        <f>+TablaMaestra[[#This Row],[PROVINCIA]]</f>
        <v>JORGE BASADRE</v>
      </c>
      <c r="E32" s="170" t="str">
        <f>+TablaMaestra[[#This Row],[DISTRITO]]</f>
        <v>LOCUMBA</v>
      </c>
      <c r="F32" s="170" t="s">
        <v>928</v>
      </c>
      <c r="G32" s="170" t="s">
        <v>964</v>
      </c>
      <c r="H32" s="170" t="s">
        <v>929</v>
      </c>
      <c r="I32" s="170" t="s">
        <v>930</v>
      </c>
      <c r="J32" s="171">
        <f ca="1">IF(ISBLANK(Ayuda!R32), 0, MIN(MAX(0, (TODAY() - Ayuda!R32) / (Ayuda!Q32 + IFERROR(Ayuda!W32, 0))), 1))</f>
        <v>0.85416666666666663</v>
      </c>
      <c r="K32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0.90291685228374541</v>
      </c>
      <c r="L32" s="170" t="s">
        <v>931</v>
      </c>
    </row>
    <row r="33" spans="1:12" ht="30" customHeight="1" x14ac:dyDescent="0.3">
      <c r="A33" s="170" t="str">
        <f>+TablaMaestra[[#This Row],[CÓDIGO DE RUTA]]</f>
        <v>TA-574</v>
      </c>
      <c r="B33" s="170" t="str">
        <f>+TablaMaestra[[#This Row],[DENOMINACION DE INTERVENCION]]</f>
        <v>EMP. TA-109 (SAGOLLO)  - EMP. TA-573 (DV. PTE CINTO)</v>
      </c>
      <c r="C33" s="170" t="str">
        <f>+TablaMaestra[[#This Row],[DEPARTAMENTO]]</f>
        <v>TACNA</v>
      </c>
      <c r="D33" s="170" t="str">
        <f>+TablaMaestra[[#This Row],[PROVINCIA]]</f>
        <v>JORGE BASADRE</v>
      </c>
      <c r="E33" s="170" t="str">
        <f>+TablaMaestra[[#This Row],[DISTRITO]]</f>
        <v>LOCUMBA</v>
      </c>
      <c r="F33" s="170" t="s">
        <v>928</v>
      </c>
      <c r="G33" s="170" t="s">
        <v>964</v>
      </c>
      <c r="H33" s="170" t="s">
        <v>929</v>
      </c>
      <c r="I33" s="170" t="s">
        <v>930</v>
      </c>
      <c r="J33" s="171">
        <f ca="1">IF(ISBLANK(Ayuda!R33), 0, MIN(MAX(0, (TODAY() - Ayuda!R33) / (Ayuda!Q33 + IFERROR(Ayuda!W33, 0))), 1))</f>
        <v>0.85416666666666663</v>
      </c>
      <c r="K33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0.90291749914721509</v>
      </c>
      <c r="L33" s="170" t="s">
        <v>931</v>
      </c>
    </row>
    <row r="34" spans="1:12" ht="30" customHeight="1" x14ac:dyDescent="0.3">
      <c r="A34" s="170" t="str">
        <f>+TablaMaestra[[#This Row],[CÓDIGO DE RUTA]]</f>
        <v>TA-573</v>
      </c>
      <c r="B34" s="170" t="str">
        <f>+TablaMaestra[[#This Row],[DENOMINACION DE INTERVENCION]]</f>
        <v>EMP. TA-109 (LOCUMBA) - PTE. CINTO - BARRIAL - CINTO (KM 15+173)</v>
      </c>
      <c r="C34" s="170" t="str">
        <f>+TablaMaestra[[#This Row],[DEPARTAMENTO]]</f>
        <v>TACNA</v>
      </c>
      <c r="D34" s="170" t="str">
        <f>+TablaMaestra[[#This Row],[PROVINCIA]]</f>
        <v>JORGE BASADRE</v>
      </c>
      <c r="E34" s="170" t="str">
        <f>+TablaMaestra[[#This Row],[DISTRITO]]</f>
        <v>LOCUMBA</v>
      </c>
      <c r="F34" s="170" t="s">
        <v>928</v>
      </c>
      <c r="G34" s="170" t="s">
        <v>964</v>
      </c>
      <c r="H34" s="170" t="s">
        <v>929</v>
      </c>
      <c r="I34" s="170" t="s">
        <v>930</v>
      </c>
      <c r="J34" s="171">
        <f ca="1">IF(ISBLANK(Ayuda!R34), 0, MIN(MAX(0, (TODAY() - Ayuda!R34) / (Ayuda!Q34 + IFERROR(Ayuda!W34, 0))), 1))</f>
        <v>0.28364389233954451</v>
      </c>
      <c r="K34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0.39925936667331297</v>
      </c>
      <c r="L34" s="170" t="s">
        <v>931</v>
      </c>
    </row>
    <row r="35" spans="1:12" ht="30" customHeight="1" x14ac:dyDescent="0.3">
      <c r="A35" s="170" t="str">
        <f>+TablaMaestra[[#This Row],[CÓDIGO DE RUTA]]</f>
        <v>TA-581</v>
      </c>
      <c r="B35" s="170" t="str">
        <f>+TablaMaestra[[#This Row],[DENOMINACION DE INTERVENCION]]</f>
        <v>ALFARILLO  (KM 01+929) - LAS VILCAS (KM 04+920)</v>
      </c>
      <c r="C35" s="170" t="str">
        <f>+TablaMaestra[[#This Row],[DEPARTAMENTO]]</f>
        <v>TACNA</v>
      </c>
      <c r="D35" s="170" t="str">
        <f>+TablaMaestra[[#This Row],[PROVINCIA]]</f>
        <v>JORGE BASADRE</v>
      </c>
      <c r="E35" s="170" t="str">
        <f>+TablaMaestra[[#This Row],[DISTRITO]]</f>
        <v>ITE</v>
      </c>
      <c r="F35" s="170" t="s">
        <v>928</v>
      </c>
      <c r="G35" s="170" t="s">
        <v>964</v>
      </c>
      <c r="H35" s="170" t="s">
        <v>929</v>
      </c>
      <c r="I35" s="170" t="s">
        <v>930</v>
      </c>
      <c r="J35" s="171">
        <f ca="1">IF(ISBLANK(Ayuda!R35), 0, MIN(MAX(0, (TODAY() - Ayuda!R35) / (Ayuda!Q35 + IFERROR(Ayuda!W35, 0))), 1))</f>
        <v>0.78846153846153844</v>
      </c>
      <c r="K35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0.83346256684491982</v>
      </c>
      <c r="L35" s="170" t="s">
        <v>931</v>
      </c>
    </row>
    <row r="36" spans="1:12" ht="30" customHeight="1" x14ac:dyDescent="0.3">
      <c r="A36" s="170" t="str">
        <f>+TablaMaestra[[#This Row],[CÓDIGO DE RUTA]]</f>
        <v>TA-586</v>
      </c>
      <c r="B36" s="170" t="str">
        <f>+TablaMaestra[[#This Row],[DENOMINACION DE INTERVENCION]]</f>
        <v>EMP. TA-101 - EMP. TA-587</v>
      </c>
      <c r="C36" s="170" t="str">
        <f>+TablaMaestra[[#This Row],[DEPARTAMENTO]]</f>
        <v>TACNA</v>
      </c>
      <c r="D36" s="170" t="str">
        <f>+TablaMaestra[[#This Row],[PROVINCIA]]</f>
        <v>JORGE BASADRE</v>
      </c>
      <c r="E36" s="170" t="str">
        <f>+TablaMaestra[[#This Row],[DISTRITO]]</f>
        <v>ITE</v>
      </c>
      <c r="F36" s="170" t="s">
        <v>928</v>
      </c>
      <c r="G36" s="170" t="s">
        <v>964</v>
      </c>
      <c r="H36" s="170" t="s">
        <v>929</v>
      </c>
      <c r="I36" s="170" t="s">
        <v>930</v>
      </c>
      <c r="J36" s="171">
        <f ca="1">IF(ISBLANK(Ayuda!R36), 0, MIN(MAX(0, (TODAY() - Ayuda!R36) / (Ayuda!Q36 + IFERROR(Ayuda!W36, 0))), 1))</f>
        <v>0.78846153846153844</v>
      </c>
      <c r="K36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0.83345945601630667</v>
      </c>
      <c r="L36" s="170" t="s">
        <v>931</v>
      </c>
    </row>
    <row r="37" spans="1:12" ht="30" customHeight="1" x14ac:dyDescent="0.3">
      <c r="A37" s="170" t="str">
        <f>+TablaMaestra[[#This Row],[CÓDIGO DE RUTA]]</f>
        <v>TA-583</v>
      </c>
      <c r="B37" s="170" t="str">
        <f>+TablaMaestra[[#This Row],[DENOMINACION DE INTERVENCION]]</f>
        <v>EMP. TA-101 (PAMPA BAJA) - PTE. SAN ISIDRO - SAN ISIDRO - EMP. TA-581 (ALFARILLO)</v>
      </c>
      <c r="C37" s="170" t="str">
        <f>+TablaMaestra[[#This Row],[DEPARTAMENTO]]</f>
        <v>TACNA</v>
      </c>
      <c r="D37" s="170" t="str">
        <f>+TablaMaestra[[#This Row],[PROVINCIA]]</f>
        <v>JORGE BASADRE</v>
      </c>
      <c r="E37" s="170" t="str">
        <f>+TablaMaestra[[#This Row],[DISTRITO]]</f>
        <v>ITE</v>
      </c>
      <c r="F37" s="170" t="s">
        <v>928</v>
      </c>
      <c r="G37" s="170" t="s">
        <v>964</v>
      </c>
      <c r="H37" s="170" t="s">
        <v>929</v>
      </c>
      <c r="I37" s="170" t="s">
        <v>930</v>
      </c>
      <c r="J37" s="171">
        <f ca="1">IF(ISBLANK(Ayuda!R37), 0, MIN(MAX(0, (TODAY() - Ayuda!R37) / (Ayuda!Q37 + IFERROR(Ayuda!W37, 0))), 1))</f>
        <v>0.78544061302681989</v>
      </c>
      <c r="K37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0.83026778846153848</v>
      </c>
      <c r="L37" s="170" t="s">
        <v>931</v>
      </c>
    </row>
    <row r="38" spans="1:12" ht="30" customHeight="1" x14ac:dyDescent="0.3">
      <c r="A38" s="170" t="str">
        <f>+TablaMaestra[[#This Row],[CÓDIGO DE RUTA]]</f>
        <v>TA-606</v>
      </c>
      <c r="B38" s="170" t="str">
        <f>+TablaMaestra[[#This Row],[DENOMINACION DE INTERVENCION]]</f>
        <v>EMP. TA-604-DV. TA-607-EMP.TA-605 (ALTO RAYO)</v>
      </c>
      <c r="C38" s="170" t="str">
        <f>+TablaMaestra[[#This Row],[DEPARTAMENTO]]</f>
        <v>TACNA</v>
      </c>
      <c r="D38" s="170" t="str">
        <f>+TablaMaestra[[#This Row],[PROVINCIA]]</f>
        <v>TACNA</v>
      </c>
      <c r="E38" s="170" t="str">
        <f>+TablaMaestra[[#This Row],[DISTRITO]]</f>
        <v>INCLAN</v>
      </c>
      <c r="F38" s="170" t="s">
        <v>928</v>
      </c>
      <c r="G38" s="170" t="s">
        <v>964</v>
      </c>
      <c r="H38" s="170" t="s">
        <v>929</v>
      </c>
      <c r="I38" s="170" t="s">
        <v>930</v>
      </c>
      <c r="J38" s="171">
        <f ca="1">IF(ISBLANK(Ayuda!R38), 0, MIN(MAX(0, (TODAY() - Ayuda!R38) / (Ayuda!Q38 + IFERROR(Ayuda!W38, 0))), 1))</f>
        <v>0.66666666666666663</v>
      </c>
      <c r="K38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0.6966666601542022</v>
      </c>
      <c r="L38" s="170" t="s">
        <v>931</v>
      </c>
    </row>
    <row r="39" spans="1:12" ht="30" customHeight="1" x14ac:dyDescent="0.3">
      <c r="A39" s="170" t="str">
        <f>+TablaMaestra[[#This Row],[CÓDIGO DE RUTA]]</f>
        <v>TA-607</v>
      </c>
      <c r="B39" s="170" t="str">
        <f>+TablaMaestra[[#This Row],[DENOMINACION DE INTERVENCION]]</f>
        <v>EMP. TA-604 - EMP.TA-606</v>
      </c>
      <c r="C39" s="170" t="str">
        <f>+TablaMaestra[[#This Row],[DEPARTAMENTO]]</f>
        <v>TACNA</v>
      </c>
      <c r="D39" s="170" t="str">
        <f>+TablaMaestra[[#This Row],[PROVINCIA]]</f>
        <v>TACNA</v>
      </c>
      <c r="E39" s="170" t="str">
        <f>+TablaMaestra[[#This Row],[DISTRITO]]</f>
        <v>INCLAN</v>
      </c>
      <c r="F39" s="170" t="s">
        <v>928</v>
      </c>
      <c r="G39" s="170" t="s">
        <v>964</v>
      </c>
      <c r="H39" s="170" t="s">
        <v>929</v>
      </c>
      <c r="I39" s="170" t="s">
        <v>930</v>
      </c>
      <c r="J39" s="171">
        <f ca="1">IF(ISBLANK(Ayuda!R39), 0, MIN(MAX(0, (TODAY() - Ayuda!R39) / (Ayuda!Q39 + IFERROR(Ayuda!W39, 0))), 1))</f>
        <v>0.66666666666666663</v>
      </c>
      <c r="K39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0.69666676572855057</v>
      </c>
      <c r="L39" s="170" t="s">
        <v>931</v>
      </c>
    </row>
    <row r="40" spans="1:12" ht="30" customHeight="1" x14ac:dyDescent="0.3">
      <c r="A40" s="170" t="str">
        <f>+TablaMaestra[[#This Row],[CÓDIGO DE RUTA]]</f>
        <v>TA-604</v>
      </c>
      <c r="B40" s="170" t="str">
        <f>+TablaMaestra[[#This Row],[DENOMINACION DE INTERVENCION]]</f>
        <v>EMP. PE-1S(KM 02+914)-PROTER-ALTO RAYO (KM 11+000)</v>
      </c>
      <c r="C40" s="170" t="str">
        <f>+TablaMaestra[[#This Row],[DEPARTAMENTO]]</f>
        <v>TACNA</v>
      </c>
      <c r="D40" s="170" t="str">
        <f>+TablaMaestra[[#This Row],[PROVINCIA]]</f>
        <v>TACNA</v>
      </c>
      <c r="E40" s="170" t="str">
        <f>+TablaMaestra[[#This Row],[DISTRITO]]</f>
        <v>INCLAN</v>
      </c>
      <c r="F40" s="170" t="s">
        <v>928</v>
      </c>
      <c r="G40" s="170" t="s">
        <v>964</v>
      </c>
      <c r="H40" s="170" t="s">
        <v>929</v>
      </c>
      <c r="I40" s="170" t="s">
        <v>930</v>
      </c>
      <c r="J40" s="171">
        <f ca="1">IF(ISBLANK(Ayuda!R40), 0, MIN(MAX(0, (TODAY() - Ayuda!R40) / (Ayuda!Q40 + IFERROR(Ayuda!W40, 0))), 1))</f>
        <v>0.66666666666666663</v>
      </c>
      <c r="K40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0.70858151476251596</v>
      </c>
      <c r="L40" s="170" t="s">
        <v>931</v>
      </c>
    </row>
    <row r="41" spans="1:12" ht="30" customHeight="1" x14ac:dyDescent="0.3">
      <c r="A41" s="170" t="str">
        <f>+TablaMaestra[[#This Row],[CÓDIGO DE RUTA]]</f>
        <v>TA-642</v>
      </c>
      <c r="B41" s="170" t="str">
        <f>+TablaMaestra[[#This Row],[DENOMINACION DE INTERVENCION]]</f>
        <v>EMP. PE-1SD - ASENTAMIENTO 5 Y 6 – EMP. TA-644</v>
      </c>
      <c r="C41" s="170" t="str">
        <f>+TablaMaestra[[#This Row],[DEPARTAMENTO]]</f>
        <v>TACNA</v>
      </c>
      <c r="D41" s="170" t="str">
        <f>+TablaMaestra[[#This Row],[PROVINCIA]]</f>
        <v>TACNA</v>
      </c>
      <c r="E41" s="170" t="str">
        <f>+TablaMaestra[[#This Row],[DISTRITO]]</f>
        <v>LA YARADA Y LOS PALOS</v>
      </c>
      <c r="F41" s="170" t="s">
        <v>928</v>
      </c>
      <c r="G41" s="170" t="s">
        <v>964</v>
      </c>
      <c r="H41" s="170" t="s">
        <v>929</v>
      </c>
      <c r="I41" s="170" t="s">
        <v>930</v>
      </c>
      <c r="J41" s="171">
        <f ca="1">IF(ISBLANK(Ayuda!R41), 0, MIN(MAX(0, (TODAY() - Ayuda!R41) / (Ayuda!Q41 + IFERROR(Ayuda!W41, 0))), 1))</f>
        <v>0.66666666666666663</v>
      </c>
      <c r="K41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0.71518127887774541</v>
      </c>
      <c r="L41" s="170" t="s">
        <v>931</v>
      </c>
    </row>
    <row r="42" spans="1:12" ht="30" customHeight="1" x14ac:dyDescent="0.3">
      <c r="A42" s="170" t="str">
        <f>+TablaMaestra[[#This Row],[CÓDIGO DE RUTA]]</f>
        <v>TA-643</v>
      </c>
      <c r="B42" s="170" t="str">
        <f>+TablaMaestra[[#This Row],[DENOMINACION DE INTERVENCION]]</f>
        <v>EMP. PE-1SD - RANCHO GRANDE - PERPETUO SOCORRO - SAN PEDRO Y SAN PABLO - EMP. TA-644 (LOS PALOS)</v>
      </c>
      <c r="C42" s="170" t="str">
        <f>+TablaMaestra[[#This Row],[DEPARTAMENTO]]</f>
        <v>TACNA</v>
      </c>
      <c r="D42" s="170" t="str">
        <f>+TablaMaestra[[#This Row],[PROVINCIA]]</f>
        <v>TACNA</v>
      </c>
      <c r="E42" s="170" t="str">
        <f>+TablaMaestra[[#This Row],[DISTRITO]]</f>
        <v>LA YARADA Y LOS PALOS</v>
      </c>
      <c r="F42" s="170" t="s">
        <v>928</v>
      </c>
      <c r="G42" s="170" t="s">
        <v>964</v>
      </c>
      <c r="H42" s="170" t="s">
        <v>929</v>
      </c>
      <c r="I42" s="170" t="s">
        <v>930</v>
      </c>
      <c r="J42" s="171">
        <f ca="1">IF(ISBLANK(Ayuda!R42), 0, MIN(MAX(0, (TODAY() - Ayuda!R42) / (Ayuda!Q42 + IFERROR(Ayuda!W42, 0))), 1))</f>
        <v>0.66666666666666663</v>
      </c>
      <c r="K42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0.71923798303168185</v>
      </c>
      <c r="L42" s="170" t="s">
        <v>931</v>
      </c>
    </row>
    <row r="43" spans="1:12" ht="30" customHeight="1" x14ac:dyDescent="0.3">
      <c r="A43" s="170" t="str">
        <f>+TablaMaestra[[#This Row],[CÓDIGO DE RUTA]]</f>
        <v>TA-644</v>
      </c>
      <c r="B43" s="170" t="str">
        <f>+TablaMaestra[[#This Row],[DENOMINACION DE INTERVENCION]]</f>
        <v>ASOC. DE TRABAJADORES BIOHUERTO LOS PALOS (KM 09+450) - LAS LAGUNAS- PTE. LOS PALOS - EMP. TA-645</v>
      </c>
      <c r="C43" s="170" t="str">
        <f>+TablaMaestra[[#This Row],[DEPARTAMENTO]]</f>
        <v>TACNA</v>
      </c>
      <c r="D43" s="170" t="str">
        <f>+TablaMaestra[[#This Row],[PROVINCIA]]</f>
        <v>TACNA</v>
      </c>
      <c r="E43" s="170" t="str">
        <f>+TablaMaestra[[#This Row],[DISTRITO]]</f>
        <v>LA YARADA Y LOS PALOS</v>
      </c>
      <c r="F43" s="170" t="s">
        <v>928</v>
      </c>
      <c r="G43" s="170" t="s">
        <v>964</v>
      </c>
      <c r="H43" s="170" t="s">
        <v>929</v>
      </c>
      <c r="I43" s="170" t="s">
        <v>930</v>
      </c>
      <c r="J43" s="171">
        <f ca="1">IF(ISBLANK(Ayuda!R43), 0, MIN(MAX(0, (TODAY() - Ayuda!R43) / (Ayuda!Q43 + IFERROR(Ayuda!W43, 0))), 1))</f>
        <v>0.66666666666666663</v>
      </c>
      <c r="K43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0.71007659995058059</v>
      </c>
      <c r="L43" s="170" t="s">
        <v>931</v>
      </c>
    </row>
    <row r="44" spans="1:12" ht="30" customHeight="1" x14ac:dyDescent="0.3">
      <c r="A44" s="170" t="str">
        <f>+TablaMaestra[[#This Row],[CÓDIGO DE RUTA]]</f>
        <v>TA-645</v>
      </c>
      <c r="B44" s="170" t="str">
        <f>+TablaMaestra[[#This Row],[DENOMINACION DE INTERVENCION]]</f>
        <v>EMP. PE-1S (COMPLEJO SANTA ROSA) - LAS PALMERAS - PTA.  CARRETERA (KM 09+030)</v>
      </c>
      <c r="C44" s="170" t="str">
        <f>+TablaMaestra[[#This Row],[DEPARTAMENTO]]</f>
        <v>TACNA</v>
      </c>
      <c r="D44" s="170" t="str">
        <f>+TablaMaestra[[#This Row],[PROVINCIA]]</f>
        <v>TACNA</v>
      </c>
      <c r="E44" s="170" t="str">
        <f>+TablaMaestra[[#This Row],[DISTRITO]]</f>
        <v>LA YARADA Y LOS PALOS</v>
      </c>
      <c r="F44" s="170" t="s">
        <v>928</v>
      </c>
      <c r="G44" s="170" t="s">
        <v>964</v>
      </c>
      <c r="H44" s="170" t="s">
        <v>929</v>
      </c>
      <c r="I44" s="170" t="s">
        <v>930</v>
      </c>
      <c r="J44" s="171">
        <f ca="1">IF(ISBLANK(Ayuda!R44), 0, MIN(MAX(0, (TODAY() - Ayuda!R44) / (Ayuda!Q44 + IFERROR(Ayuda!W44, 0))), 1))</f>
        <v>0.66666666666666663</v>
      </c>
      <c r="K44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0.70309031599631178</v>
      </c>
      <c r="L44" s="170" t="s">
        <v>931</v>
      </c>
    </row>
    <row r="45" spans="1:12" ht="30" customHeight="1" x14ac:dyDescent="0.3">
      <c r="A45" s="170" t="str">
        <f>+TablaMaestra[[#This Row],[CÓDIGO DE RUTA]]</f>
        <v>R230145</v>
      </c>
      <c r="B45" s="170" t="str">
        <f>+TablaMaestra[[#This Row],[DENOMINACION DE INTERVENCION]]</f>
        <v>EMP. PE-1SD-ANDAMARCA - ZONA Z -EMP.TA-642</v>
      </c>
      <c r="C45" s="170" t="str">
        <f>+TablaMaestra[[#This Row],[DEPARTAMENTO]]</f>
        <v>TACNA</v>
      </c>
      <c r="D45" s="170" t="str">
        <f>+TablaMaestra[[#This Row],[PROVINCIA]]</f>
        <v>TACNA</v>
      </c>
      <c r="E45" s="170" t="str">
        <f>+TablaMaestra[[#This Row],[DISTRITO]]</f>
        <v>LA YARADA Y LOS PALOS</v>
      </c>
      <c r="F45" s="170" t="s">
        <v>928</v>
      </c>
      <c r="G45" s="170" t="s">
        <v>964</v>
      </c>
      <c r="H45" s="170" t="s">
        <v>929</v>
      </c>
      <c r="I45" s="170" t="s">
        <v>930</v>
      </c>
      <c r="J45" s="171">
        <f ca="1">IF(ISBLANK(Ayuda!R45), 0, MIN(MAX(0, (TODAY() - Ayuda!R45) / (Ayuda!Q45 + IFERROR(Ayuda!W45, 0))), 1))</f>
        <v>0.66666666666666663</v>
      </c>
      <c r="K45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0.70400240817362469</v>
      </c>
      <c r="L45" s="170" t="s">
        <v>931</v>
      </c>
    </row>
    <row r="46" spans="1:12" ht="30" customHeight="1" x14ac:dyDescent="0.3">
      <c r="A46" s="170" t="str">
        <f>+TablaMaestra[[#This Row],[CÓDIGO DE RUTA]]</f>
        <v>TA-557</v>
      </c>
      <c r="B46" s="170" t="str">
        <f>+TablaMaestra[[#This Row],[DENOMINACION DE INTERVENCION]]</f>
        <v>EMP. PE-38 -DV.SANTA LUCIA - JARUMAS - CULLCO - ANCOYANE- EMP. TA-556 (CANO).</v>
      </c>
      <c r="C46" s="170" t="str">
        <f>+TablaMaestra[[#This Row],[DEPARTAMENTO]]</f>
        <v>TACNA</v>
      </c>
      <c r="D46" s="170" t="str">
        <f>+TablaMaestra[[#This Row],[PROVINCIA]]</f>
        <v>TARATA</v>
      </c>
      <c r="E46" s="170" t="str">
        <f>+TablaMaestra[[#This Row],[DISTRITO]]</f>
        <v>SUSAPAYA
TARATA
TICACO</v>
      </c>
      <c r="F46" s="170" t="s">
        <v>928</v>
      </c>
      <c r="G46" s="170" t="s">
        <v>964</v>
      </c>
      <c r="H46" s="170" t="s">
        <v>929</v>
      </c>
      <c r="I46" s="170" t="s">
        <v>930</v>
      </c>
      <c r="J46" s="171">
        <f ca="1">IF(ISBLANK(Ayuda!R46), 0, MIN(MAX(0, (TODAY() - Ayuda!R46) / (Ayuda!Q46 + IFERROR(Ayuda!W46, 0))), 1))</f>
        <v>0.30735930735930733</v>
      </c>
      <c r="K46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0.61416665668419579</v>
      </c>
      <c r="L46" s="170" t="s">
        <v>931</v>
      </c>
    </row>
    <row r="47" spans="1:12" ht="30" customHeight="1" x14ac:dyDescent="0.3">
      <c r="A47" s="170" t="str">
        <f>+TablaMaestra[[#This Row],[CÓDIGO DE RUTA]]</f>
        <v>R230450</v>
      </c>
      <c r="B47" s="170" t="str">
        <f>+TablaMaestra[[#This Row],[DENOMINACION DE INTERVENCION]]</f>
        <v>EMP. TA-556 - SECTOR HUANUNE - SECTOR HUAILLAVIRA (KM 05+150)</v>
      </c>
      <c r="C47" s="170" t="str">
        <f>+TablaMaestra[[#This Row],[DEPARTAMENTO]]</f>
        <v>TACNA</v>
      </c>
      <c r="D47" s="170" t="str">
        <f>+TablaMaestra[[#This Row],[PROVINCIA]]</f>
        <v>TARATA</v>
      </c>
      <c r="E47" s="170" t="str">
        <f>+TablaMaestra[[#This Row],[DISTRITO]]</f>
        <v>SUSAPAYA</v>
      </c>
      <c r="F47" s="170" t="s">
        <v>928</v>
      </c>
      <c r="G47" s="170" t="s">
        <v>964</v>
      </c>
      <c r="H47" s="170" t="s">
        <v>929</v>
      </c>
      <c r="I47" s="170" t="s">
        <v>930</v>
      </c>
      <c r="J47" s="171">
        <f ca="1">IF(ISBLANK(Ayuda!R47), 0, MIN(MAX(0, (TODAY() - Ayuda!R47) / (Ayuda!Q47 + IFERROR(Ayuda!W47, 0))), 1))</f>
        <v>0.79583333333333328</v>
      </c>
      <c r="K47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0.83875066050198155</v>
      </c>
      <c r="L47" s="170" t="s">
        <v>931</v>
      </c>
    </row>
    <row r="48" spans="1:12" ht="30" customHeight="1" x14ac:dyDescent="0.3">
      <c r="A48" s="170" t="str">
        <f>+TablaMaestra[[#This Row],[CÓDIGO DE RUTA]]</f>
        <v>TA-563</v>
      </c>
      <c r="B48" s="170" t="str">
        <f>+TablaMaestra[[#This Row],[DENOMINACION DE INTERVENCION]]</f>
        <v>EMP. TA-107- CORACORANI</v>
      </c>
      <c r="C48" s="170" t="str">
        <f>+TablaMaestra[[#This Row],[DEPARTAMENTO]]</f>
        <v>TACNA</v>
      </c>
      <c r="D48" s="170" t="str">
        <f>+TablaMaestra[[#This Row],[PROVINCIA]]</f>
        <v>TARATA</v>
      </c>
      <c r="E48" s="170" t="str">
        <f>+TablaMaestra[[#This Row],[DISTRITO]]</f>
        <v>TARATA</v>
      </c>
      <c r="F48" s="170" t="s">
        <v>928</v>
      </c>
      <c r="G48" s="170" t="s">
        <v>964</v>
      </c>
      <c r="H48" s="170" t="s">
        <v>929</v>
      </c>
      <c r="I48" s="170" t="s">
        <v>930</v>
      </c>
      <c r="J48" s="171">
        <f ca="1">IF(ISBLANK(Ayuda!R48), 0, MIN(MAX(0, (TODAY() - Ayuda!R48) / (Ayuda!Q48 + IFERROR(Ayuda!W48, 0))), 1))</f>
        <v>0.79583333333333328</v>
      </c>
      <c r="K48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0.83874954545454539</v>
      </c>
      <c r="L48" s="170" t="s">
        <v>931</v>
      </c>
    </row>
    <row r="49" spans="1:12" ht="30" customHeight="1" x14ac:dyDescent="0.3">
      <c r="A49" s="170" t="str">
        <f>+TablaMaestra[[#This Row],[CÓDIGO DE RUTA]]</f>
        <v>R230411</v>
      </c>
      <c r="B49" s="170" t="str">
        <f>+TablaMaestra[[#This Row],[DENOMINACION DE INTERVENCION]]</f>
        <v>CHALLAGUAYA (KM 0+334) - SITAJARA (KM 7+954)</v>
      </c>
      <c r="C49" s="170" t="str">
        <f>+TablaMaestra[[#This Row],[DEPARTAMENTO]]</f>
        <v>TACNA</v>
      </c>
      <c r="D49" s="170" t="str">
        <f>+TablaMaestra[[#This Row],[PROVINCIA]]</f>
        <v>TARATA</v>
      </c>
      <c r="E49" s="170" t="str">
        <f>+TablaMaestra[[#This Row],[DISTRITO]]</f>
        <v>SITAJARA</v>
      </c>
      <c r="F49" s="170" t="s">
        <v>928</v>
      </c>
      <c r="G49" s="170" t="s">
        <v>964</v>
      </c>
      <c r="H49" s="170" t="s">
        <v>929</v>
      </c>
      <c r="I49" s="170" t="s">
        <v>930</v>
      </c>
      <c r="J49" s="171">
        <f ca="1">IF(ISBLANK(Ayuda!R49), 0, MIN(MAX(0, (TODAY() - Ayuda!R49) / (Ayuda!Q49 + IFERROR(Ayuda!W49, 0))), 1))</f>
        <v>0.79583333333333328</v>
      </c>
      <c r="K49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0.83874954545454539</v>
      </c>
      <c r="L49" s="170" t="s">
        <v>931</v>
      </c>
    </row>
    <row r="50" spans="1:12" ht="30" customHeight="1" x14ac:dyDescent="0.3">
      <c r="A50" s="170" t="str">
        <f>+TablaMaestra[[#This Row],[CÓDIGO DE RUTA]]</f>
        <v>R230439</v>
      </c>
      <c r="B50" s="170" t="str">
        <f>+TablaMaestra[[#This Row],[DENOMINACION DE INTERVENCION]]</f>
        <v>EMP. TA-103 (SECTOR TINTINI) - DESVIO SECTOR AGRICOLA PAJATA - SECTOR AGRICOLA CHURO (KM 08+240)</v>
      </c>
      <c r="C50" s="170" t="str">
        <f>+TablaMaestra[[#This Row],[DEPARTAMENTO]]</f>
        <v>TACNA</v>
      </c>
      <c r="D50" s="170" t="str">
        <f>+TablaMaestra[[#This Row],[PROVINCIA]]</f>
        <v>TARATA</v>
      </c>
      <c r="E50" s="170" t="str">
        <f>+TablaMaestra[[#This Row],[DISTRITO]]</f>
        <v>TICACO</v>
      </c>
      <c r="F50" s="170" t="s">
        <v>928</v>
      </c>
      <c r="G50" s="170" t="s">
        <v>964</v>
      </c>
      <c r="H50" s="170" t="s">
        <v>929</v>
      </c>
      <c r="I50" s="170" t="s">
        <v>930</v>
      </c>
      <c r="J50" s="171">
        <f ca="1">IF(ISBLANK(Ayuda!R50), 0, MIN(MAX(0, (TODAY() - Ayuda!R50) / (Ayuda!Q50 + IFERROR(Ayuda!W50, 0))), 1))</f>
        <v>0.79583333333333328</v>
      </c>
      <c r="K50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0.83874954545454539</v>
      </c>
      <c r="L50" s="170" t="s">
        <v>931</v>
      </c>
    </row>
    <row r="51" spans="1:12" ht="30" customHeight="1" x14ac:dyDescent="0.3">
      <c r="A51" s="170" t="str">
        <f>+TablaMaestra[[#This Row],[CÓDIGO DE RUTA]]</f>
        <v>R230402</v>
      </c>
      <c r="B51" s="170" t="str">
        <f>+TablaMaestra[[#This Row],[DENOMINACION DE INTERVENCION]]</f>
        <v>EMP. PE-38 (SECTOR QUEOQUELA)-EMPP. TA-567</v>
      </c>
      <c r="C51" s="170" t="str">
        <f>+TablaMaestra[[#This Row],[DEPARTAMENTO]]</f>
        <v>TACNA</v>
      </c>
      <c r="D51" s="170" t="str">
        <f>+TablaMaestra[[#This Row],[PROVINCIA]]</f>
        <v>TARATA</v>
      </c>
      <c r="E51" s="170" t="str">
        <f>+TablaMaestra[[#This Row],[DISTRITO]]</f>
        <v>ESTIQUE Y ESTIQUE PAMPA</v>
      </c>
      <c r="F51" s="170" t="s">
        <v>928</v>
      </c>
      <c r="G51" s="170" t="s">
        <v>964</v>
      </c>
      <c r="H51" s="170" t="s">
        <v>929</v>
      </c>
      <c r="I51" s="170" t="s">
        <v>930</v>
      </c>
      <c r="J51" s="171">
        <f ca="1">IF(ISBLANK(Ayuda!R51), 0, MIN(MAX(0, (TODAY() - Ayuda!R51) / (Ayuda!Q51 + IFERROR(Ayuda!W51, 0))), 1))</f>
        <v>0.79583333333333328</v>
      </c>
      <c r="K51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0.83875013192612136</v>
      </c>
      <c r="L51" s="170" t="s">
        <v>931</v>
      </c>
    </row>
    <row r="52" spans="1:12" ht="30" customHeight="1" x14ac:dyDescent="0.3">
      <c r="A52" s="170" t="str">
        <f>+TablaMaestra[[#This Row],[CÓDIGO DE RUTA]]</f>
        <v>HV-751; HV-755</v>
      </c>
      <c r="B52" s="170" t="str">
        <f>+TablaMaestra[[#This Row],[DENOMINACION DE INTERVENCION]]</f>
        <v>EMP. PE-3S M (CHILLCAPITE) - CCARABAMBA (KM 5+823), SACHAORCCO (KM 7+974) - EMP. PE-3S M (TORORUMI); EMP. PE-3S M (VIRGEN DE LOURDES) - EMP. HV-751 (SUMACCLLACCTA)</v>
      </c>
      <c r="C52" s="170" t="str">
        <f>+TablaMaestra[[#This Row],[DEPARTAMENTO]]</f>
        <v>HUANCAVELICA</v>
      </c>
      <c r="D52" s="170" t="str">
        <f>+TablaMaestra[[#This Row],[PROVINCIA]]</f>
        <v>ACOBAMBA</v>
      </c>
      <c r="E52" s="170" t="str">
        <f>+TablaMaestra[[#This Row],[DISTRITO]]</f>
        <v>ACOBAMBA; POMACOCHA</v>
      </c>
      <c r="F52" s="170" t="s">
        <v>928</v>
      </c>
      <c r="G52" s="170" t="s">
        <v>964</v>
      </c>
      <c r="H52" s="170" t="s">
        <v>929</v>
      </c>
      <c r="I52" s="170" t="s">
        <v>930</v>
      </c>
      <c r="J52" s="171">
        <f ca="1">IF(ISBLANK(Ayuda!R52), 0, MIN(MAX(0, (TODAY() - Ayuda!R52) / (Ayuda!Q52 + IFERROR(Ayuda!W52, 0))), 1))</f>
        <v>0.77083333333333337</v>
      </c>
      <c r="K52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0.67374999999999985</v>
      </c>
      <c r="L52" s="170" t="s">
        <v>931</v>
      </c>
    </row>
    <row r="53" spans="1:12" ht="30" customHeight="1" x14ac:dyDescent="0.3">
      <c r="A53" s="170" t="str">
        <f>+TablaMaestra[[#This Row],[CÓDIGO DE RUTA]]</f>
        <v>HV-757; HV-758</v>
      </c>
      <c r="B53" s="170" t="str">
        <f>+TablaMaestra[[#This Row],[DENOMINACION DE INTERVENCION]]</f>
        <v>EMP. HV-751 (CHIRAPACCASA) - CHECCHE - HUAYLLAPATA II; DV.ROSARIO (KM 05+095) - CCARHUACC</v>
      </c>
      <c r="C53" s="170" t="str">
        <f>+TablaMaestra[[#This Row],[DEPARTAMENTO]]</f>
        <v>HUANCAVELICA</v>
      </c>
      <c r="D53" s="170" t="str">
        <f>+TablaMaestra[[#This Row],[PROVINCIA]]</f>
        <v>ACOBAMBA</v>
      </c>
      <c r="E53" s="170" t="str">
        <f>+TablaMaestra[[#This Row],[DISTRITO]]</f>
        <v>ROSARIO; ACOBAMBA</v>
      </c>
      <c r="F53" s="170" t="s">
        <v>928</v>
      </c>
      <c r="G53" s="170" t="s">
        <v>964</v>
      </c>
      <c r="H53" s="170" t="s">
        <v>929</v>
      </c>
      <c r="I53" s="170" t="s">
        <v>930</v>
      </c>
      <c r="J53" s="171">
        <f ca="1">IF(ISBLANK(Ayuda!R53), 0, MIN(MAX(0, (TODAY() - Ayuda!R53) / (Ayuda!Q53 + IFERROR(Ayuda!W53, 0))), 1))</f>
        <v>0.77083333333333337</v>
      </c>
      <c r="K53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0.67374986099681955</v>
      </c>
      <c r="L53" s="170" t="s">
        <v>931</v>
      </c>
    </row>
    <row r="54" spans="1:12" ht="30" customHeight="1" x14ac:dyDescent="0.3">
      <c r="A54" s="170" t="str">
        <f>+TablaMaestra[[#This Row],[CÓDIGO DE RUTA]]</f>
        <v>HV-837</v>
      </c>
      <c r="B54" s="170" t="str">
        <f>+TablaMaestra[[#This Row],[DENOMINACION DE INTERVENCION]]</f>
        <v>ACOBAMBA (KM 00+430) - BELLAVISTA - CASAVI - EMP. HV-839</v>
      </c>
      <c r="C54" s="170" t="str">
        <f>+TablaMaestra[[#This Row],[DEPARTAMENTO]]</f>
        <v>HUANCAVELICA</v>
      </c>
      <c r="D54" s="170" t="str">
        <f>+TablaMaestra[[#This Row],[PROVINCIA]]</f>
        <v>ACOBAMBA</v>
      </c>
      <c r="E54" s="170" t="str">
        <f>+TablaMaestra[[#This Row],[DISTRITO]]</f>
        <v>ACOBAMBA</v>
      </c>
      <c r="F54" s="170" t="s">
        <v>928</v>
      </c>
      <c r="G54" s="170" t="s">
        <v>964</v>
      </c>
      <c r="H54" s="170" t="s">
        <v>929</v>
      </c>
      <c r="I54" s="170" t="s">
        <v>930</v>
      </c>
      <c r="J54" s="171">
        <f ca="1">IF(ISBLANK(Ayuda!R54), 0, MIN(MAX(0, (TODAY() - Ayuda!R54) / (Ayuda!Q54 + IFERROR(Ayuda!W54, 0))), 1))</f>
        <v>0.73750000000000004</v>
      </c>
      <c r="K54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0.63708288560847104</v>
      </c>
      <c r="L54" s="170" t="s">
        <v>931</v>
      </c>
    </row>
    <row r="55" spans="1:12" ht="30" customHeight="1" x14ac:dyDescent="0.3">
      <c r="A55" s="170" t="str">
        <f>+TablaMaestra[[#This Row],[CÓDIGO DE RUTA]]</f>
        <v>HV-836; HV-838</v>
      </c>
      <c r="B55" s="170" t="str">
        <f>+TablaMaestra[[#This Row],[DENOMINACION DE INTERVENCION]]</f>
        <v>EMP. PE-3SM (CCELCCAYA) - HUAYLLAPATA I - JUAN VELASCO ALVARADO - EMP. HV-837 (ACCOCCASA); EMP. HV-837 - PUTACCA - EMP. HV-837</v>
      </c>
      <c r="C55" s="170" t="str">
        <f>+TablaMaestra[[#This Row],[DEPARTAMENTO]]</f>
        <v>HUANCAVELICA</v>
      </c>
      <c r="D55" s="170" t="str">
        <f>+TablaMaestra[[#This Row],[PROVINCIA]]</f>
        <v>ACOBAMBA</v>
      </c>
      <c r="E55" s="170" t="str">
        <f>+TablaMaestra[[#This Row],[DISTRITO]]</f>
        <v>ACOBAMBA</v>
      </c>
      <c r="F55" s="170" t="s">
        <v>928</v>
      </c>
      <c r="G55" s="170" t="s">
        <v>964</v>
      </c>
      <c r="H55" s="170" t="s">
        <v>929</v>
      </c>
      <c r="I55" s="170" t="s">
        <v>930</v>
      </c>
      <c r="J55" s="171">
        <f ca="1">IF(ISBLANK(Ayuda!R55), 0, MIN(MAX(0, (TODAY() - Ayuda!R55) / (Ayuda!Q55 + IFERROR(Ayuda!W55, 0))), 1))</f>
        <v>0.73750000000000004</v>
      </c>
      <c r="K55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0.6370827834067696</v>
      </c>
      <c r="L55" s="170" t="s">
        <v>931</v>
      </c>
    </row>
    <row r="56" spans="1:12" ht="30" customHeight="1" x14ac:dyDescent="0.3">
      <c r="A56" s="170" t="str">
        <f>+TablaMaestra[[#This Row],[CÓDIGO DE RUTA]]</f>
        <v>HV-834; HV-835</v>
      </c>
      <c r="B56" s="170" t="str">
        <f>+TablaMaestra[[#This Row],[DENOMINACION DE INTERVENCION]]</f>
        <v xml:space="preserve">EMP. PE-3S M (CCOCHCCACCASA) - OCCOROPAMPA - MITO; EMP. HV-834 (OCCOROPAMPA) -TRES DE OCTUBRE - EMP. HV-837 (ACCOCCASA) </v>
      </c>
      <c r="C56" s="170" t="str">
        <f>+TablaMaestra[[#This Row],[DEPARTAMENTO]]</f>
        <v>HUANCAVELICA</v>
      </c>
      <c r="D56" s="170" t="str">
        <f>+TablaMaestra[[#This Row],[PROVINCIA]]</f>
        <v>ACOBAMBA</v>
      </c>
      <c r="E56" s="170" t="str">
        <f>+TablaMaestra[[#This Row],[DISTRITO]]</f>
        <v>ACOBAMBA</v>
      </c>
      <c r="F56" s="170" t="s">
        <v>928</v>
      </c>
      <c r="G56" s="170" t="s">
        <v>964</v>
      </c>
      <c r="H56" s="170" t="s">
        <v>929</v>
      </c>
      <c r="I56" s="170" t="s">
        <v>930</v>
      </c>
      <c r="J56" s="171">
        <f ca="1">IF(ISBLANK(Ayuda!R56), 0, MIN(MAX(0, (TODAY() - Ayuda!R56) / (Ayuda!Q56 + IFERROR(Ayuda!W56, 0))), 1))</f>
        <v>0.7583333333333333</v>
      </c>
      <c r="K56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0.65999959497225558</v>
      </c>
      <c r="L56" s="170" t="s">
        <v>931</v>
      </c>
    </row>
    <row r="57" spans="1:12" ht="30" customHeight="1" x14ac:dyDescent="0.3">
      <c r="A57" s="170" t="str">
        <f>+TablaMaestra[[#This Row],[CÓDIGO DE RUTA]]</f>
        <v>R0902215; HV-761</v>
      </c>
      <c r="B57" s="170" t="str">
        <f>+TablaMaestra[[#This Row],[DENOMINACION DE INTERVENCION]]</f>
        <v xml:space="preserve">EMP. PE-3SM (CHACAHUAYCCO) - PUNCHAYPAMPA; EMP. HV-106 (DV. ANDABAMBA) -  PUNCHAYPAMPA (KM 07+020 </v>
      </c>
      <c r="C57" s="170" t="str">
        <f>+TablaMaestra[[#This Row],[DEPARTAMENTO]]</f>
        <v>HUANCAVELICA</v>
      </c>
      <c r="D57" s="170" t="str">
        <f>+TablaMaestra[[#This Row],[PROVINCIA]]</f>
        <v>ACOBAMBA</v>
      </c>
      <c r="E57" s="170" t="str">
        <f>+TablaMaestra[[#This Row],[DISTRITO]]</f>
        <v>ROSARIO</v>
      </c>
      <c r="F57" s="170" t="s">
        <v>928</v>
      </c>
      <c r="G57" s="170" t="s">
        <v>964</v>
      </c>
      <c r="H57" s="170" t="s">
        <v>929</v>
      </c>
      <c r="I57" s="170" t="s">
        <v>930</v>
      </c>
      <c r="J57" s="171">
        <f ca="1">IF(ISBLANK(Ayuda!R57), 0, MIN(MAX(0, (TODAY() - Ayuda!R57) / (Ayuda!Q57 + IFERROR(Ayuda!W57, 0))), 1))</f>
        <v>0.72916666666666663</v>
      </c>
      <c r="K57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0.62791621257772934</v>
      </c>
      <c r="L57" s="170" t="s">
        <v>931</v>
      </c>
    </row>
    <row r="58" spans="1:12" ht="30" customHeight="1" x14ac:dyDescent="0.3">
      <c r="A58" s="170" t="str">
        <f>+TablaMaestra[[#This Row],[CÓDIGO DE RUTA]]</f>
        <v>R0902227</v>
      </c>
      <c r="B58" s="170" t="str">
        <f>+TablaMaestra[[#This Row],[DENOMINACION DE INTERVENCION]]</f>
        <v xml:space="preserve">EMP. PE-3SM (PAUCARÁ) - INCA PERCCAN - CHILLHUAPAMPA - SANTA CRUZ DE PACCHO - EMP. PE-3SM  </v>
      </c>
      <c r="C58" s="170" t="str">
        <f>+TablaMaestra[[#This Row],[DEPARTAMENTO]]</f>
        <v>HUANCAVELICA</v>
      </c>
      <c r="D58" s="170" t="str">
        <f>+TablaMaestra[[#This Row],[PROVINCIA]]</f>
        <v>ACOBAMBA</v>
      </c>
      <c r="E58" s="170" t="str">
        <f>+TablaMaestra[[#This Row],[DISTRITO]]</f>
        <v>PAUCARÁ; ANDABAMBA</v>
      </c>
      <c r="F58" s="170" t="s">
        <v>928</v>
      </c>
      <c r="G58" s="170" t="s">
        <v>964</v>
      </c>
      <c r="H58" s="170" t="s">
        <v>929</v>
      </c>
      <c r="I58" s="170" t="s">
        <v>930</v>
      </c>
      <c r="J58" s="171">
        <f ca="1">IF(ISBLANK(Ayuda!R58), 0, MIN(MAX(0, (TODAY() - Ayuda!R58) / (Ayuda!Q58 + IFERROR(Ayuda!W58, 0))), 1))</f>
        <v>0.7</v>
      </c>
      <c r="K58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0.59583291231070179</v>
      </c>
      <c r="L58" s="170" t="s">
        <v>931</v>
      </c>
    </row>
    <row r="59" spans="1:12" ht="30" customHeight="1" x14ac:dyDescent="0.3">
      <c r="A59" s="170" t="str">
        <f>+TablaMaestra[[#This Row],[CÓDIGO DE RUTA]]</f>
        <v>HV-764</v>
      </c>
      <c r="B59" s="170" t="str">
        <f>+TablaMaestra[[#This Row],[DENOMINACION DE INTERVENCION]]</f>
        <v xml:space="preserve">EMP. PE-3S M (PALMIRA ALTA) - PALMIRA BAJA - CCOCHAMARCA </v>
      </c>
      <c r="C59" s="170" t="str">
        <f>+TablaMaestra[[#This Row],[DEPARTAMENTO]]</f>
        <v>HUANCAVELICA</v>
      </c>
      <c r="D59" s="170" t="str">
        <f>+TablaMaestra[[#This Row],[PROVINCIA]]</f>
        <v>ACOBAMBA</v>
      </c>
      <c r="E59" s="170" t="str">
        <f>+TablaMaestra[[#This Row],[DISTRITO]]</f>
        <v>ANDABAMBA; PAUCARA; ACORIA</v>
      </c>
      <c r="F59" s="170" t="s">
        <v>928</v>
      </c>
      <c r="G59" s="170" t="s">
        <v>964</v>
      </c>
      <c r="H59" s="170" t="s">
        <v>929</v>
      </c>
      <c r="I59" s="170" t="s">
        <v>930</v>
      </c>
      <c r="J59" s="171">
        <f ca="1">IF(ISBLANK(Ayuda!R59), 0, MIN(MAX(0, (TODAY() - Ayuda!R59) / (Ayuda!Q59 + IFERROR(Ayuda!W59, 0))), 1))</f>
        <v>0.7583333333333333</v>
      </c>
      <c r="K59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0.65999952955935404</v>
      </c>
      <c r="L59" s="170" t="s">
        <v>931</v>
      </c>
    </row>
    <row r="60" spans="1:12" ht="30" customHeight="1" x14ac:dyDescent="0.3">
      <c r="A60" s="170" t="str">
        <f>+TablaMaestra[[#This Row],[CÓDIGO DE RUTA]]</f>
        <v>HV-829; HV-830</v>
      </c>
      <c r="B60" s="170" t="str">
        <f>+TablaMaestra[[#This Row],[DENOMINACION DE INTERVENCION]]</f>
        <v xml:space="preserve">EMP. HV-107 (CHANQUIL) - CHUÑUNUPATA - RAYANNIYOCC - ANTA (KM 10+302),  ANTA (KM 10+472) - PUCACCACCA - PARIAHUANCA - EMP. HV-831; EMP. HV-829 - EMP. HV-829 (PUCACCACCA) </v>
      </c>
      <c r="C60" s="170" t="str">
        <f>+TablaMaestra[[#This Row],[DEPARTAMENTO]]</f>
        <v>HUANCAVELICA</v>
      </c>
      <c r="D60" s="170" t="str">
        <f>+TablaMaestra[[#This Row],[PROVINCIA]]</f>
        <v>ACOBAMBA</v>
      </c>
      <c r="E60" s="170" t="str">
        <f>+TablaMaestra[[#This Row],[DISTRITO]]</f>
        <v>ANTA; ROSARIO</v>
      </c>
      <c r="F60" s="170" t="s">
        <v>928</v>
      </c>
      <c r="G60" s="170" t="s">
        <v>964</v>
      </c>
      <c r="H60" s="170" t="s">
        <v>929</v>
      </c>
      <c r="I60" s="170" t="s">
        <v>930</v>
      </c>
      <c r="J60" s="171">
        <f ca="1">IF(ISBLANK(Ayuda!R60), 0, MIN(MAX(0, (TODAY() - Ayuda!R60) / (Ayuda!Q60 + IFERROR(Ayuda!W60, 0))), 1))</f>
        <v>0.76249999999999996</v>
      </c>
      <c r="K60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0.66458296734399092</v>
      </c>
      <c r="L60" s="170" t="s">
        <v>931</v>
      </c>
    </row>
    <row r="61" spans="1:12" ht="30" customHeight="1" x14ac:dyDescent="0.3">
      <c r="A61" s="170" t="str">
        <f>+TablaMaestra[[#This Row],[CÓDIGO DE RUTA]]</f>
        <v>HV-832; HV-831</v>
      </c>
      <c r="B61" s="170" t="str">
        <f>+TablaMaestra[[#This Row],[DENOMINACION DE INTERVENCION]]</f>
        <v xml:space="preserve">EMP. PE-3S M (PUCACRUZ) - LLECCLESPAMPA - CASACANCHA - EMP. HV-830; EMP. HV-832-EMP. HV-829 (PARIAHUANCA) </v>
      </c>
      <c r="C61" s="170" t="str">
        <f>+TablaMaestra[[#This Row],[DEPARTAMENTO]]</f>
        <v>HUANCAVELICA</v>
      </c>
      <c r="D61" s="170" t="str">
        <f>+TablaMaestra[[#This Row],[PROVINCIA]]</f>
        <v>ACOBAMBA</v>
      </c>
      <c r="E61" s="170" t="str">
        <f>+TablaMaestra[[#This Row],[DISTRITO]]</f>
        <v>ANTA; ROSARIO</v>
      </c>
      <c r="F61" s="170" t="s">
        <v>928</v>
      </c>
      <c r="G61" s="170" t="s">
        <v>964</v>
      </c>
      <c r="H61" s="170" t="s">
        <v>929</v>
      </c>
      <c r="I61" s="170" t="s">
        <v>930</v>
      </c>
      <c r="J61" s="171">
        <f ca="1">IF(ISBLANK(Ayuda!R61), 0, MIN(MAX(0, (TODAY() - Ayuda!R61) / (Ayuda!Q61 + IFERROR(Ayuda!W61, 0))), 1))</f>
        <v>0.33905579399141633</v>
      </c>
      <c r="K61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0.54999708526370694</v>
      </c>
      <c r="L61" s="170" t="s">
        <v>931</v>
      </c>
    </row>
    <row r="62" spans="1:12" ht="30" customHeight="1" x14ac:dyDescent="0.3">
      <c r="A62" s="170" t="str">
        <f>+TablaMaestra[[#This Row],[CÓDIGO DE RUTA]]</f>
        <v>HV-803; HV-804; HV-827</v>
      </c>
      <c r="B62" s="170" t="str">
        <f>+TablaMaestra[[#This Row],[DENOMINACION DE INTERVENCION]]</f>
        <v xml:space="preserve">PAUCARÁ (KM 00+627) - LEGUAS - EMP. HV-107 (CCESPICANCHA); PAUCARÁ (KM 00+476) - CHACAPAMPA - EMP. HV-107 (CHANQUIL); CHANQUIL (KM 00+312) - OCCORO - EMP. HV-107 </v>
      </c>
      <c r="C62" s="170" t="str">
        <f>+TablaMaestra[[#This Row],[DEPARTAMENTO]]</f>
        <v>HUANCAVELICA</v>
      </c>
      <c r="D62" s="170" t="str">
        <f>+TablaMaestra[[#This Row],[PROVINCIA]]</f>
        <v>ACOBAMBA</v>
      </c>
      <c r="E62" s="170" t="str">
        <f>+TablaMaestra[[#This Row],[DISTRITO]]</f>
        <v>PAUCARÁ; ANTA; ROSARIO</v>
      </c>
      <c r="F62" s="170" t="s">
        <v>928</v>
      </c>
      <c r="G62" s="170" t="s">
        <v>964</v>
      </c>
      <c r="H62" s="170" t="s">
        <v>929</v>
      </c>
      <c r="I62" s="170" t="s">
        <v>930</v>
      </c>
      <c r="J62" s="171">
        <f ca="1">IF(ISBLANK(Ayuda!R62), 0, MIN(MAX(0, (TODAY() - Ayuda!R62) / (Ayuda!Q62 + IFERROR(Ayuda!W62, 0))), 1))</f>
        <v>0.7583333333333333</v>
      </c>
      <c r="K62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0.65999965304281438</v>
      </c>
      <c r="L62" s="170" t="s">
        <v>931</v>
      </c>
    </row>
    <row r="63" spans="1:12" ht="30" customHeight="1" x14ac:dyDescent="0.3">
      <c r="A63" s="170" t="str">
        <f>+TablaMaestra[[#This Row],[CÓDIGO DE RUTA]]</f>
        <v>HV-825</v>
      </c>
      <c r="B63" s="170" t="str">
        <f>+TablaMaestra[[#This Row],[DENOMINACION DE INTERVENCION]]</f>
        <v xml:space="preserve"> EMP. HV-107 - LACCANCCAPAMPA - SAN PEDRO ÑAHUINCUCHO - SANCAYPAMPA (KM  05+170)</v>
      </c>
      <c r="C63" s="170" t="str">
        <f>+TablaMaestra[[#This Row],[DEPARTAMENTO]]</f>
        <v>HUANCAVELICA</v>
      </c>
      <c r="D63" s="170" t="str">
        <f>+TablaMaestra[[#This Row],[PROVINCIA]]</f>
        <v>ACOBAMBA</v>
      </c>
      <c r="E63" s="170" t="str">
        <f>+TablaMaestra[[#This Row],[DISTRITO]]</f>
        <v>ANTA</v>
      </c>
      <c r="F63" s="170" t="s">
        <v>928</v>
      </c>
      <c r="G63" s="170" t="s">
        <v>964</v>
      </c>
      <c r="H63" s="170" t="s">
        <v>929</v>
      </c>
      <c r="I63" s="170" t="s">
        <v>930</v>
      </c>
      <c r="J63" s="171">
        <f ca="1">IF(ISBLANK(Ayuda!R63), 0, MIN(MAX(0, (TODAY() - Ayuda!R63) / (Ayuda!Q63 + IFERROR(Ayuda!W63, 0))), 1))</f>
        <v>0.86250000000000004</v>
      </c>
      <c r="K63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0.77458548750076028</v>
      </c>
      <c r="L63" s="170" t="s">
        <v>931</v>
      </c>
    </row>
    <row r="64" spans="1:12" ht="30" customHeight="1" x14ac:dyDescent="0.3">
      <c r="A64" s="170" t="str">
        <f>+TablaMaestra[[#This Row],[CÓDIGO DE RUTA]]</f>
        <v>R0902223; HV-762</v>
      </c>
      <c r="B64" s="170" t="str">
        <f>+TablaMaestra[[#This Row],[DENOMINACION DE INTERVENCION]]</f>
        <v>EMP. PE-3SM (ICHUPAMPA) -  HUANCAPITE; HUANCAPITE (KM 00+100) - SOL DE ORO  (KM 01+025), SOL DE ORO (KM 01+203) - VISTA ALEGRE  (KM 03+612), VISTA ALEGRE  (KM 03+881) - PUCA CCASA - LINDAPAMPA (KM 08+582)</v>
      </c>
      <c r="C64" s="170" t="str">
        <f>+TablaMaestra[[#This Row],[DEPARTAMENTO]]</f>
        <v>HUANCAVELICA</v>
      </c>
      <c r="D64" s="170" t="str">
        <f>+TablaMaestra[[#This Row],[PROVINCIA]]</f>
        <v>ACOBAMBA</v>
      </c>
      <c r="E64" s="170" t="str">
        <f>+TablaMaestra[[#This Row],[DISTRITO]]</f>
        <v>ROSARIO; ANDABAMBA</v>
      </c>
      <c r="F64" s="170" t="s">
        <v>928</v>
      </c>
      <c r="G64" s="170" t="s">
        <v>964</v>
      </c>
      <c r="H64" s="170" t="s">
        <v>929</v>
      </c>
      <c r="I64" s="170" t="s">
        <v>930</v>
      </c>
      <c r="J64" s="171">
        <f ca="1">IF(ISBLANK(Ayuda!R64), 0, MIN(MAX(0, (TODAY() - Ayuda!R64) / (Ayuda!Q64 + IFERROR(Ayuda!W64, 0))), 1))</f>
        <v>0.33333333333333331</v>
      </c>
      <c r="K64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0.53166009802068026</v>
      </c>
      <c r="L64" s="170" t="s">
        <v>931</v>
      </c>
    </row>
    <row r="65" spans="1:12" ht="30" customHeight="1" x14ac:dyDescent="0.3">
      <c r="A65" s="170" t="str">
        <f>+TablaMaestra[[#This Row],[CÓDIGO DE RUTA]]</f>
        <v>HV-846</v>
      </c>
      <c r="B65" s="170" t="str">
        <f>+TablaMaestra[[#This Row],[DENOMINACION DE INTERVENCION]]</f>
        <v xml:space="preserve">EMP. PE-3S M (CHOCLOCOCHA) - AGUAS VERDES - POMACOCHA </v>
      </c>
      <c r="C65" s="170" t="str">
        <f>+TablaMaestra[[#This Row],[DEPARTAMENTO]]</f>
        <v>HUANCAVELICA</v>
      </c>
      <c r="D65" s="170" t="str">
        <f>+TablaMaestra[[#This Row],[PROVINCIA]]</f>
        <v>ACOBAMBA</v>
      </c>
      <c r="E65" s="170" t="str">
        <f>+TablaMaestra[[#This Row],[DISTRITO]]</f>
        <v>POMACOCHA</v>
      </c>
      <c r="F65" s="170" t="s">
        <v>928</v>
      </c>
      <c r="G65" s="170" t="s">
        <v>964</v>
      </c>
      <c r="H65" s="170" t="s">
        <v>929</v>
      </c>
      <c r="I65" s="170" t="s">
        <v>930</v>
      </c>
      <c r="J65" s="171">
        <f ca="1">IF(ISBLANK(Ayuda!R65), 0, MIN(MAX(0, (TODAY() - Ayuda!R65) / (Ayuda!Q65 + IFERROR(Ayuda!W65, 0))), 1))</f>
        <v>0.87916666666666665</v>
      </c>
      <c r="K65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0.79291948063760609</v>
      </c>
      <c r="L65" s="170" t="s">
        <v>931</v>
      </c>
    </row>
    <row r="66" spans="1:12" ht="30" customHeight="1" x14ac:dyDescent="0.3">
      <c r="A66" s="170" t="str">
        <f>+TablaMaestra[[#This Row],[CÓDIGO DE RUTA]]</f>
        <v>HV-839</v>
      </c>
      <c r="B66" s="170" t="str">
        <f>+TablaMaestra[[#This Row],[DENOMINACION DE INTERVENCION]]</f>
        <v xml:space="preserve">EMP. HV-840 (UCHUYBAMBA) - MANYACC </v>
      </c>
      <c r="C66" s="170" t="str">
        <f>+TablaMaestra[[#This Row],[DEPARTAMENTO]]</f>
        <v>HUANCAVELICA</v>
      </c>
      <c r="D66" s="170" t="str">
        <f>+TablaMaestra[[#This Row],[PROVINCIA]]</f>
        <v>ACOBAMBA</v>
      </c>
      <c r="E66" s="170" t="str">
        <f>+TablaMaestra[[#This Row],[DISTRITO]]</f>
        <v>ANTA Y ACOBAMBA</v>
      </c>
      <c r="F66" s="170" t="s">
        <v>928</v>
      </c>
      <c r="G66" s="170" t="s">
        <v>964</v>
      </c>
      <c r="H66" s="170" t="s">
        <v>929</v>
      </c>
      <c r="I66" s="170" t="s">
        <v>930</v>
      </c>
      <c r="J66" s="171">
        <f ca="1">IF(ISBLANK(Ayuda!R66), 0, MIN(MAX(0, (TODAY() - Ayuda!R66) / (Ayuda!Q66 + IFERROR(Ayuda!W66, 0))), 1))</f>
        <v>0.7583333333333333</v>
      </c>
      <c r="K66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0.6599993181740702</v>
      </c>
      <c r="L66" s="170" t="s">
        <v>931</v>
      </c>
    </row>
    <row r="67" spans="1:12" ht="30" customHeight="1" x14ac:dyDescent="0.3">
      <c r="A67" s="170" t="str">
        <f>+TablaMaestra[[#This Row],[CÓDIGO DE RUTA]]</f>
        <v>HV-844</v>
      </c>
      <c r="B67" s="170" t="str">
        <f>+TablaMaestra[[#This Row],[DENOMINACION DE INTERVENCION]]</f>
        <v xml:space="preserve">ACOBAMBA (KM 00+546) - CEMENTERIO ACOBAMBA - ALLPAS - PTE. SANTA OLA </v>
      </c>
      <c r="C67" s="170" t="str">
        <f>+TablaMaestra[[#This Row],[DEPARTAMENTO]]</f>
        <v>HUANCAVELICA</v>
      </c>
      <c r="D67" s="170" t="str">
        <f>+TablaMaestra[[#This Row],[PROVINCIA]]</f>
        <v>ACOBAMBA</v>
      </c>
      <c r="E67" s="170" t="str">
        <f>+TablaMaestra[[#This Row],[DISTRITO]]</f>
        <v>ACOBAMBA</v>
      </c>
      <c r="F67" s="170" t="s">
        <v>928</v>
      </c>
      <c r="G67" s="170" t="s">
        <v>964</v>
      </c>
      <c r="H67" s="170" t="s">
        <v>929</v>
      </c>
      <c r="I67" s="170" t="s">
        <v>930</v>
      </c>
      <c r="J67" s="171">
        <f ca="1">IF(ISBLANK(Ayuda!R67), 0, MIN(MAX(0, (TODAY() - Ayuda!R67) / (Ayuda!Q67 + IFERROR(Ayuda!W67, 0))), 1))</f>
        <v>0.33477321814254862</v>
      </c>
      <c r="K67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0.53624566462725531</v>
      </c>
      <c r="L67" s="170" t="s">
        <v>931</v>
      </c>
    </row>
    <row r="68" spans="1:12" ht="30" customHeight="1" x14ac:dyDescent="0.3">
      <c r="A68" s="170" t="str">
        <f>+TablaMaestra[[#This Row],[CÓDIGO DE RUTA]]</f>
        <v>R0902001</v>
      </c>
      <c r="B68" s="170" t="str">
        <f>+TablaMaestra[[#This Row],[DENOMINACION DE INTERVENCION]]</f>
        <v>CORRALPAMPA (KM 03+376) - EMP. HV-759 (VILLAMANTARO)</v>
      </c>
      <c r="C68" s="170" t="str">
        <f>+TablaMaestra[[#This Row],[DEPARTAMENTO]]</f>
        <v>HUANCAVELICA</v>
      </c>
      <c r="D68" s="170" t="str">
        <f>+TablaMaestra[[#This Row],[PROVINCIA]]</f>
        <v>ACOBAMBA</v>
      </c>
      <c r="E68" s="170" t="str">
        <f>+TablaMaestra[[#This Row],[DISTRITO]]</f>
        <v>ROSARIO</v>
      </c>
      <c r="F68" s="170" t="s">
        <v>928</v>
      </c>
      <c r="G68" s="170" t="s">
        <v>964</v>
      </c>
      <c r="H68" s="170" t="s">
        <v>929</v>
      </c>
      <c r="I68" s="170" t="s">
        <v>930</v>
      </c>
      <c r="J68" s="171">
        <f ca="1">IF(ISBLANK(Ayuda!R68), 0, MIN(MAX(0, (TODAY() - Ayuda!R68) / (Ayuda!Q68 + IFERROR(Ayuda!W68, 0))), 1))</f>
        <v>0.33477321814254862</v>
      </c>
      <c r="K68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0.53624850533372259</v>
      </c>
      <c r="L68" s="170" t="s">
        <v>931</v>
      </c>
    </row>
    <row r="69" spans="1:12" ht="30" customHeight="1" x14ac:dyDescent="0.3">
      <c r="A69" s="170" t="str">
        <f>+TablaMaestra[[#This Row],[CÓDIGO DE RUTA]]</f>
        <v>R0909042</v>
      </c>
      <c r="B69" s="170" t="str">
        <f>+TablaMaestra[[#This Row],[DENOMINACION DE INTERVENCION]]</f>
        <v xml:space="preserve">EMP. HV-749 (RURUNMARCA) - LLAHUECC </v>
      </c>
      <c r="C69" s="170" t="str">
        <f>+TablaMaestra[[#This Row],[DEPARTAMENTO]]</f>
        <v>HUANCAVELICA</v>
      </c>
      <c r="D69" s="170" t="str">
        <f>+TablaMaestra[[#This Row],[PROVINCIA]]</f>
        <v>ACOBAMBA</v>
      </c>
      <c r="E69" s="170" t="str">
        <f>+TablaMaestra[[#This Row],[DISTRITO]]</f>
        <v>CAJA</v>
      </c>
      <c r="F69" s="170" t="s">
        <v>928</v>
      </c>
      <c r="G69" s="170" t="s">
        <v>964</v>
      </c>
      <c r="H69" s="170" t="s">
        <v>929</v>
      </c>
      <c r="I69" s="170" t="s">
        <v>930</v>
      </c>
      <c r="J69" s="171">
        <f ca="1">IF(ISBLANK(Ayuda!R69), 0, MIN(MAX(0, (TODAY() - Ayuda!R69) / (Ayuda!Q69 + IFERROR(Ayuda!W69, 0))), 1))</f>
        <v>0.71666666666666667</v>
      </c>
      <c r="K69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0.61416666666666675</v>
      </c>
      <c r="L69" s="170" t="s">
        <v>931</v>
      </c>
    </row>
    <row r="70" spans="1:12" ht="30" customHeight="1" x14ac:dyDescent="0.3">
      <c r="A70" s="170" t="str">
        <f>+TablaMaestra[[#This Row],[CÓDIGO DE RUTA]]</f>
        <v>HV-747</v>
      </c>
      <c r="B70" s="170" t="str">
        <f>+TablaMaestra[[#This Row],[DENOMINACION DE INTERVENCION]]</f>
        <v>EMP. PE-3S (CANCAPAMPA) -PARISA - CARMEN - MARCAS (KM 23+268)</v>
      </c>
      <c r="C70" s="170" t="str">
        <f>+TablaMaestra[[#This Row],[DEPARTAMENTO]]</f>
        <v>HUANCAVELICA</v>
      </c>
      <c r="D70" s="170" t="str">
        <f>+TablaMaestra[[#This Row],[PROVINCIA]]</f>
        <v>ACOBAMBA</v>
      </c>
      <c r="E70" s="170" t="str">
        <f>+TablaMaestra[[#This Row],[DISTRITO]]</f>
        <v>MARCAS</v>
      </c>
      <c r="F70" s="170" t="s">
        <v>928</v>
      </c>
      <c r="G70" s="170" t="s">
        <v>964</v>
      </c>
      <c r="H70" s="170" t="s">
        <v>929</v>
      </c>
      <c r="I70" s="170" t="s">
        <v>930</v>
      </c>
      <c r="J70" s="171">
        <f ca="1">IF(ISBLANK(Ayuda!R70), 0, MIN(MAX(0, (TODAY() - Ayuda!R70) / (Ayuda!Q70 + IFERROR(Ayuda!W70, 0))), 1))</f>
        <v>0.71666666666666667</v>
      </c>
      <c r="K70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0.61416655088687322</v>
      </c>
      <c r="L70" s="170" t="s">
        <v>931</v>
      </c>
    </row>
    <row r="71" spans="1:12" ht="30" customHeight="1" x14ac:dyDescent="0.3">
      <c r="A71" s="170" t="str">
        <f>+TablaMaestra[[#This Row],[CÓDIGO DE RUTA]]</f>
        <v>HV-858</v>
      </c>
      <c r="B71" s="170" t="str">
        <f>+TablaMaestra[[#This Row],[DENOMINACION DE INTERVENCION]]</f>
        <v>EMP. PE-26 B (JULCAMARCA) - YURACCOCHA - YANACHOCCE - SAN JOSÉ DE VILLOC - CHINCHO - HUANCHUY</v>
      </c>
      <c r="C71" s="170" t="str">
        <f>+TablaMaestra[[#This Row],[DEPARTAMENTO]]</f>
        <v>HUANCAVELICA</v>
      </c>
      <c r="D71" s="170" t="str">
        <f>+TablaMaestra[[#This Row],[PROVINCIA]]</f>
        <v>ANGARAES</v>
      </c>
      <c r="E71" s="170" t="str">
        <f>+TablaMaestra[[#This Row],[DISTRITO]]</f>
        <v>JULCAMARCA Y CHINCHO</v>
      </c>
      <c r="F71" s="170" t="s">
        <v>928</v>
      </c>
      <c r="G71" s="170" t="s">
        <v>964</v>
      </c>
      <c r="H71" s="170" t="s">
        <v>929</v>
      </c>
      <c r="I71" s="170" t="s">
        <v>930</v>
      </c>
      <c r="J71" s="171">
        <f ca="1">IF(ISBLANK(Ayuda!R71), 0, MIN(MAX(0, (TODAY() - Ayuda!R71) / (Ayuda!Q71 + IFERROR(Ayuda!W71, 0))), 1))</f>
        <v>0.70833333333333337</v>
      </c>
      <c r="K71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0.60500031956193212</v>
      </c>
      <c r="L71" s="170" t="s">
        <v>931</v>
      </c>
    </row>
    <row r="72" spans="1:12" ht="30" customHeight="1" x14ac:dyDescent="0.3">
      <c r="A72" s="170" t="str">
        <f>+TablaMaestra[[#This Row],[CÓDIGO DE RUTA]]</f>
        <v>HV-864</v>
      </c>
      <c r="B72" s="170" t="str">
        <f>+TablaMaestra[[#This Row],[DENOMINACION DE INTERVENCION]]</f>
        <v>EMP. PE-26 B - (CUTICSA GRANDE) - CUTICSA - EMP. PE-26 B (ANTAMACHAY)</v>
      </c>
      <c r="C72" s="170" t="str">
        <f>+TablaMaestra[[#This Row],[DEPARTAMENTO]]</f>
        <v>HUANCAVELICA</v>
      </c>
      <c r="D72" s="170" t="str">
        <f>+TablaMaestra[[#This Row],[PROVINCIA]]</f>
        <v>ANGARAES</v>
      </c>
      <c r="E72" s="170" t="str">
        <f>+TablaMaestra[[#This Row],[DISTRITO]]</f>
        <v>SECCLLA, JULCAMARCA Y  SANTO TOMAS DE PATA</v>
      </c>
      <c r="F72" s="170" t="s">
        <v>928</v>
      </c>
      <c r="G72" s="170" t="s">
        <v>964</v>
      </c>
      <c r="H72" s="170" t="s">
        <v>929</v>
      </c>
      <c r="I72" s="170" t="s">
        <v>930</v>
      </c>
      <c r="J72" s="171">
        <f ca="1">IF(ISBLANK(Ayuda!R72), 0, MIN(MAX(0, (TODAY() - Ayuda!R72) / (Ayuda!Q72 + IFERROR(Ayuda!W72, 0))), 1))</f>
        <v>0.70833333333333337</v>
      </c>
      <c r="K72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0.60500121171041954</v>
      </c>
      <c r="L72" s="170" t="s">
        <v>931</v>
      </c>
    </row>
    <row r="73" spans="1:12" ht="30" customHeight="1" x14ac:dyDescent="0.3">
      <c r="A73" s="170" t="str">
        <f>+TablaMaestra[[#This Row],[CÓDIGO DE RUTA]]</f>
        <v>HV-816</v>
      </c>
      <c r="B73" s="170" t="str">
        <f>+TablaMaestra[[#This Row],[DENOMINACION DE INTERVENCION]]</f>
        <v>EMP. PE-26 B - UNIÓN PROGRESO - PARCO (KM 17+772), DESVIO A CHACARILLA (KM 19+440) - CHONTACANCHA (KM 23+170)</v>
      </c>
      <c r="C73" s="170" t="str">
        <f>+TablaMaestra[[#This Row],[DEPARTAMENTO]]</f>
        <v>HUANCAVELICA</v>
      </c>
      <c r="D73" s="170" t="str">
        <f>+TablaMaestra[[#This Row],[PROVINCIA]]</f>
        <v>ANGARAES</v>
      </c>
      <c r="E73" s="170" t="str">
        <f>+TablaMaestra[[#This Row],[DISTRITO]]</f>
        <v>CCOCHACCASA Y ANCHONGA</v>
      </c>
      <c r="F73" s="170" t="s">
        <v>928</v>
      </c>
      <c r="G73" s="170" t="s">
        <v>964</v>
      </c>
      <c r="H73" s="170" t="s">
        <v>929</v>
      </c>
      <c r="I73" s="170" t="s">
        <v>930</v>
      </c>
      <c r="J73" s="171">
        <f ca="1">IF(ISBLANK(Ayuda!R73), 0, MIN(MAX(0, (TODAY() - Ayuda!R73) / (Ayuda!Q73 + IFERROR(Ayuda!W73, 0))), 1))</f>
        <v>0.81428571428571428</v>
      </c>
      <c r="K73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0.69666556803579738</v>
      </c>
      <c r="L73" s="170" t="s">
        <v>931</v>
      </c>
    </row>
    <row r="74" spans="1:12" ht="30" customHeight="1" x14ac:dyDescent="0.3">
      <c r="A74" s="170" t="str">
        <f>+TablaMaestra[[#This Row],[CÓDIGO DE RUTA]]</f>
        <v>HV-843</v>
      </c>
      <c r="B74" s="170" t="str">
        <f>+TablaMaestra[[#This Row],[DENOMINACION DE INTERVENCION]]</f>
        <v>EMP. HV-108 (HUANCA HUANCA) - COMUNPATA - SANTA ROSA DE PATAHUASI</v>
      </c>
      <c r="C74" s="170" t="str">
        <f>+TablaMaestra[[#This Row],[DEPARTAMENTO]]</f>
        <v>HUANCAVELICA</v>
      </c>
      <c r="D74" s="170" t="str">
        <f>+TablaMaestra[[#This Row],[PROVINCIA]]</f>
        <v>ANGARAES</v>
      </c>
      <c r="E74" s="170" t="str">
        <f>+TablaMaestra[[#This Row],[DISTRITO]]</f>
        <v>HUANCA HUANCA</v>
      </c>
      <c r="F74" s="170" t="s">
        <v>928</v>
      </c>
      <c r="G74" s="170" t="s">
        <v>964</v>
      </c>
      <c r="H74" s="170" t="s">
        <v>929</v>
      </c>
      <c r="I74" s="170" t="s">
        <v>930</v>
      </c>
      <c r="J74" s="171">
        <f ca="1">IF(ISBLANK(Ayuda!R74), 0, MIN(MAX(0, (TODAY() - Ayuda!R74) / (Ayuda!Q74 + IFERROR(Ayuda!W74, 0))), 1))</f>
        <v>0.81428571428571428</v>
      </c>
      <c r="K74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0.69666519007055261</v>
      </c>
      <c r="L74" s="170" t="s">
        <v>931</v>
      </c>
    </row>
    <row r="75" spans="1:12" ht="30" customHeight="1" x14ac:dyDescent="0.3">
      <c r="A75" s="170" t="str">
        <f>+TablaMaestra[[#This Row],[CÓDIGO DE RUTA]]</f>
        <v>HV-862</v>
      </c>
      <c r="B75" s="170" t="str">
        <f>+TablaMaestra[[#This Row],[DENOMINACION DE INTERVENCION]]</f>
        <v>EMP. PE-26 B - PAMPAHUASI - EMP. HV-860 (ANTAPARCO)</v>
      </c>
      <c r="C75" s="170" t="str">
        <f>+TablaMaestra[[#This Row],[DEPARTAMENTO]]</f>
        <v>HUANCAVELICA</v>
      </c>
      <c r="D75" s="170" t="str">
        <f>+TablaMaestra[[#This Row],[PROVINCIA]]</f>
        <v>ANGARAES</v>
      </c>
      <c r="E75" s="170" t="str">
        <f>+TablaMaestra[[#This Row],[DISTRITO]]</f>
        <v>JULCAMARCA Y SAN ANTONIO DE ANTAPARCO</v>
      </c>
      <c r="F75" s="170" t="s">
        <v>928</v>
      </c>
      <c r="G75" s="170" t="s">
        <v>964</v>
      </c>
      <c r="H75" s="170" t="s">
        <v>929</v>
      </c>
      <c r="I75" s="170" t="s">
        <v>930</v>
      </c>
      <c r="J75" s="171">
        <f ca="1">IF(ISBLANK(Ayuda!R75), 0, MIN(MAX(0, (TODAY() - Ayuda!R75) / (Ayuda!Q75 + IFERROR(Ayuda!W75, 0))), 1))</f>
        <v>0.7142857142857143</v>
      </c>
      <c r="K75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0.58666746588238727</v>
      </c>
      <c r="L75" s="170" t="s">
        <v>931</v>
      </c>
    </row>
    <row r="76" spans="1:12" ht="30" customHeight="1" x14ac:dyDescent="0.3">
      <c r="A76" s="170" t="str">
        <f>+TablaMaestra[[#This Row],[CÓDIGO DE RUTA]]</f>
        <v>HV-869; R090315</v>
      </c>
      <c r="B76" s="170" t="str">
        <f>+TablaMaestra[[#This Row],[DENOMINACION DE INTERVENCION]]</f>
        <v>EMP. HV-868 (PUCAMARAY) - PULPERIA - NUEVA JERUSALEN - PELAPATA; EMP. HV-869 (PELAPATA) - SACCAPI - PARIA - EMP. HV-871</v>
      </c>
      <c r="C76" s="170" t="str">
        <f>+TablaMaestra[[#This Row],[DEPARTAMENTO]]</f>
        <v>HUANCAVELICA</v>
      </c>
      <c r="D76" s="170" t="str">
        <f>+TablaMaestra[[#This Row],[PROVINCIA]]</f>
        <v>ANGARAES</v>
      </c>
      <c r="E76" s="170" t="str">
        <f>+TablaMaestra[[#This Row],[DISTRITO]]</f>
        <v>LIRCAY</v>
      </c>
      <c r="F76" s="170" t="s">
        <v>928</v>
      </c>
      <c r="G76" s="170" t="s">
        <v>964</v>
      </c>
      <c r="H76" s="170" t="s">
        <v>929</v>
      </c>
      <c r="I76" s="170" t="s">
        <v>930</v>
      </c>
      <c r="J76" s="171">
        <f ca="1">IF(ISBLANK(Ayuda!R76), 0, MIN(MAX(0, (TODAY() - Ayuda!R76) / (Ayuda!Q76 + IFERROR(Ayuda!W76, 0))), 1))</f>
        <v>0.80952380952380953</v>
      </c>
      <c r="K76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0.69142666748181214</v>
      </c>
      <c r="L76" s="170" t="s">
        <v>931</v>
      </c>
    </row>
    <row r="77" spans="1:12" ht="30" customHeight="1" x14ac:dyDescent="0.3">
      <c r="A77" s="170" t="str">
        <f>+TablaMaestra[[#This Row],[CÓDIGO DE RUTA]]</f>
        <v>HV-868; HV-870</v>
      </c>
      <c r="B77" s="170" t="str">
        <f>+TablaMaestra[[#This Row],[DENOMINACION DE INTERVENCION]]</f>
        <v>EMP. PE-26 B (BUENA VISTA) - PUCAMARAY - CURIRUMI - SOCCLLABAMBA; EMP. HV-868 (CURIRUMI) - PIMIENTA</v>
      </c>
      <c r="C77" s="170" t="str">
        <f>+TablaMaestra[[#This Row],[DEPARTAMENTO]]</f>
        <v>HUANCAVELICA</v>
      </c>
      <c r="D77" s="170" t="str">
        <f>+TablaMaestra[[#This Row],[PROVINCIA]]</f>
        <v>ANGARAES</v>
      </c>
      <c r="E77" s="170" t="str">
        <f>+TablaMaestra[[#This Row],[DISTRITO]]</f>
        <v>LIRCAY</v>
      </c>
      <c r="F77" s="170" t="s">
        <v>928</v>
      </c>
      <c r="G77" s="170" t="s">
        <v>964</v>
      </c>
      <c r="H77" s="170" t="s">
        <v>929</v>
      </c>
      <c r="I77" s="170" t="s">
        <v>930</v>
      </c>
      <c r="J77" s="171">
        <f ca="1">IF(ISBLANK(Ayuda!R77), 0, MIN(MAX(0, (TODAY() - Ayuda!R77) / (Ayuda!Q77 + IFERROR(Ayuda!W77, 0))), 1))</f>
        <v>0.7142857142857143</v>
      </c>
      <c r="K77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0.58666744675536353</v>
      </c>
      <c r="L77" s="170" t="s">
        <v>931</v>
      </c>
    </row>
    <row r="78" spans="1:12" ht="30" customHeight="1" x14ac:dyDescent="0.3">
      <c r="A78" s="170" t="str">
        <f>+TablaMaestra[[#This Row],[CÓDIGO DE RUTA]]</f>
        <v>HV-881</v>
      </c>
      <c r="B78" s="170" t="str">
        <f>+TablaMaestra[[#This Row],[DENOMINACION DE INTERVENCION]]</f>
        <v>EMP. PE-26 B (LIRCAY) - JATUMPATA - CCOLLPAPAMPA - PATAPAMPA - CHALLHUAPUQUIO - PUEBLO NUEVO</v>
      </c>
      <c r="C78" s="170" t="str">
        <f>+TablaMaestra[[#This Row],[DEPARTAMENTO]]</f>
        <v>HUANCAVELICA</v>
      </c>
      <c r="D78" s="170" t="str">
        <f>+TablaMaestra[[#This Row],[PROVINCIA]]</f>
        <v>ANGARAES</v>
      </c>
      <c r="E78" s="170" t="str">
        <f>+TablaMaestra[[#This Row],[DISTRITO]]</f>
        <v>LIRCAY</v>
      </c>
      <c r="F78" s="170" t="s">
        <v>928</v>
      </c>
      <c r="G78" s="170" t="s">
        <v>964</v>
      </c>
      <c r="H78" s="170" t="s">
        <v>929</v>
      </c>
      <c r="I78" s="170" t="s">
        <v>930</v>
      </c>
      <c r="J78" s="171">
        <f ca="1">IF(ISBLANK(Ayuda!R78), 0, MIN(MAX(0, (TODAY() - Ayuda!R78) / (Ayuda!Q78 + IFERROR(Ayuda!W78, 0))), 1))</f>
        <v>0.81428571428571428</v>
      </c>
      <c r="K78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0.69666017844606409</v>
      </c>
      <c r="L78" s="170" t="s">
        <v>931</v>
      </c>
    </row>
    <row r="79" spans="1:12" ht="30" customHeight="1" x14ac:dyDescent="0.3">
      <c r="A79" s="170" t="str">
        <f>+TablaMaestra[[#This Row],[CÓDIGO DE RUTA]]</f>
        <v>HV-876</v>
      </c>
      <c r="B79" s="170" t="str">
        <f>+TablaMaestra[[#This Row],[DENOMINACION DE INTERVENCION]]</f>
        <v>EMP. PE-26 B (SANTA ELENA) - PITIMPATA - HUISIORCCO - MITOCCASA</v>
      </c>
      <c r="C79" s="170" t="str">
        <f>+TablaMaestra[[#This Row],[DEPARTAMENTO]]</f>
        <v>HUANCAVELICA</v>
      </c>
      <c r="D79" s="170" t="str">
        <f>+TablaMaestra[[#This Row],[PROVINCIA]]</f>
        <v>ANGARAES</v>
      </c>
      <c r="E79" s="170" t="str">
        <f>+TablaMaestra[[#This Row],[DISTRITO]]</f>
        <v>LIRCAY</v>
      </c>
      <c r="F79" s="170" t="s">
        <v>928</v>
      </c>
      <c r="G79" s="170" t="s">
        <v>964</v>
      </c>
      <c r="H79" s="170" t="s">
        <v>929</v>
      </c>
      <c r="I79" s="170" t="s">
        <v>930</v>
      </c>
      <c r="J79" s="171">
        <f ca="1">IF(ISBLANK(Ayuda!R79), 0, MIN(MAX(0, (TODAY() - Ayuda!R79) / (Ayuda!Q79 + IFERROR(Ayuda!W79, 0))), 1))</f>
        <v>0.81428571428571428</v>
      </c>
      <c r="K79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0.69667016501232848</v>
      </c>
      <c r="L79" s="170" t="s">
        <v>931</v>
      </c>
    </row>
    <row r="80" spans="1:12" ht="30" customHeight="1" x14ac:dyDescent="0.3">
      <c r="A80" s="170" t="str">
        <f>+TablaMaestra[[#This Row],[CÓDIGO DE RUTA]]</f>
        <v>HV-866; R090323</v>
      </c>
      <c r="B80" s="170" t="str">
        <f>+TablaMaestra[[#This Row],[DENOMINACION DE INTERVENCION]]</f>
        <v>EMP. PE-26 B (ATUNA) - CHILLAMA - ALLARPO - TRANCA - HUARACCOPATA; HABRA PAMPAMALI (KM 07+715) - HUARACCOPATA (KM 17+135)</v>
      </c>
      <c r="C80" s="170" t="str">
        <f>+TablaMaestra[[#This Row],[DEPARTAMENTO]]</f>
        <v>HUANCAVELICA</v>
      </c>
      <c r="D80" s="170" t="str">
        <f>+TablaMaestra[[#This Row],[PROVINCIA]]</f>
        <v>ANGARAES</v>
      </c>
      <c r="E80" s="170" t="str">
        <f>+TablaMaestra[[#This Row],[DISTRITO]]</f>
        <v>SECCLLA</v>
      </c>
      <c r="F80" s="170" t="s">
        <v>928</v>
      </c>
      <c r="G80" s="170" t="s">
        <v>964</v>
      </c>
      <c r="H80" s="170" t="s">
        <v>929</v>
      </c>
      <c r="I80" s="170" t="s">
        <v>930</v>
      </c>
      <c r="J80" s="171">
        <f ca="1">IF(ISBLANK(Ayuda!R80), 0, MIN(MAX(0, (TODAY() - Ayuda!R80) / (Ayuda!Q80 + IFERROR(Ayuda!W80, 0))), 1))</f>
        <v>0.80952380952380953</v>
      </c>
      <c r="K80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0.69142841533776633</v>
      </c>
      <c r="L80" s="170" t="s">
        <v>931</v>
      </c>
    </row>
    <row r="81" spans="1:12" ht="30" customHeight="1" x14ac:dyDescent="0.3">
      <c r="A81" s="170" t="str">
        <f>+TablaMaestra[[#This Row],[CÓDIGO DE RUTA]]</f>
        <v>HV-855</v>
      </c>
      <c r="B81" s="170" t="str">
        <f>+TablaMaestra[[#This Row],[DENOMINACION DE INTERVENCION]]</f>
        <v>EMP. HV-108 - ALELUYA - ORCCOCORRAL - EMP. HV-108</v>
      </c>
      <c r="C81" s="170" t="str">
        <f>+TablaMaestra[[#This Row],[DEPARTAMENTO]]</f>
        <v>HUANCAVELICA</v>
      </c>
      <c r="D81" s="170" t="str">
        <f>+TablaMaestra[[#This Row],[PROVINCIA]]</f>
        <v>ANGARAES</v>
      </c>
      <c r="E81" s="170" t="str">
        <f>+TablaMaestra[[#This Row],[DISTRITO]]</f>
        <v>CONGALLA</v>
      </c>
      <c r="F81" s="170" t="s">
        <v>928</v>
      </c>
      <c r="G81" s="170" t="s">
        <v>964</v>
      </c>
      <c r="H81" s="170" t="s">
        <v>929</v>
      </c>
      <c r="I81" s="170" t="s">
        <v>930</v>
      </c>
      <c r="J81" s="171">
        <f ca="1">IF(ISBLANK(Ayuda!R81), 0, MIN(MAX(0, (TODAY() - Ayuda!R81) / (Ayuda!Q81 + IFERROR(Ayuda!W81, 0))), 1))</f>
        <v>0.80952380952380953</v>
      </c>
      <c r="K81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0.69142844080040222</v>
      </c>
      <c r="L81" s="170" t="s">
        <v>931</v>
      </c>
    </row>
    <row r="82" spans="1:12" ht="30" customHeight="1" x14ac:dyDescent="0.3">
      <c r="A82" s="170" t="str">
        <f>+TablaMaestra[[#This Row],[CÓDIGO DE RUTA]]</f>
        <v>HV-844</v>
      </c>
      <c r="B82" s="170" t="str">
        <f>+TablaMaestra[[#This Row],[DENOMINACION DE INTERVENCION]]</f>
        <v>HUANCA HUANCA (KM 00+250) - PTE. SANTA OLA (KM 10+610)</v>
      </c>
      <c r="C82" s="170" t="str">
        <f>+TablaMaestra[[#This Row],[DEPARTAMENTO]]</f>
        <v>HUANCAVELICA</v>
      </c>
      <c r="D82" s="170" t="str">
        <f>+TablaMaestra[[#This Row],[PROVINCIA]]</f>
        <v>ANGARAES</v>
      </c>
      <c r="E82" s="170" t="str">
        <f>+TablaMaestra[[#This Row],[DISTRITO]]</f>
        <v>HUANCA HUANCA</v>
      </c>
      <c r="F82" s="170" t="s">
        <v>928</v>
      </c>
      <c r="G82" s="170" t="s">
        <v>964</v>
      </c>
      <c r="H82" s="170" t="s">
        <v>929</v>
      </c>
      <c r="I82" s="170" t="s">
        <v>930</v>
      </c>
      <c r="J82" s="171">
        <f ca="1">IF(ISBLANK(Ayuda!R82), 0, MIN(MAX(0, (TODAY() - Ayuda!R82) / (Ayuda!Q82 + IFERROR(Ayuda!W82, 0))), 1))</f>
        <v>0.81428571428571428</v>
      </c>
      <c r="K82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0.69666587578506634</v>
      </c>
      <c r="L82" s="170" t="s">
        <v>931</v>
      </c>
    </row>
    <row r="83" spans="1:12" ht="30" customHeight="1" x14ac:dyDescent="0.3">
      <c r="A83" s="170" t="str">
        <f>+TablaMaestra[[#This Row],[CÓDIGO DE RUTA]]</f>
        <v>HV-840</v>
      </c>
      <c r="B83" s="170" t="str">
        <f>+TablaMaestra[[#This Row],[DENOMINACION DE INTERVENCION]]</f>
        <v>EMP. HV-108 (CALLANMARCA) - PTE. APOMAYO</v>
      </c>
      <c r="C83" s="170" t="str">
        <f>+TablaMaestra[[#This Row],[DEPARTAMENTO]]</f>
        <v>HUANCAVELICA</v>
      </c>
      <c r="D83" s="170" t="str">
        <f>+TablaMaestra[[#This Row],[PROVINCIA]]</f>
        <v>ANGARAES</v>
      </c>
      <c r="E83" s="170" t="str">
        <f>+TablaMaestra[[#This Row],[DISTRITO]]</f>
        <v>CALLANMARCA</v>
      </c>
      <c r="F83" s="170" t="s">
        <v>928</v>
      </c>
      <c r="G83" s="170" t="s">
        <v>964</v>
      </c>
      <c r="H83" s="170" t="s">
        <v>929</v>
      </c>
      <c r="I83" s="170" t="s">
        <v>930</v>
      </c>
      <c r="J83" s="171">
        <f ca="1">IF(ISBLANK(Ayuda!R83), 0, MIN(MAX(0, (TODAY() - Ayuda!R83) / (Ayuda!Q83 + IFERROR(Ayuda!W83, 0))), 1))</f>
        <v>0.81428571428571428</v>
      </c>
      <c r="K83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0.69666764813801196</v>
      </c>
      <c r="L83" s="170" t="s">
        <v>931</v>
      </c>
    </row>
    <row r="84" spans="1:12" ht="30" customHeight="1" x14ac:dyDescent="0.3">
      <c r="A84" s="170" t="str">
        <f>+TablaMaestra[[#This Row],[CÓDIGO DE RUTA]]</f>
        <v>HV-877</v>
      </c>
      <c r="B84" s="170" t="str">
        <f>+TablaMaestra[[#This Row],[DENOMINACION DE INTERVENCION]]</f>
        <v>LIRCAY (KM 01+625) - LOS ÁNGELES - CCARHUARUMI (KM 10+727)</v>
      </c>
      <c r="C84" s="170" t="str">
        <f>+TablaMaestra[[#This Row],[DEPARTAMENTO]]</f>
        <v>HUANCAVELICA</v>
      </c>
      <c r="D84" s="170" t="str">
        <f>+TablaMaestra[[#This Row],[PROVINCIA]]</f>
        <v>ANGARAES</v>
      </c>
      <c r="E84" s="170" t="str">
        <f>+TablaMaestra[[#This Row],[DISTRITO]]</f>
        <v>LIRCAY</v>
      </c>
      <c r="F84" s="170" t="s">
        <v>928</v>
      </c>
      <c r="G84" s="170" t="s">
        <v>964</v>
      </c>
      <c r="H84" s="170" t="s">
        <v>929</v>
      </c>
      <c r="I84" s="170" t="s">
        <v>930</v>
      </c>
      <c r="J84" s="171">
        <f ca="1">IF(ISBLANK(Ayuda!R84), 0, MIN(MAX(0, (TODAY() - Ayuda!R84) / (Ayuda!Q84 + IFERROR(Ayuda!W84, 0))), 1))</f>
        <v>0.81428571428571428</v>
      </c>
      <c r="K84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0.69666027648081108</v>
      </c>
      <c r="L84" s="170" t="s">
        <v>931</v>
      </c>
    </row>
    <row r="85" spans="1:12" ht="30" customHeight="1" x14ac:dyDescent="0.3">
      <c r="A85" s="170" t="str">
        <f>+TablaMaestra[[#This Row],[CÓDIGO DE RUTA]]</f>
        <v>HV-899</v>
      </c>
      <c r="B85" s="170" t="str">
        <f>+TablaMaestra[[#This Row],[DENOMINACION DE INTERVENCION]]</f>
        <v>EMP. HV-115 (STA. ROSA DE CONSTANCIA) - EMP. HV-900 (JULCANI)</v>
      </c>
      <c r="C85" s="170" t="str">
        <f>+TablaMaestra[[#This Row],[DEPARTAMENTO]]</f>
        <v>HUANCAVELICA</v>
      </c>
      <c r="D85" s="170" t="str">
        <f>+TablaMaestra[[#This Row],[PROVINCIA]]</f>
        <v>ANGARAES</v>
      </c>
      <c r="E85" s="170" t="str">
        <f>+TablaMaestra[[#This Row],[DISTRITO]]</f>
        <v>LIRCAY</v>
      </c>
      <c r="F85" s="170" t="s">
        <v>928</v>
      </c>
      <c r="G85" s="170" t="s">
        <v>964</v>
      </c>
      <c r="H85" s="170" t="s">
        <v>929</v>
      </c>
      <c r="I85" s="170" t="s">
        <v>930</v>
      </c>
      <c r="J85" s="171">
        <f ca="1">IF(ISBLANK(Ayuda!R85), 0, MIN(MAX(0, (TODAY() - Ayuda!R85) / (Ayuda!Q85 + IFERROR(Ayuda!W85, 0))), 1))</f>
        <v>0.8</v>
      </c>
      <c r="K85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0.68557948535394619</v>
      </c>
      <c r="L85" s="170" t="s">
        <v>931</v>
      </c>
    </row>
    <row r="86" spans="1:12" ht="30" customHeight="1" x14ac:dyDescent="0.3">
      <c r="A86" s="170" t="str">
        <f>+TablaMaestra[[#This Row],[CÓDIGO DE RUTA]]</f>
        <v>HV-950</v>
      </c>
      <c r="B86" s="170" t="str">
        <f>+TablaMaestra[[#This Row],[DENOMINACION DE INTERVENCION]]</f>
        <v xml:space="preserve"> TANTARA (KM 00+155) - LLANCAS </v>
      </c>
      <c r="C86" s="170" t="str">
        <f>+TablaMaestra[[#This Row],[DEPARTAMENTO]]</f>
        <v>HUANCAVELICA</v>
      </c>
      <c r="D86" s="170" t="str">
        <f>+TablaMaestra[[#This Row],[PROVINCIA]]</f>
        <v>CASTROVIRREYNA</v>
      </c>
      <c r="E86" s="170" t="str">
        <f>+TablaMaestra[[#This Row],[DISTRITO]]</f>
        <v>TANTARA Y VILLA DE ARMA</v>
      </c>
      <c r="F86" s="170" t="s">
        <v>928</v>
      </c>
      <c r="G86" s="170" t="s">
        <v>964</v>
      </c>
      <c r="H86" s="170" t="s">
        <v>929</v>
      </c>
      <c r="I86" s="170" t="s">
        <v>930</v>
      </c>
      <c r="J86" s="171">
        <f ca="1">IF(ISBLANK(Ayuda!R86), 0, MIN(MAX(0, (TODAY() - Ayuda!R86) / (Ayuda!Q86 + IFERROR(Ayuda!W86, 0))), 1))</f>
        <v>0.32310838445807771</v>
      </c>
      <c r="K86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0.53012023341501679</v>
      </c>
      <c r="L86" s="170" t="s">
        <v>931</v>
      </c>
    </row>
    <row r="87" spans="1:12" ht="30" customHeight="1" x14ac:dyDescent="0.3">
      <c r="A87" s="170" t="str">
        <f>+TablaMaestra[[#This Row],[CÓDIGO DE RUTA]]</f>
        <v>R090407</v>
      </c>
      <c r="B87" s="170" t="str">
        <f>+TablaMaestra[[#This Row],[DENOMINACION DE INTERVENCION]]</f>
        <v xml:space="preserve">EMP. HV - 950 (LLANCAS) - EMP. HV - 114 (DV. - CASACANCHA) </v>
      </c>
      <c r="C87" s="170" t="str">
        <f>+TablaMaestra[[#This Row],[DEPARTAMENTO]]</f>
        <v>HUANCAVELICA</v>
      </c>
      <c r="D87" s="170" t="str">
        <f>+TablaMaestra[[#This Row],[PROVINCIA]]</f>
        <v>CASTROVIRREYNA</v>
      </c>
      <c r="E87" s="170" t="str">
        <f>+TablaMaestra[[#This Row],[DISTRITO]]</f>
        <v>TANTARA Y VILLA DE ARMA</v>
      </c>
      <c r="F87" s="170" t="s">
        <v>928</v>
      </c>
      <c r="G87" s="170" t="s">
        <v>964</v>
      </c>
      <c r="H87" s="170" t="s">
        <v>929</v>
      </c>
      <c r="I87" s="170" t="s">
        <v>930</v>
      </c>
      <c r="J87" s="171">
        <f ca="1">IF(ISBLANK(Ayuda!R87), 0, MIN(MAX(0, (TODAY() - Ayuda!R87) / (Ayuda!Q87 + IFERROR(Ayuda!W87, 0))), 1))</f>
        <v>0.32310838445807771</v>
      </c>
      <c r="K87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0.53012040450263409</v>
      </c>
      <c r="L87" s="170" t="s">
        <v>931</v>
      </c>
    </row>
    <row r="88" spans="1:12" ht="30" customHeight="1" x14ac:dyDescent="0.3">
      <c r="A88" s="170" t="str">
        <f>+TablaMaestra[[#This Row],[CÓDIGO DE RUTA]]</f>
        <v>HV-947</v>
      </c>
      <c r="B88" s="170" t="str">
        <f>+TablaMaestra[[#This Row],[DENOMINACION DE INTERVENCION]]</f>
        <v xml:space="preserve">AURAHUA (KM 00+275) - PAMPA LIBRE - PERCOYA -CHANCAHUASI - COLCABAMBA </v>
      </c>
      <c r="C88" s="170" t="str">
        <f>+TablaMaestra[[#This Row],[DEPARTAMENTO]]</f>
        <v>HUANCAVELICA</v>
      </c>
      <c r="D88" s="170" t="str">
        <f>+TablaMaestra[[#This Row],[PROVINCIA]]</f>
        <v>CASTROVIRREYNA</v>
      </c>
      <c r="E88" s="170" t="str">
        <f>+TablaMaestra[[#This Row],[DISTRITO]]</f>
        <v>AURAHUA Y CHUPAMARCA</v>
      </c>
      <c r="F88" s="170" t="s">
        <v>928</v>
      </c>
      <c r="G88" s="170" t="s">
        <v>964</v>
      </c>
      <c r="H88" s="170" t="s">
        <v>929</v>
      </c>
      <c r="I88" s="170" t="s">
        <v>930</v>
      </c>
      <c r="J88" s="171">
        <f ca="1">IF(ISBLANK(Ayuda!R88), 0, MIN(MAX(0, (TODAY() - Ayuda!R88) / (Ayuda!Q88 + IFERROR(Ayuda!W88, 0))), 1))</f>
        <v>0.32304526748971191</v>
      </c>
      <c r="K88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0.53211379241825441</v>
      </c>
      <c r="L88" s="170" t="s">
        <v>931</v>
      </c>
    </row>
    <row r="89" spans="1:12" ht="30" customHeight="1" x14ac:dyDescent="0.3">
      <c r="A89" s="170" t="str">
        <f>+TablaMaestra[[#This Row],[CÓDIGO DE RUTA]]</f>
        <v>R090436</v>
      </c>
      <c r="B89" s="170" t="str">
        <f>+TablaMaestra[[#This Row],[DENOMINACION DE INTERVENCION]]</f>
        <v xml:space="preserve">EMP. HV-947 (COLCABAMBA) - EMP. HV-132 (TIPICOCHA) </v>
      </c>
      <c r="C89" s="170" t="str">
        <f>+TablaMaestra[[#This Row],[DEPARTAMENTO]]</f>
        <v>HUANCAVELICA</v>
      </c>
      <c r="D89" s="170" t="str">
        <f>+TablaMaestra[[#This Row],[PROVINCIA]]</f>
        <v>CASTROVIRREYNA</v>
      </c>
      <c r="E89" s="170" t="str">
        <f>+TablaMaestra[[#This Row],[DISTRITO]]</f>
        <v>AURAHUA Y CHUPAMARCA</v>
      </c>
      <c r="F89" s="170" t="s">
        <v>928</v>
      </c>
      <c r="G89" s="170" t="s">
        <v>964</v>
      </c>
      <c r="H89" s="170" t="s">
        <v>929</v>
      </c>
      <c r="I89" s="170" t="s">
        <v>930</v>
      </c>
      <c r="J89" s="171">
        <f ca="1">IF(ISBLANK(Ayuda!R89), 0, MIN(MAX(0, (TODAY() - Ayuda!R89) / (Ayuda!Q89 + IFERROR(Ayuda!W89, 0))), 1))</f>
        <v>0.32098765432098764</v>
      </c>
      <c r="K89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0.52764206857315699</v>
      </c>
      <c r="L89" s="170" t="s">
        <v>931</v>
      </c>
    </row>
    <row r="90" spans="1:12" ht="30" customHeight="1" x14ac:dyDescent="0.3">
      <c r="A90" s="170" t="str">
        <f>+TablaMaestra[[#This Row],[CÓDIGO DE RUTA]]</f>
        <v>HV-982</v>
      </c>
      <c r="B90" s="170" t="str">
        <f>+TablaMaestra[[#This Row],[DENOMINACION DE INTERVENCION]]</f>
        <v xml:space="preserve">EMP. PE-28 D (PULTOC) - SANTA ANA - EMP. HV-978 (DV. - SANTA ROSA) </v>
      </c>
      <c r="C90" s="170" t="str">
        <f>+TablaMaestra[[#This Row],[DEPARTAMENTO]]</f>
        <v>HUANCAVELICA</v>
      </c>
      <c r="D90" s="170" t="str">
        <f>+TablaMaestra[[#This Row],[PROVINCIA]]</f>
        <v>CASTROVIRREYNA</v>
      </c>
      <c r="E90" s="170" t="str">
        <f>+TablaMaestra[[#This Row],[DISTRITO]]</f>
        <v>SANTA ANA</v>
      </c>
      <c r="F90" s="170" t="s">
        <v>928</v>
      </c>
      <c r="G90" s="170" t="s">
        <v>964</v>
      </c>
      <c r="H90" s="170" t="s">
        <v>929</v>
      </c>
      <c r="I90" s="170" t="s">
        <v>930</v>
      </c>
      <c r="J90" s="171">
        <f ca="1">IF(ISBLANK(Ayuda!R90), 0, MIN(MAX(0, (TODAY() - Ayuda!R90) / (Ayuda!Q90 + IFERROR(Ayuda!W90, 0))), 1))</f>
        <v>0.26490066225165565</v>
      </c>
      <c r="K90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0.36224888546686818</v>
      </c>
      <c r="L90" s="170" t="s">
        <v>931</v>
      </c>
    </row>
    <row r="91" spans="1:12" ht="30" customHeight="1" x14ac:dyDescent="0.3">
      <c r="A91" s="170" t="str">
        <f>+TablaMaestra[[#This Row],[CÓDIGO DE RUTA]]</f>
        <v>R090425</v>
      </c>
      <c r="B91" s="170" t="str">
        <f>+TablaMaestra[[#This Row],[DENOMINACION DE INTERVENCION]]</f>
        <v>EMP. HV-959 (CCACCACHACA) - EMP. HV-963 (DV. PAMPALANYA)</v>
      </c>
      <c r="C91" s="170" t="str">
        <f>+TablaMaestra[[#This Row],[DEPARTAMENTO]]</f>
        <v>HUANCAVELICA</v>
      </c>
      <c r="D91" s="170" t="str">
        <f>+TablaMaestra[[#This Row],[PROVINCIA]]</f>
        <v>CASTROVIRREYNA</v>
      </c>
      <c r="E91" s="170" t="str">
        <f>+TablaMaestra[[#This Row],[DISTRITO]]</f>
        <v>HUACHOS Y VILLA DE ARMA</v>
      </c>
      <c r="F91" s="170" t="s">
        <v>928</v>
      </c>
      <c r="G91" s="170" t="s">
        <v>964</v>
      </c>
      <c r="H91" s="170" t="s">
        <v>929</v>
      </c>
      <c r="I91" s="170" t="s">
        <v>930</v>
      </c>
      <c r="J91" s="171">
        <f ca="1">IF(ISBLANK(Ayuda!R91), 0, MIN(MAX(0, (TODAY() - Ayuda!R91) / (Ayuda!Q91 + IFERROR(Ayuda!W91, 0))), 1))</f>
        <v>0.26490066225165565</v>
      </c>
      <c r="K91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0.36224892777555884</v>
      </c>
      <c r="L91" s="170" t="s">
        <v>931</v>
      </c>
    </row>
    <row r="92" spans="1:12" ht="30" customHeight="1" x14ac:dyDescent="0.3">
      <c r="A92" s="170" t="str">
        <f>+TablaMaestra[[#This Row],[CÓDIGO DE RUTA]]</f>
        <v>HV-964</v>
      </c>
      <c r="B92" s="170" t="str">
        <f>+TablaMaestra[[#This Row],[DENOMINACION DE INTERVENCION]]</f>
        <v xml:space="preserve">EMP. PE-26 A - CABRACANCHA - VISTA ALEGRE - COCHA - OCORO SUYTUPAMPA </v>
      </c>
      <c r="C92" s="170" t="str">
        <f>+TablaMaestra[[#This Row],[DEPARTAMENTO]]</f>
        <v>HUANCAVELICA</v>
      </c>
      <c r="D92" s="170" t="str">
        <f>+TablaMaestra[[#This Row],[PROVINCIA]]</f>
        <v>CASTROVIRREYNA</v>
      </c>
      <c r="E92" s="170" t="str">
        <f>+TablaMaestra[[#This Row],[DISTRITO]]</f>
        <v>CASTROVIRREYNA Y HUACHOS</v>
      </c>
      <c r="F92" s="170" t="s">
        <v>928</v>
      </c>
      <c r="G92" s="170" t="s">
        <v>964</v>
      </c>
      <c r="H92" s="170" t="s">
        <v>929</v>
      </c>
      <c r="I92" s="170" t="s">
        <v>930</v>
      </c>
      <c r="J92" s="171">
        <f ca="1">IF(ISBLANK(Ayuda!R92), 0, MIN(MAX(0, (TODAY() - Ayuda!R92) / (Ayuda!Q92 + IFERROR(Ayuda!W92, 0))), 1))</f>
        <v>0.25450450450450451</v>
      </c>
      <c r="K92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0.3313252087069844</v>
      </c>
      <c r="L92" s="170" t="s">
        <v>931</v>
      </c>
    </row>
    <row r="93" spans="1:12" ht="30" customHeight="1" x14ac:dyDescent="0.3">
      <c r="A93" s="170" t="str">
        <f>+TablaMaestra[[#This Row],[CÓDIGO DE RUTA]]</f>
        <v>HV-945</v>
      </c>
      <c r="B93" s="170" t="str">
        <f>+TablaMaestra[[#This Row],[DENOMINACION DE INTERVENCION]]</f>
        <v xml:space="preserve">EMP. PE-26 - COCHAMARCA </v>
      </c>
      <c r="C93" s="170" t="str">
        <f>+TablaMaestra[[#This Row],[DEPARTAMENTO]]</f>
        <v>HUANCAVELICA</v>
      </c>
      <c r="D93" s="170" t="str">
        <f>+TablaMaestra[[#This Row],[PROVINCIA]]</f>
        <v>CASTROVIRREYNA</v>
      </c>
      <c r="E93" s="170" t="str">
        <f>+TablaMaestra[[#This Row],[DISTRITO]]</f>
        <v>AURAHUA</v>
      </c>
      <c r="F93" s="170" t="s">
        <v>928</v>
      </c>
      <c r="G93" s="170" t="s">
        <v>964</v>
      </c>
      <c r="H93" s="170" t="s">
        <v>929</v>
      </c>
      <c r="I93" s="170" t="s">
        <v>930</v>
      </c>
      <c r="J93" s="171">
        <f ca="1">IF(ISBLANK(Ayuda!R93), 0, MIN(MAX(0, (TODAY() - Ayuda!R93) / (Ayuda!Q93 + IFERROR(Ayuda!W93, 0))), 1))</f>
        <v>0.32091097308488614</v>
      </c>
      <c r="K93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0.52317057414019918</v>
      </c>
      <c r="L93" s="170" t="s">
        <v>931</v>
      </c>
    </row>
    <row r="94" spans="1:12" ht="30" customHeight="1" x14ac:dyDescent="0.3">
      <c r="A94" s="170" t="str">
        <f>+TablaMaestra[[#This Row],[CÓDIGO DE RUTA]]</f>
        <v>HV-948</v>
      </c>
      <c r="B94" s="170" t="str">
        <f>+TablaMaestra[[#This Row],[DENOMINACION DE INTERVENCION]]</f>
        <v xml:space="preserve">EMP. HV-947 - SAN JOSÉ DE CHOCORO - ANTACANCHA </v>
      </c>
      <c r="C94" s="170" t="str">
        <f>+TablaMaestra[[#This Row],[DEPARTAMENTO]]</f>
        <v>HUANCAVELICA</v>
      </c>
      <c r="D94" s="170" t="str">
        <f>+TablaMaestra[[#This Row],[PROVINCIA]]</f>
        <v>CASTROVIRREYNA</v>
      </c>
      <c r="E94" s="170" t="str">
        <f>+TablaMaestra[[#This Row],[DISTRITO]]</f>
        <v>AURAHUA</v>
      </c>
      <c r="F94" s="170" t="s">
        <v>928</v>
      </c>
      <c r="G94" s="170" t="s">
        <v>964</v>
      </c>
      <c r="H94" s="170" t="s">
        <v>929</v>
      </c>
      <c r="I94" s="170" t="s">
        <v>930</v>
      </c>
      <c r="J94" s="171">
        <f ca="1">IF(ISBLANK(Ayuda!R94), 0, MIN(MAX(0, (TODAY() - Ayuda!R94) / (Ayuda!Q94 + IFERROR(Ayuda!W94, 0))), 1))</f>
        <v>0.32091097308488614</v>
      </c>
      <c r="K94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0.52317047860196753</v>
      </c>
      <c r="L94" s="170" t="s">
        <v>931</v>
      </c>
    </row>
    <row r="95" spans="1:12" ht="30" customHeight="1" x14ac:dyDescent="0.3">
      <c r="A95" s="170" t="str">
        <f>+TablaMaestra[[#This Row],[CÓDIGO DE RUTA]]</f>
        <v>HV-963</v>
      </c>
      <c r="B95" s="170" t="str">
        <f>+TablaMaestra[[#This Row],[DENOMINACION DE INTERVENCION]]</f>
        <v>EMP. PE-26 (PAMPALANYA) - MOYA - YURRACCANCHA - PATACORRAL - EMP. HV-964 (PNTE. AUKA)</v>
      </c>
      <c r="C95" s="170" t="str">
        <f>+TablaMaestra[[#This Row],[DEPARTAMENTO]]</f>
        <v>HUANCAVELICA</v>
      </c>
      <c r="D95" s="170" t="str">
        <f>+TablaMaestra[[#This Row],[PROVINCIA]]</f>
        <v>CASTROVIRREYNA</v>
      </c>
      <c r="E95" s="170" t="str">
        <f>+TablaMaestra[[#This Row],[DISTRITO]]</f>
        <v>CASTROVIRREYNA Y VILLA DE ARMA</v>
      </c>
      <c r="F95" s="170" t="s">
        <v>928</v>
      </c>
      <c r="G95" s="170" t="s">
        <v>964</v>
      </c>
      <c r="H95" s="170" t="s">
        <v>929</v>
      </c>
      <c r="I95" s="170" t="s">
        <v>930</v>
      </c>
      <c r="J95" s="171">
        <f ca="1">IF(ISBLANK(Ayuda!R95), 0, MIN(MAX(0, (TODAY() - Ayuda!R95) / (Ayuda!Q95 + IFERROR(Ayuda!W95, 0))), 1))</f>
        <v>0.25675675675675674</v>
      </c>
      <c r="K95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0.33983734706205881</v>
      </c>
      <c r="L95" s="170" t="s">
        <v>931</v>
      </c>
    </row>
    <row r="96" spans="1:12" ht="30" customHeight="1" x14ac:dyDescent="0.3">
      <c r="A96" s="170" t="str">
        <f>+TablaMaestra[[#This Row],[CÓDIGO DE RUTA]]</f>
        <v>HV-979</v>
      </c>
      <c r="B96" s="170" t="str">
        <f>+TablaMaestra[[#This Row],[DENOMINACION DE INTERVENCION]]</f>
        <v xml:space="preserve">EMP. HV-978 (SANTA ROSA) - YANAMACHAY - VERDEPATA - VACAHUASI </v>
      </c>
      <c r="C96" s="170" t="str">
        <f>+TablaMaestra[[#This Row],[DEPARTAMENTO]]</f>
        <v>HUANCAVELICA</v>
      </c>
      <c r="D96" s="170" t="str">
        <f>+TablaMaestra[[#This Row],[PROVINCIA]]</f>
        <v>CASTROVIRREYNA</v>
      </c>
      <c r="E96" s="170" t="str">
        <f>+TablaMaestra[[#This Row],[DISTRITO]]</f>
        <v>SANTA ANA Y VILLA DE ARMA</v>
      </c>
      <c r="F96" s="170" t="s">
        <v>928</v>
      </c>
      <c r="G96" s="170" t="s">
        <v>964</v>
      </c>
      <c r="H96" s="170" t="s">
        <v>929</v>
      </c>
      <c r="I96" s="170" t="s">
        <v>930</v>
      </c>
      <c r="J96" s="171">
        <f ca="1">IF(ISBLANK(Ayuda!R96), 0, MIN(MAX(0, (TODAY() - Ayuda!R96) / (Ayuda!Q96 + IFERROR(Ayuda!W96, 0))), 1))</f>
        <v>0.24429223744292236</v>
      </c>
      <c r="K96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0.30481912757513946</v>
      </c>
      <c r="L96" s="170" t="s">
        <v>931</v>
      </c>
    </row>
    <row r="97" spans="1:12" ht="30" customHeight="1" x14ac:dyDescent="0.3">
      <c r="A97" s="170" t="str">
        <f>+TablaMaestra[[#This Row],[CÓDIGO DE RUTA]]</f>
        <v>HV-967</v>
      </c>
      <c r="B97" s="170" t="str">
        <f>+TablaMaestra[[#This Row],[DENOMINACION DE INTERVENCION]]</f>
        <v>EMP. HV-964 (CABRACANCHA) - CHIRIS -CEBADAPATA - CEBADAPATA (KM 15+811)</v>
      </c>
      <c r="C97" s="170" t="str">
        <f>+TablaMaestra[[#This Row],[DEPARTAMENTO]]</f>
        <v>HUANCAVELICA</v>
      </c>
      <c r="D97" s="170" t="str">
        <f>+TablaMaestra[[#This Row],[PROVINCIA]]</f>
        <v>CASTROVIRREYNA</v>
      </c>
      <c r="E97" s="170" t="str">
        <f>+TablaMaestra[[#This Row],[DISTRITO]]</f>
        <v>CASTTROVIRREYNA, COCAS, HUACHOS Y MOLLEPAMPA</v>
      </c>
      <c r="F97" s="170" t="s">
        <v>928</v>
      </c>
      <c r="G97" s="170" t="s">
        <v>964</v>
      </c>
      <c r="H97" s="170" t="s">
        <v>929</v>
      </c>
      <c r="I97" s="170" t="s">
        <v>930</v>
      </c>
      <c r="J97" s="171">
        <f ca="1">IF(ISBLANK(Ayuda!R97), 0, MIN(MAX(0, (TODAY() - Ayuda!R97) / (Ayuda!Q97 + IFERROR(Ayuda!W97, 0))), 1))</f>
        <v>0.31893004115226337</v>
      </c>
      <c r="K97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0.51686722707383936</v>
      </c>
      <c r="L97" s="170" t="s">
        <v>931</v>
      </c>
    </row>
    <row r="98" spans="1:12" ht="30" customHeight="1" x14ac:dyDescent="0.3">
      <c r="A98" s="170" t="str">
        <f>+TablaMaestra[[#This Row],[CÓDIGO DE RUTA]]</f>
        <v>HV-969</v>
      </c>
      <c r="B98" s="170" t="str">
        <f>+TablaMaestra[[#This Row],[DENOMINACION DE INTERVENCION]]</f>
        <v>EMP. PE-26 A - HUILCA (AUXILIO CHICO - CANCHINA - HUACHAC PAURANGA)</v>
      </c>
      <c r="C98" s="170" t="str">
        <f>+TablaMaestra[[#This Row],[DEPARTAMENTO]]</f>
        <v>HUANCAVELICA</v>
      </c>
      <c r="D98" s="170" t="str">
        <f>+TablaMaestra[[#This Row],[PROVINCIA]]</f>
        <v>CASTROVIRREYNA</v>
      </c>
      <c r="E98" s="170" t="str">
        <f>+TablaMaestra[[#This Row],[DISTRITO]]</f>
        <v>MOLLEPAMPA</v>
      </c>
      <c r="F98" s="170" t="s">
        <v>928</v>
      </c>
      <c r="G98" s="170" t="s">
        <v>964</v>
      </c>
      <c r="H98" s="170" t="s">
        <v>929</v>
      </c>
      <c r="I98" s="170" t="s">
        <v>930</v>
      </c>
      <c r="J98" s="171">
        <f ca="1">IF(ISBLANK(Ayuda!R98), 0, MIN(MAX(0, (TODAY() - Ayuda!R98) / (Ayuda!Q98 + IFERROR(Ayuda!W98, 0))), 1))</f>
        <v>0.32091097308488614</v>
      </c>
      <c r="K98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0.52316981328746959</v>
      </c>
      <c r="L98" s="170" t="s">
        <v>931</v>
      </c>
    </row>
    <row r="99" spans="1:12" ht="30" customHeight="1" x14ac:dyDescent="0.3">
      <c r="A99" s="170" t="str">
        <f>+TablaMaestra[[#This Row],[CÓDIGO DE RUTA]]</f>
        <v>HV-977</v>
      </c>
      <c r="B99" s="170" t="str">
        <f>+TablaMaestra[[#This Row],[DENOMINACION DE INTERVENCION]]</f>
        <v xml:space="preserve"> EMP. PE-28 D - CCAHUIÑA (LLIHUACCASA - CCAHUIÑA)</v>
      </c>
      <c r="C99" s="170" t="str">
        <f>+TablaMaestra[[#This Row],[DEPARTAMENTO]]</f>
        <v>HUANCAVELICA</v>
      </c>
      <c r="D99" s="170" t="str">
        <f>+TablaMaestra[[#This Row],[PROVINCIA]]</f>
        <v>CASTROVIRREYNA</v>
      </c>
      <c r="E99" s="170" t="str">
        <f>+TablaMaestra[[#This Row],[DISTRITO]]</f>
        <v>CASTTROVIRREYNA</v>
      </c>
      <c r="F99" s="170" t="s">
        <v>928</v>
      </c>
      <c r="G99" s="170" t="s">
        <v>964</v>
      </c>
      <c r="H99" s="170" t="s">
        <v>929</v>
      </c>
      <c r="I99" s="170" t="s">
        <v>930</v>
      </c>
      <c r="J99" s="171">
        <f ca="1">IF(ISBLANK(Ayuda!R99), 0, MIN(MAX(0, (TODAY() - Ayuda!R99) / (Ayuda!Q99 + IFERROR(Ayuda!W99, 0))), 1))</f>
        <v>0.32091097308488614</v>
      </c>
      <c r="K99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0.52317060103434321</v>
      </c>
      <c r="L99" s="170" t="s">
        <v>931</v>
      </c>
    </row>
    <row r="100" spans="1:12" ht="30" customHeight="1" x14ac:dyDescent="0.3">
      <c r="A100" s="170" t="str">
        <f>+TablaMaestra[[#This Row],[CÓDIGO DE RUTA]]</f>
        <v>HV-954</v>
      </c>
      <c r="B100" s="170" t="str">
        <f>+TablaMaestra[[#This Row],[DENOMINACION DE INTERVENCION]]</f>
        <v xml:space="preserve"> EMP. PE-26A (DV. CAPILLAS) - CAPILLAS (KM 02+437), CAPILLAS (KM 02+917) - COCHAPAMPA - EMP. PE-26 (PUCARUMI)</v>
      </c>
      <c r="C100" s="170" t="str">
        <f>+TablaMaestra[[#This Row],[DEPARTAMENTO]]</f>
        <v>HUANCAVELICA</v>
      </c>
      <c r="D100" s="170" t="str">
        <f>+TablaMaestra[[#This Row],[PROVINCIA]]</f>
        <v>CASTROVIRREYNA</v>
      </c>
      <c r="E100" s="170" t="str">
        <f>+TablaMaestra[[#This Row],[DISTRITO]]</f>
        <v>CAPILLAS</v>
      </c>
      <c r="F100" s="170" t="s">
        <v>928</v>
      </c>
      <c r="G100" s="170" t="s">
        <v>964</v>
      </c>
      <c r="H100" s="170" t="s">
        <v>929</v>
      </c>
      <c r="I100" s="170" t="s">
        <v>930</v>
      </c>
      <c r="J100" s="171">
        <f ca="1">IF(ISBLANK(Ayuda!R100), 0, MIN(MAX(0, (TODAY() - Ayuda!R100) / (Ayuda!Q100 + IFERROR(Ayuda!W100, 0))), 1))</f>
        <v>0.25623582766439912</v>
      </c>
      <c r="K100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0.33536574682435394</v>
      </c>
      <c r="L100" s="170" t="s">
        <v>931</v>
      </c>
    </row>
    <row r="101" spans="1:12" ht="30" customHeight="1" x14ac:dyDescent="0.3">
      <c r="A101" s="170" t="str">
        <f>+TablaMaestra[[#This Row],[CÓDIGO DE RUTA]]</f>
        <v>HV-974</v>
      </c>
      <c r="B101" s="170" t="str">
        <f>+TablaMaestra[[#This Row],[DENOMINACION DE INTERVENCION]]</f>
        <v xml:space="preserve"> EMP. PE-28 D (PACOCOCHA) - EMP. HV-978 (MINA UNO)</v>
      </c>
      <c r="C101" s="170" t="str">
        <f>+TablaMaestra[[#This Row],[DEPARTAMENTO]]</f>
        <v>HUANCAVELICA</v>
      </c>
      <c r="D101" s="170" t="str">
        <f>+TablaMaestra[[#This Row],[PROVINCIA]]</f>
        <v>CASTROVIRREYNA</v>
      </c>
      <c r="E101" s="170" t="str">
        <f>+TablaMaestra[[#This Row],[DISTRITO]]</f>
        <v>CASTROVIRREYNA</v>
      </c>
      <c r="F101" s="170" t="s">
        <v>928</v>
      </c>
      <c r="G101" s="170" t="s">
        <v>964</v>
      </c>
      <c r="H101" s="170" t="s">
        <v>929</v>
      </c>
      <c r="I101" s="170" t="s">
        <v>930</v>
      </c>
      <c r="J101" s="171">
        <f ca="1">IF(ISBLANK(Ayuda!R101), 0, MIN(MAX(0, (TODAY() - Ayuda!R101) / (Ayuda!Q101 + IFERROR(Ayuda!W101, 0))), 1))</f>
        <v>0.32091097308488614</v>
      </c>
      <c r="K101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0.52317057537138978</v>
      </c>
      <c r="L101" s="170" t="s">
        <v>931</v>
      </c>
    </row>
    <row r="102" spans="1:12" ht="30" customHeight="1" x14ac:dyDescent="0.3">
      <c r="A102" s="170" t="str">
        <f>+TablaMaestra[[#This Row],[CÓDIGO DE RUTA]]</f>
        <v>R0905196; HV-737; HV-738</v>
      </c>
      <c r="B102" s="170" t="str">
        <f>+TablaMaestra[[#This Row],[DENOMINACION DE INTERVENCION]]</f>
        <v>EMP. HV-103 (MANZANAYOCC) - HUARACCO - CHACHASPATA - EMP. HV -737; DV. CHACHASPATA (KM 09+140) - RELAVE (KM 13+495); PICHCCAPUQUIO (KM 13+207) - UNION SANTA ROSA - TOTORA - CONOCC - LAMBRASNIYOCC - EMP. HV-737 (RELAVE)</v>
      </c>
      <c r="C102" s="170" t="str">
        <f>+TablaMaestra[[#This Row],[DEPARTAMENTO]]</f>
        <v>HUANCAVELICA</v>
      </c>
      <c r="D102" s="170" t="str">
        <f>+TablaMaestra[[#This Row],[PROVINCIA]]</f>
        <v>CHURCAMPA</v>
      </c>
      <c r="E102" s="170" t="str">
        <f>+TablaMaestra[[#This Row],[DISTRITO]]</f>
        <v>ANCO</v>
      </c>
      <c r="F102" s="170" t="s">
        <v>928</v>
      </c>
      <c r="G102" s="170" t="s">
        <v>964</v>
      </c>
      <c r="H102" s="170" t="s">
        <v>929</v>
      </c>
      <c r="I102" s="170" t="s">
        <v>930</v>
      </c>
      <c r="J102" s="171">
        <f ca="1">IF(ISBLANK(Ayuda!R102), 0, MIN(MAX(0, (TODAY() - Ayuda!R102) / (Ayuda!Q102 + IFERROR(Ayuda!W102, 0))), 1))</f>
        <v>0.77619047619047621</v>
      </c>
      <c r="K102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0.65476208062682395</v>
      </c>
      <c r="L102" s="170" t="s">
        <v>931</v>
      </c>
    </row>
    <row r="103" spans="1:12" ht="30" customHeight="1" x14ac:dyDescent="0.3">
      <c r="A103" s="170" t="str">
        <f>+TablaMaestra[[#This Row],[CÓDIGO DE RUTA]]</f>
        <v>HV-730; HV-731</v>
      </c>
      <c r="B103" s="170" t="str">
        <f>+TablaMaestra[[#This Row],[DENOMINACION DE INTERVENCION]]</f>
        <v>YAURECCAN (KM 03+666) - SAN ANTONIO - OCCOPAMPA - LOS ANDES - EMP. PE-3S D (TULLPACANCHA); EMP. HV-131 - EMP. HV-730 (YAURECCAN)</v>
      </c>
      <c r="C103" s="170" t="str">
        <f>+TablaMaestra[[#This Row],[DEPARTAMENTO]]</f>
        <v>HUANCAVELICA</v>
      </c>
      <c r="D103" s="170" t="str">
        <f>+TablaMaestra[[#This Row],[PROVINCIA]]</f>
        <v>CHURCAMPA</v>
      </c>
      <c r="E103" s="170" t="str">
        <f>+TablaMaestra[[#This Row],[DISTRITO]]</f>
        <v>LOCROJA</v>
      </c>
      <c r="F103" s="170" t="s">
        <v>928</v>
      </c>
      <c r="G103" s="170" t="s">
        <v>964</v>
      </c>
      <c r="H103" s="170" t="s">
        <v>929</v>
      </c>
      <c r="I103" s="170" t="s">
        <v>930</v>
      </c>
      <c r="J103" s="171">
        <f ca="1">IF(ISBLANK(Ayuda!R103), 0, MIN(MAX(0, (TODAY() - Ayuda!R103) / (Ayuda!Q103 + IFERROR(Ayuda!W103, 0))), 1))</f>
        <v>0.61904761904761907</v>
      </c>
      <c r="K103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0.48190467102042178</v>
      </c>
      <c r="L103" s="170" t="s">
        <v>931</v>
      </c>
    </row>
    <row r="104" spans="1:12" ht="30" customHeight="1" x14ac:dyDescent="0.3">
      <c r="A104" s="170" t="str">
        <f>+TablaMaestra[[#This Row],[CÓDIGO DE RUTA]]</f>
        <v>HV-718; R090538</v>
      </c>
      <c r="B104" s="170" t="str">
        <f>+TablaMaestra[[#This Row],[DENOMINACION DE INTERVENCION]]</f>
        <v>EMP. HV-714 (HUANCASCUCHO) - HUALLCCAY - ALTO CCASA (KM 12+550); EMP. HV-718 - TOTORA CHINCHIN</v>
      </c>
      <c r="C104" s="170" t="str">
        <f>+TablaMaestra[[#This Row],[DEPARTAMENTO]]</f>
        <v>HUANCAVELICA</v>
      </c>
      <c r="D104" s="170" t="str">
        <f>+TablaMaestra[[#This Row],[PROVINCIA]]</f>
        <v>CHURCAMPA</v>
      </c>
      <c r="E104" s="170" t="str">
        <f>+TablaMaestra[[#This Row],[DISTRITO]]</f>
        <v>CHURCAMPA</v>
      </c>
      <c r="F104" s="170" t="s">
        <v>928</v>
      </c>
      <c r="G104" s="170" t="s">
        <v>964</v>
      </c>
      <c r="H104" s="170" t="s">
        <v>929</v>
      </c>
      <c r="I104" s="170" t="s">
        <v>930</v>
      </c>
      <c r="J104" s="171">
        <f ca="1">IF(ISBLANK(Ayuda!R104), 0, MIN(MAX(0, (TODAY() - Ayuda!R104) / (Ayuda!Q104 + IFERROR(Ayuda!W104, 0))), 1))</f>
        <v>0.8</v>
      </c>
      <c r="K104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0.68095257298886791</v>
      </c>
      <c r="L104" s="170" t="s">
        <v>931</v>
      </c>
    </row>
    <row r="105" spans="1:12" ht="30" customHeight="1" x14ac:dyDescent="0.3">
      <c r="A105" s="170" t="str">
        <f>+TablaMaestra[[#This Row],[CÓDIGO DE RUTA]]</f>
        <v>HV-726</v>
      </c>
      <c r="B105" s="170" t="str">
        <f>+TablaMaestra[[#This Row],[DENOMINACION DE INTERVENCION]]</f>
        <v>CHURCAMPA (KM 00+119) - CCAHUIÑA - SAN MATEO - CCARANACC (KM 08+520); CCARANACC (KM 08+574) - CCELLCCOY - CCOAMA - EMP. HV-729</v>
      </c>
      <c r="C105" s="170" t="str">
        <f>+TablaMaestra[[#This Row],[DEPARTAMENTO]]</f>
        <v>HUANCAVELICA</v>
      </c>
      <c r="D105" s="170" t="str">
        <f>+TablaMaestra[[#This Row],[PROVINCIA]]</f>
        <v>CHURCAMPA</v>
      </c>
      <c r="E105" s="170" t="str">
        <f>+TablaMaestra[[#This Row],[DISTRITO]]</f>
        <v>CHURCAMPA; SAN MIGUEL DE MAYOCC; LOCROJA</v>
      </c>
      <c r="F105" s="170" t="s">
        <v>928</v>
      </c>
      <c r="G105" s="170" t="s">
        <v>964</v>
      </c>
      <c r="H105" s="170" t="s">
        <v>929</v>
      </c>
      <c r="I105" s="170" t="s">
        <v>930</v>
      </c>
      <c r="J105" s="171">
        <f ca="1">IF(ISBLANK(Ayuda!R105), 0, MIN(MAX(0, (TODAY() - Ayuda!R105) / (Ayuda!Q105 + IFERROR(Ayuda!W105, 0))), 1))</f>
        <v>0.80476190476190479</v>
      </c>
      <c r="K105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0.68619025797021305</v>
      </c>
      <c r="L105" s="170" t="s">
        <v>931</v>
      </c>
    </row>
    <row r="106" spans="1:12" ht="30" customHeight="1" x14ac:dyDescent="0.3">
      <c r="A106" s="170" t="str">
        <f>+TablaMaestra[[#This Row],[CÓDIGO DE RUTA]]</f>
        <v>HV-741; R0905192</v>
      </c>
      <c r="B106" s="170" t="str">
        <f>+TablaMaestra[[#This Row],[DENOMINACION DE INTERVENCION]]</f>
        <v>EMP.PE-3SD - OCCORO - ATACCOCHA -SAHUAY -PALERMO - ANTA -PUCUTO - EMP.HV-131(DV.LARCAY).; PALERMO (KM 00+079) - ANCCOSPATA - CCEMICHE - EMP. HV-740 (CRUZ CCASA)</v>
      </c>
      <c r="C106" s="170" t="str">
        <f>+TablaMaestra[[#This Row],[DEPARTAMENTO]]</f>
        <v>HUANCAVELICA</v>
      </c>
      <c r="D106" s="170" t="str">
        <f>+TablaMaestra[[#This Row],[PROVINCIA]]</f>
        <v>CHURCAMPA</v>
      </c>
      <c r="E106" s="170" t="str">
        <f>+TablaMaestra[[#This Row],[DISTRITO]]</f>
        <v>PAUCARBAMBA; EL CARMEN; ANCO</v>
      </c>
      <c r="F106" s="170" t="s">
        <v>928</v>
      </c>
      <c r="G106" s="170" t="s">
        <v>964</v>
      </c>
      <c r="H106" s="170" t="s">
        <v>929</v>
      </c>
      <c r="I106" s="170" t="s">
        <v>930</v>
      </c>
      <c r="J106" s="171">
        <f ca="1">IF(ISBLANK(Ayuda!R106), 0, MIN(MAX(0, (TODAY() - Ayuda!R106) / (Ayuda!Q106 + IFERROR(Ayuda!W106, 0))), 1))</f>
        <v>0.80476190476190479</v>
      </c>
      <c r="K106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0.68619037140944894</v>
      </c>
      <c r="L106" s="170" t="s">
        <v>931</v>
      </c>
    </row>
    <row r="107" spans="1:12" ht="30" customHeight="1" x14ac:dyDescent="0.3">
      <c r="A107" s="170" t="str">
        <f>+TablaMaestra[[#This Row],[CÓDIGO DE RUTA]]</f>
        <v>HV-676</v>
      </c>
      <c r="B107" s="170" t="str">
        <f>+TablaMaestra[[#This Row],[DENOMINACION DE INTERVENCION]]</f>
        <v>EMP. HV-102 - VISTA ALEGRE - EMP. HV-683 (ARMA PATACANCHA)</v>
      </c>
      <c r="C107" s="170" t="str">
        <f>+TablaMaestra[[#This Row],[DEPARTAMENTO]]</f>
        <v>HUANCAVELICA</v>
      </c>
      <c r="D107" s="170" t="str">
        <f>+TablaMaestra[[#This Row],[PROVINCIA]]</f>
        <v>CHURCAMPA</v>
      </c>
      <c r="E107" s="170" t="str">
        <f>+TablaMaestra[[#This Row],[DISTRITO]]</f>
        <v>CHINCHIHUASI</v>
      </c>
      <c r="F107" s="170" t="s">
        <v>928</v>
      </c>
      <c r="G107" s="170" t="s">
        <v>964</v>
      </c>
      <c r="H107" s="170" t="s">
        <v>929</v>
      </c>
      <c r="I107" s="170" t="s">
        <v>930</v>
      </c>
      <c r="J107" s="171">
        <f ca="1">IF(ISBLANK(Ayuda!R107), 0, MIN(MAX(0, (TODAY() - Ayuda!R107) / (Ayuda!Q107 + IFERROR(Ayuda!W107, 0))), 1))</f>
        <v>0.80476190476190479</v>
      </c>
      <c r="K107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0.68618990862137474</v>
      </c>
      <c r="L107" s="170" t="s">
        <v>931</v>
      </c>
    </row>
    <row r="108" spans="1:12" ht="30" customHeight="1" x14ac:dyDescent="0.3">
      <c r="A108" s="170" t="str">
        <f>+TablaMaestra[[#This Row],[CÓDIGO DE RUTA]]</f>
        <v>HV-683</v>
      </c>
      <c r="B108" s="170" t="str">
        <f>+TablaMaestra[[#This Row],[DENOMINACION DE INTERVENCION]]</f>
        <v>EMP. PE-3S D (LECHUGUILLAS) - DV. HUACHOS - CHILCAPATA - ARMA PATACANCHA - LAYAMPATA - CHINCHIHUASI (KM 19+980)</v>
      </c>
      <c r="C108" s="170" t="str">
        <f>+TablaMaestra[[#This Row],[DEPARTAMENTO]]</f>
        <v>HUANCAVELICA</v>
      </c>
      <c r="D108" s="170" t="str">
        <f>+TablaMaestra[[#This Row],[PROVINCIA]]</f>
        <v>CHURCAMPA</v>
      </c>
      <c r="E108" s="170" t="str">
        <f>+TablaMaestra[[#This Row],[DISTRITO]]</f>
        <v>CHINCHIHUASI Y PAUCARBAMBA</v>
      </c>
      <c r="F108" s="170" t="s">
        <v>928</v>
      </c>
      <c r="G108" s="170" t="s">
        <v>964</v>
      </c>
      <c r="H108" s="170" t="s">
        <v>929</v>
      </c>
      <c r="I108" s="170" t="s">
        <v>930</v>
      </c>
      <c r="J108" s="171">
        <f ca="1">IF(ISBLANK(Ayuda!R108), 0, MIN(MAX(0, (TODAY() - Ayuda!R108) / (Ayuda!Q108 + IFERROR(Ayuda!W108, 0))), 1))</f>
        <v>0.81428571428571428</v>
      </c>
      <c r="K108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0.69666679057871883</v>
      </c>
      <c r="L108" s="170" t="s">
        <v>931</v>
      </c>
    </row>
    <row r="109" spans="1:12" ht="30" customHeight="1" x14ac:dyDescent="0.3">
      <c r="A109" s="170" t="str">
        <f>+TablaMaestra[[#This Row],[CÓDIGO DE RUTA]]</f>
        <v>HV-714</v>
      </c>
      <c r="B109" s="170" t="str">
        <f>+TablaMaestra[[#This Row],[DENOMINACION DE INTERVENCION]]</f>
        <v>EMP. PE-3S D (QUINUAPATA) - HUNASCUCHO - PACCAY - CARHUANCHO - MILLPO - CCACCENA - CARHUANCHO - YAKUHUANAY - EMP. HV-712 (PAMPALCA)</v>
      </c>
      <c r="C109" s="170" t="str">
        <f>+TablaMaestra[[#This Row],[DEPARTAMENTO]]</f>
        <v>HUANCAVELICA</v>
      </c>
      <c r="D109" s="170" t="str">
        <f>+TablaMaestra[[#This Row],[PROVINCIA]]</f>
        <v>CHURCAMPA</v>
      </c>
      <c r="E109" s="170" t="str">
        <f>+TablaMaestra[[#This Row],[DISTRITO]]</f>
        <v>CHURCAMPA Y SAN PEDRO DE CORIS</v>
      </c>
      <c r="F109" s="170" t="s">
        <v>928</v>
      </c>
      <c r="G109" s="170" t="s">
        <v>964</v>
      </c>
      <c r="H109" s="170" t="s">
        <v>929</v>
      </c>
      <c r="I109" s="170" t="s">
        <v>930</v>
      </c>
      <c r="J109" s="171">
        <f ca="1">IF(ISBLANK(Ayuda!R109), 0, MIN(MAX(0, (TODAY() - Ayuda!R109) / (Ayuda!Q109 + IFERROR(Ayuda!W109, 0))), 1))</f>
        <v>0.78095238095238095</v>
      </c>
      <c r="K109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0.6600000427375996</v>
      </c>
      <c r="L109" s="170" t="s">
        <v>931</v>
      </c>
    </row>
    <row r="110" spans="1:12" ht="30" customHeight="1" x14ac:dyDescent="0.3">
      <c r="A110" s="170" t="str">
        <f>+TablaMaestra[[#This Row],[CÓDIGO DE RUTA]]</f>
        <v>HV-682</v>
      </c>
      <c r="B110" s="170" t="str">
        <f>+TablaMaestra[[#This Row],[DENOMINACION DE INTERVENCION]]</f>
        <v>EMP. PE-3S D (LECHUGUILLAS) - PUTACCA - LIRPO - EMP. HV- 678 (SANTA CLARA DE COSME)</v>
      </c>
      <c r="C110" s="170" t="str">
        <f>+TablaMaestra[[#This Row],[DEPARTAMENTO]]</f>
        <v>HUANCAVELICA</v>
      </c>
      <c r="D110" s="170" t="str">
        <f>+TablaMaestra[[#This Row],[PROVINCIA]]</f>
        <v>CHURCAMPA</v>
      </c>
      <c r="E110" s="170" t="str">
        <f>+TablaMaestra[[#This Row],[DISTRITO]]</f>
        <v>COSME Y CHINCHIHUASI</v>
      </c>
      <c r="F110" s="170" t="s">
        <v>928</v>
      </c>
      <c r="G110" s="170" t="s">
        <v>964</v>
      </c>
      <c r="H110" s="170" t="s">
        <v>929</v>
      </c>
      <c r="I110" s="170" t="s">
        <v>930</v>
      </c>
      <c r="J110" s="171">
        <f ca="1">IF(ISBLANK(Ayuda!R110), 0, MIN(MAX(0, (TODAY() - Ayuda!R110) / (Ayuda!Q110 + IFERROR(Ayuda!W110, 0))), 1))</f>
        <v>0.81428571428571428</v>
      </c>
      <c r="K110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0.69666646084908579</v>
      </c>
      <c r="L110" s="170" t="s">
        <v>931</v>
      </c>
    </row>
    <row r="111" spans="1:12" ht="30" customHeight="1" x14ac:dyDescent="0.3">
      <c r="A111" s="170" t="str">
        <f>+TablaMaestra[[#This Row],[CÓDIGO DE RUTA]]</f>
        <v>HV-720</v>
      </c>
      <c r="B111" s="170" t="str">
        <f>+TablaMaestra[[#This Row],[DENOMINACION DE INTERVENCION]]</f>
        <v>CHURCAMPA (KM 00+645) - PTE. CHALLHUAN (KM 24+104)</v>
      </c>
      <c r="C111" s="170" t="str">
        <f>+TablaMaestra[[#This Row],[DEPARTAMENTO]]</f>
        <v>HUANCAVELICA</v>
      </c>
      <c r="D111" s="170" t="str">
        <f>+TablaMaestra[[#This Row],[PROVINCIA]]</f>
        <v>CHURCAMPA</v>
      </c>
      <c r="E111" s="170" t="str">
        <f>+TablaMaestra[[#This Row],[DISTRITO]]</f>
        <v xml:space="preserve">CHURCAMPA </v>
      </c>
      <c r="F111" s="170" t="s">
        <v>928</v>
      </c>
      <c r="G111" s="170" t="s">
        <v>964</v>
      </c>
      <c r="H111" s="170" t="s">
        <v>929</v>
      </c>
      <c r="I111" s="170" t="s">
        <v>930</v>
      </c>
      <c r="J111" s="171">
        <f ca="1">IF(ISBLANK(Ayuda!R111), 0, MIN(MAX(0, (TODAY() - Ayuda!R111) / (Ayuda!Q111 + IFERROR(Ayuda!W111, 0))), 1))</f>
        <v>0.7857142857142857</v>
      </c>
      <c r="K111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0.66523817628517157</v>
      </c>
      <c r="L111" s="170" t="s">
        <v>931</v>
      </c>
    </row>
    <row r="112" spans="1:12" ht="30" customHeight="1" x14ac:dyDescent="0.3">
      <c r="A112" s="170" t="str">
        <f>+TablaMaestra[[#This Row],[CÓDIGO DE RUTA]]</f>
        <v>HV-678</v>
      </c>
      <c r="B112" s="170" t="str">
        <f>+TablaMaestra[[#This Row],[DENOMINACION DE INTERVENCION]]</f>
        <v>EMP. PE-3S (VILLENA) - COLAUPE – PUEBLO LIBRE DE CHILCAPATA – 3 DE MAYO DE PANTUYLLA - SANTA CLARA DE COSME – CCARCCANCHA SULLAPAMPA - SANTA ROSA DE LLACUA – COTAY – ANTACALLA  (KM 34+250).</v>
      </c>
      <c r="C112" s="170" t="str">
        <f>+TablaMaestra[[#This Row],[DEPARTAMENTO]]</f>
        <v>HUANCAVELICA</v>
      </c>
      <c r="D112" s="170" t="str">
        <f>+TablaMaestra[[#This Row],[PROVINCIA]]</f>
        <v>CHURCAMPA</v>
      </c>
      <c r="E112" s="170" t="str">
        <f>+TablaMaestra[[#This Row],[DISTRITO]]</f>
        <v>COSME</v>
      </c>
      <c r="F112" s="170" t="s">
        <v>928</v>
      </c>
      <c r="G112" s="170" t="s">
        <v>964</v>
      </c>
      <c r="H112" s="170" t="s">
        <v>929</v>
      </c>
      <c r="I112" s="170" t="s">
        <v>930</v>
      </c>
      <c r="J112" s="171">
        <f ca="1">IF(ISBLANK(Ayuda!R112), 0, MIN(MAX(0, (TODAY() - Ayuda!R112) / (Ayuda!Q112 + IFERROR(Ayuda!W112, 0))), 1))</f>
        <v>0.77619047619047621</v>
      </c>
      <c r="K112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0.65476204761774892</v>
      </c>
      <c r="L112" s="170" t="s">
        <v>931</v>
      </c>
    </row>
    <row r="113" spans="1:12" ht="30" customHeight="1" x14ac:dyDescent="0.3">
      <c r="A113" s="170" t="str">
        <f>+TablaMaestra[[#This Row],[CÓDIGO DE RUTA]]</f>
        <v>R0901212; HV-766; R0901214</v>
      </c>
      <c r="B113" s="170" t="str">
        <f>+TablaMaestra[[#This Row],[DENOMINACION DE INTERVENCION]]</f>
        <v>EMP. PE-3S - PTE. CUCHARAN - HUARI - EMP. HV-766 (CCEULLAPAMPA); CEULLAPAMPA (KM 17+310) - ANDABAMBILLA - UYRUMPI; EMP. HV-766 (ANDABAMBILLA) - ALIANZA ANDINO - EMP. R0901212 (DV. PTE. CUCHARAN)</v>
      </c>
      <c r="C113" s="170" t="str">
        <f>+TablaMaestra[[#This Row],[DEPARTAMENTO]]</f>
        <v>HUANCAVELICA</v>
      </c>
      <c r="D113" s="170" t="str">
        <f>+TablaMaestra[[#This Row],[PROVINCIA]]</f>
        <v>HUANCAVELICA</v>
      </c>
      <c r="E113" s="170" t="str">
        <f>+TablaMaestra[[#This Row],[DISTRITO]]</f>
        <v>ACORIA</v>
      </c>
      <c r="F113" s="170" t="s">
        <v>928</v>
      </c>
      <c r="G113" s="170" t="s">
        <v>964</v>
      </c>
      <c r="H113" s="170" t="s">
        <v>929</v>
      </c>
      <c r="I113" s="170" t="s">
        <v>930</v>
      </c>
      <c r="J113" s="171">
        <f ca="1">IF(ISBLANK(Ayuda!R113), 0, MIN(MAX(0, (TODAY() - Ayuda!R113) / (Ayuda!Q113 + IFERROR(Ayuda!W113, 0))), 1))</f>
        <v>0.70222222222222219</v>
      </c>
      <c r="K113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0.43511113115919892</v>
      </c>
      <c r="L113" s="170" t="s">
        <v>931</v>
      </c>
    </row>
    <row r="114" spans="1:12" ht="30" customHeight="1" x14ac:dyDescent="0.3">
      <c r="A114" s="170" t="str">
        <f>+TablaMaestra[[#This Row],[CÓDIGO DE RUTA]]</f>
        <v>R0901040</v>
      </c>
      <c r="B114" s="170" t="str">
        <f>+TablaMaestra[[#This Row],[DENOMINACION DE INTERVENCION]]</f>
        <v>EMP. HV-766 - CHILCAPUQUIO - LOS LIBERTADORES</v>
      </c>
      <c r="C114" s="170" t="str">
        <f>+TablaMaestra[[#This Row],[DEPARTAMENTO]]</f>
        <v>HUANCAVELICA</v>
      </c>
      <c r="D114" s="170" t="str">
        <f>+TablaMaestra[[#This Row],[PROVINCIA]]</f>
        <v>HUANCAVELICA</v>
      </c>
      <c r="E114" s="170" t="str">
        <f>+TablaMaestra[[#This Row],[DISTRITO]]</f>
        <v>ACORIA</v>
      </c>
      <c r="F114" s="170" t="s">
        <v>928</v>
      </c>
      <c r="G114" s="170" t="s">
        <v>964</v>
      </c>
      <c r="H114" s="170" t="s">
        <v>929</v>
      </c>
      <c r="I114" s="170" t="s">
        <v>930</v>
      </c>
      <c r="J114" s="171">
        <f ca="1">IF(ISBLANK(Ayuda!R114), 0, MIN(MAX(0, (TODAY() - Ayuda!R114) / (Ayuda!Q114 + IFERROR(Ayuda!W114, 0))), 1))</f>
        <v>0.72</v>
      </c>
      <c r="K114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0.45466684460517381</v>
      </c>
      <c r="L114" s="170" t="s">
        <v>931</v>
      </c>
    </row>
    <row r="115" spans="1:12" ht="30" customHeight="1" x14ac:dyDescent="0.3">
      <c r="A115" s="170" t="str">
        <f>+TablaMaestra[[#This Row],[CÓDIGO DE RUTA]]</f>
        <v xml:space="preserve">HV-769; HV-768 </v>
      </c>
      <c r="B115" s="170" t="str">
        <f>+TablaMaestra[[#This Row],[DENOMINACION DE INTERVENCION]]</f>
        <v>EMP. PE-3SM (CCARHUARANRA) - NARANJAL - EMP. HV-768; CHUPACA (KM 9+900) - CCOSNIPUQUIO - DV. HV-769 (KM 14+870)</v>
      </c>
      <c r="C115" s="170" t="str">
        <f>+TablaMaestra[[#This Row],[DEPARTAMENTO]]</f>
        <v>HUANCAVELICA</v>
      </c>
      <c r="D115" s="170" t="str">
        <f>+TablaMaestra[[#This Row],[PROVINCIA]]</f>
        <v>HUANCAVELICA</v>
      </c>
      <c r="E115" s="170" t="str">
        <f>+TablaMaestra[[#This Row],[DISTRITO]]</f>
        <v>ACORIA</v>
      </c>
      <c r="F115" s="170" t="s">
        <v>928</v>
      </c>
      <c r="G115" s="170" t="s">
        <v>964</v>
      </c>
      <c r="H115" s="170" t="s">
        <v>929</v>
      </c>
      <c r="I115" s="170" t="s">
        <v>930</v>
      </c>
      <c r="J115" s="171">
        <f ca="1">IF(ISBLANK(Ayuda!R115), 0, MIN(MAX(0, (TODAY() - Ayuda!R115) / (Ayuda!Q115 + IFERROR(Ayuda!W115, 0))), 1))</f>
        <v>0.27951807228915665</v>
      </c>
      <c r="K115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0.23288194166478524</v>
      </c>
      <c r="L115" s="170" t="s">
        <v>931</v>
      </c>
    </row>
    <row r="116" spans="1:12" ht="30" customHeight="1" x14ac:dyDescent="0.3">
      <c r="A116" s="170" t="str">
        <f>+TablaMaestra[[#This Row],[CÓDIGO DE RUTA]]</f>
        <v>R0901048; HV-783</v>
      </c>
      <c r="B116" s="170" t="str">
        <f>+TablaMaestra[[#This Row],[DENOMINACION DE INTERVENCION]]</f>
        <v>EMP. PE-3S M (PILCOCANCHA) - ATAYLLAMA - EMP. HV-783 (CHAYNAPAMPA); EMP. HV-722 (DV. ACORIA) - YANANACO - CHAYNAPAMPA</v>
      </c>
      <c r="C116" s="170" t="str">
        <f>+TablaMaestra[[#This Row],[DEPARTAMENTO]]</f>
        <v>HUANCAVELICA</v>
      </c>
      <c r="D116" s="170" t="str">
        <f>+TablaMaestra[[#This Row],[PROVINCIA]]</f>
        <v>HUANCAVELICA</v>
      </c>
      <c r="E116" s="170" t="str">
        <f>+TablaMaestra[[#This Row],[DISTRITO]]</f>
        <v>ACORIA</v>
      </c>
      <c r="F116" s="170" t="s">
        <v>928</v>
      </c>
      <c r="G116" s="170" t="s">
        <v>964</v>
      </c>
      <c r="H116" s="170" t="s">
        <v>929</v>
      </c>
      <c r="I116" s="170" t="s">
        <v>930</v>
      </c>
      <c r="J116" s="171">
        <f ca="1">IF(ISBLANK(Ayuda!R116), 0, MIN(MAX(0, (TODAY() - Ayuda!R116) / (Ayuda!Q116 + IFERROR(Ayuda!W116, 0))), 1))</f>
        <v>0.64864864864864868</v>
      </c>
      <c r="K116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0.37162155842746863</v>
      </c>
      <c r="L116" s="170" t="s">
        <v>931</v>
      </c>
    </row>
    <row r="117" spans="1:12" ht="30" customHeight="1" x14ac:dyDescent="0.3">
      <c r="A117" s="170" t="str">
        <f>+TablaMaestra[[#This Row],[CÓDIGO DE RUTA]]</f>
        <v>HV-772; HV-786</v>
      </c>
      <c r="B117" s="170" t="str">
        <f>+TablaMaestra[[#This Row],[DENOMINACION DE INTERVENCION]]</f>
        <v>PTE. ACORIA (KM 0+200) - SILVA - DV. HV-785 (KM 14+340); CASTILLAPATA (KM 4+300) - TROYA - MOTOY - EMP. HV-772</v>
      </c>
      <c r="C117" s="170" t="str">
        <f>+TablaMaestra[[#This Row],[DEPARTAMENTO]]</f>
        <v>HUANCAVELICA</v>
      </c>
      <c r="D117" s="170" t="str">
        <f>+TablaMaestra[[#This Row],[PROVINCIA]]</f>
        <v>HUANCAVELICA</v>
      </c>
      <c r="E117" s="170" t="str">
        <f>+TablaMaestra[[#This Row],[DISTRITO]]</f>
        <v>ACORIA</v>
      </c>
      <c r="F117" s="170" t="s">
        <v>928</v>
      </c>
      <c r="G117" s="170" t="s">
        <v>964</v>
      </c>
      <c r="H117" s="170" t="s">
        <v>929</v>
      </c>
      <c r="I117" s="170" t="s">
        <v>930</v>
      </c>
      <c r="J117" s="171">
        <f ca="1">IF(ISBLANK(Ayuda!R117), 0, MIN(MAX(0, (TODAY() - Ayuda!R117) / (Ayuda!Q117 + IFERROR(Ayuda!W117, 0))), 1))</f>
        <v>0.72888888888888892</v>
      </c>
      <c r="K117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0.4644444855951293</v>
      </c>
      <c r="L117" s="170" t="s">
        <v>931</v>
      </c>
    </row>
    <row r="118" spans="1:12" ht="30" customHeight="1" x14ac:dyDescent="0.3">
      <c r="A118" s="170" t="str">
        <f>+TablaMaestra[[#This Row],[CÓDIGO DE RUTA]]</f>
        <v>HV-784</v>
      </c>
      <c r="B118" s="170" t="str">
        <f>+TablaMaestra[[#This Row],[DENOMINACION DE INTERVENCION]]</f>
        <v>EMP. PE-3SM - PANCCAN - EMP. HV-772</v>
      </c>
      <c r="C118" s="170" t="str">
        <f>+TablaMaestra[[#This Row],[DEPARTAMENTO]]</f>
        <v>HUANCAVELICA</v>
      </c>
      <c r="D118" s="170" t="str">
        <f>+TablaMaestra[[#This Row],[PROVINCIA]]</f>
        <v>HUANCAVELICA</v>
      </c>
      <c r="E118" s="170" t="str">
        <f>+TablaMaestra[[#This Row],[DISTRITO]]</f>
        <v>ACORIA</v>
      </c>
      <c r="F118" s="170" t="s">
        <v>928</v>
      </c>
      <c r="G118" s="170" t="s">
        <v>964</v>
      </c>
      <c r="H118" s="170" t="s">
        <v>929</v>
      </c>
      <c r="I118" s="170" t="s">
        <v>930</v>
      </c>
      <c r="J118" s="171">
        <f ca="1">IF(ISBLANK(Ayuda!R118), 0, MIN(MAX(0, (TODAY() - Ayuda!R118) / (Ayuda!Q118 + IFERROR(Ayuda!W118, 0))), 1))</f>
        <v>0.75111111111111106</v>
      </c>
      <c r="K118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0.48888878896968263</v>
      </c>
      <c r="L118" s="170" t="s">
        <v>931</v>
      </c>
    </row>
    <row r="119" spans="1:12" ht="30" customHeight="1" x14ac:dyDescent="0.3">
      <c r="A119" s="170" t="str">
        <f>+TablaMaestra[[#This Row],[CÓDIGO DE RUTA]]</f>
        <v>HV-785</v>
      </c>
      <c r="B119" s="170" t="str">
        <f>+TablaMaestra[[#This Row],[DENOMINACION DE INTERVENCION]]</f>
        <v>EMP. HV-772 - HUANOPATA - AZUL CCOCHA - DV. VISKAS (KM 15+320)</v>
      </c>
      <c r="C119" s="170" t="str">
        <f>+TablaMaestra[[#This Row],[DEPARTAMENTO]]</f>
        <v>HUANCAVELICA</v>
      </c>
      <c r="D119" s="170" t="str">
        <f>+TablaMaestra[[#This Row],[PROVINCIA]]</f>
        <v>HUANCAVELICA</v>
      </c>
      <c r="E119" s="170" t="str">
        <f>+TablaMaestra[[#This Row],[DISTRITO]]</f>
        <v>ACORIA</v>
      </c>
      <c r="F119" s="170" t="s">
        <v>928</v>
      </c>
      <c r="G119" s="170" t="s">
        <v>964</v>
      </c>
      <c r="H119" s="170" t="s">
        <v>929</v>
      </c>
      <c r="I119" s="170" t="s">
        <v>930</v>
      </c>
      <c r="J119" s="171">
        <f ca="1">IF(ISBLANK(Ayuda!R119), 0, MIN(MAX(0, (TODAY() - Ayuda!R119) / (Ayuda!Q119 + IFERROR(Ayuda!W119, 0))), 1))</f>
        <v>0.71171171171171166</v>
      </c>
      <c r="K119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0.44099098273710269</v>
      </c>
      <c r="L119" s="170" t="s">
        <v>931</v>
      </c>
    </row>
    <row r="120" spans="1:12" ht="30" customHeight="1" x14ac:dyDescent="0.3">
      <c r="A120" s="170" t="str">
        <f>+TablaMaestra[[#This Row],[CÓDIGO DE RUTA]]</f>
        <v>HV-779; HV-780; R0901080</v>
      </c>
      <c r="B120" s="170" t="str">
        <f>+TablaMaestra[[#This Row],[DENOMINACION DE INTERVENCION]]</f>
        <v>EMP. HV-780 (HUANASPAMPA) - UNION PROGRESO; EMP. PE-26 (LAIMINA) - HUANASPAMPA - EMP. HV-130 (DV. WIÑAQ); EMP. HV-130 (HUAYLLACCOTO) - TRES ESTRELLAS - ACHAPATA - EMP. R0901081 (CCARAHUASA)</v>
      </c>
      <c r="C120" s="170" t="str">
        <f>+TablaMaestra[[#This Row],[DEPARTAMENTO]]</f>
        <v>HUANCAVELICA</v>
      </c>
      <c r="D120" s="170" t="str">
        <f>+TablaMaestra[[#This Row],[PROVINCIA]]</f>
        <v>HUANCAVELICA</v>
      </c>
      <c r="E120" s="170" t="str">
        <f>+TablaMaestra[[#This Row],[DISTRITO]]</f>
        <v>ACORIA</v>
      </c>
      <c r="F120" s="170" t="s">
        <v>928</v>
      </c>
      <c r="G120" s="170" t="s">
        <v>964</v>
      </c>
      <c r="H120" s="170" t="s">
        <v>929</v>
      </c>
      <c r="I120" s="170" t="s">
        <v>930</v>
      </c>
      <c r="J120" s="171">
        <f ca="1">IF(ISBLANK(Ayuda!R120), 0, MIN(MAX(0, (TODAY() - Ayuda!R120) / (Ayuda!Q120 + IFERROR(Ayuda!W120, 0))), 1))</f>
        <v>0.75111111111111106</v>
      </c>
      <c r="K120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0.48888906534430965</v>
      </c>
      <c r="L120" s="170" t="s">
        <v>931</v>
      </c>
    </row>
    <row r="121" spans="1:12" ht="30" customHeight="1" x14ac:dyDescent="0.3">
      <c r="A121" s="170" t="str">
        <f>+TablaMaestra[[#This Row],[CÓDIGO DE RUTA]]</f>
        <v>HV-789; HV-790</v>
      </c>
      <c r="B121" s="170" t="str">
        <f>+TablaMaestra[[#This Row],[DENOMINACION DE INTERVENCION]]</f>
        <v xml:space="preserve">EMP. PE-26 (SACHAPITE) - ATALLA - PTE. YAULI (KM 13+870); EMP. HV-789 - CHACARILLA - UCHKUS INCAÑAN - EMP. HV-791 </v>
      </c>
      <c r="C121" s="170" t="str">
        <f>+TablaMaestra[[#This Row],[DEPARTAMENTO]]</f>
        <v>HUANCAVELICA</v>
      </c>
      <c r="D121" s="170" t="str">
        <f>+TablaMaestra[[#This Row],[PROVINCIA]]</f>
        <v>HUANCAVELICA</v>
      </c>
      <c r="E121" s="170" t="str">
        <f>+TablaMaestra[[#This Row],[DISTRITO]]</f>
        <v>YAULI</v>
      </c>
      <c r="F121" s="170" t="s">
        <v>928</v>
      </c>
      <c r="G121" s="170" t="s">
        <v>964</v>
      </c>
      <c r="H121" s="170" t="s">
        <v>929</v>
      </c>
      <c r="I121" s="170" t="s">
        <v>930</v>
      </c>
      <c r="J121" s="171">
        <f ca="1">IF(ISBLANK(Ayuda!R121), 0, MIN(MAX(0, (TODAY() - Ayuda!R121) / (Ayuda!Q121 + IFERROR(Ayuda!W121, 0))), 1))</f>
        <v>0.63963963963963966</v>
      </c>
      <c r="K121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0.36171171666620833</v>
      </c>
      <c r="L121" s="170" t="s">
        <v>931</v>
      </c>
    </row>
    <row r="122" spans="1:12" ht="30" customHeight="1" x14ac:dyDescent="0.3">
      <c r="A122" s="170" t="str">
        <f>+TablaMaestra[[#This Row],[CÓDIGO DE RUTA]]</f>
        <v>HV-796; R0901093</v>
      </c>
      <c r="B122" s="170" t="str">
        <f>+TablaMaestra[[#This Row],[DENOMINACION DE INTERVENCION]]</f>
        <v>EMP. HV-112 - MATIPACANA - MOSOCCANCHA - CHACAPAMPA; EMP. HV-112 (PALTAMACHAY) - EMP. HV-796 (CHACAPAMPA)</v>
      </c>
      <c r="C122" s="170" t="str">
        <f>+TablaMaestra[[#This Row],[DEPARTAMENTO]]</f>
        <v>HUANCAVELICA</v>
      </c>
      <c r="D122" s="170" t="str">
        <f>+TablaMaestra[[#This Row],[PROVINCIA]]</f>
        <v>HUANCAVELICA</v>
      </c>
      <c r="E122" s="170" t="str">
        <f>+TablaMaestra[[#This Row],[DISTRITO]]</f>
        <v>YAULI</v>
      </c>
      <c r="F122" s="170" t="s">
        <v>928</v>
      </c>
      <c r="G122" s="170" t="s">
        <v>964</v>
      </c>
      <c r="H122" s="170" t="s">
        <v>929</v>
      </c>
      <c r="I122" s="170" t="s">
        <v>930</v>
      </c>
      <c r="J122" s="171">
        <f ca="1">IF(ISBLANK(Ayuda!R122), 0, MIN(MAX(0, (TODAY() - Ayuda!R122) / (Ayuda!Q122 + IFERROR(Ayuda!W122, 0))), 1))</f>
        <v>0.29976580796252927</v>
      </c>
      <c r="K122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0.29234047129512492</v>
      </c>
      <c r="L122" s="170" t="s">
        <v>931</v>
      </c>
    </row>
    <row r="123" spans="1:12" ht="30" customHeight="1" x14ac:dyDescent="0.3">
      <c r="A123" s="170" t="str">
        <f>+TablaMaestra[[#This Row],[CÓDIGO DE RUTA]]</f>
        <v xml:space="preserve">HV-807 </v>
      </c>
      <c r="B123" s="170" t="str">
        <f>+TablaMaestra[[#This Row],[DENOMINACION DE INTERVENCION]]</f>
        <v>PACHACCLLA (KM 17+700) - EMP. PE-26B (CUNYACC)</v>
      </c>
      <c r="C123" s="170" t="str">
        <f>+TablaMaestra[[#This Row],[DEPARTAMENTO]]</f>
        <v>HUANCAVELICA</v>
      </c>
      <c r="D123" s="170" t="str">
        <f>+TablaMaestra[[#This Row],[PROVINCIA]]</f>
        <v>HUANCAVELICA</v>
      </c>
      <c r="E123" s="170" t="str">
        <f>+TablaMaestra[[#This Row],[DISTRITO]]</f>
        <v>YAULI</v>
      </c>
      <c r="F123" s="170" t="s">
        <v>928</v>
      </c>
      <c r="G123" s="170" t="s">
        <v>964</v>
      </c>
      <c r="H123" s="170" t="s">
        <v>929</v>
      </c>
      <c r="I123" s="170" t="s">
        <v>930</v>
      </c>
      <c r="J123" s="171">
        <f ca="1">IF(ISBLANK(Ayuda!R123), 0, MIN(MAX(0, (TODAY() - Ayuda!R123) / (Ayuda!Q123 + IFERROR(Ayuda!W123, 0))), 1))</f>
        <v>0.28941176470588237</v>
      </c>
      <c r="K123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0.26399851566527699</v>
      </c>
      <c r="L123" s="170" t="s">
        <v>931</v>
      </c>
    </row>
    <row r="124" spans="1:12" ht="30" customHeight="1" x14ac:dyDescent="0.3">
      <c r="A124" s="170" t="str">
        <f>+TablaMaestra[[#This Row],[CÓDIGO DE RUTA]]</f>
        <v>HV-809; R0901097</v>
      </c>
      <c r="B124" s="170" t="str">
        <f>+TablaMaestra[[#This Row],[DENOMINACION DE INTERVENCION]]</f>
        <v>EMP. HV-105 - CONDORHUACHANA; EMP. HV-809 (CONDORHUACHANA) - EMP. HV-807 (PTE. CCOLLPAPAMPA)</v>
      </c>
      <c r="C124" s="170" t="str">
        <f>+TablaMaestra[[#This Row],[DEPARTAMENTO]]</f>
        <v>HUANCAVELICA</v>
      </c>
      <c r="D124" s="170" t="str">
        <f>+TablaMaestra[[#This Row],[PROVINCIA]]</f>
        <v>HUANCAVELICA</v>
      </c>
      <c r="E124" s="170" t="str">
        <f>+TablaMaestra[[#This Row],[DISTRITO]]</f>
        <v>YAULI</v>
      </c>
      <c r="F124" s="170" t="s">
        <v>928</v>
      </c>
      <c r="G124" s="170" t="s">
        <v>964</v>
      </c>
      <c r="H124" s="170" t="s">
        <v>929</v>
      </c>
      <c r="I124" s="170" t="s">
        <v>930</v>
      </c>
      <c r="J124" s="171">
        <f ca="1">IF(ISBLANK(Ayuda!R124), 0, MIN(MAX(0, (TODAY() - Ayuda!R124) / (Ayuda!Q124 + IFERROR(Ayuda!W124, 0))), 1))</f>
        <v>0.30140186915887851</v>
      </c>
      <c r="K124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0.2972968951986929</v>
      </c>
      <c r="L124" s="170" t="s">
        <v>931</v>
      </c>
    </row>
    <row r="125" spans="1:12" ht="30" customHeight="1" x14ac:dyDescent="0.3">
      <c r="A125" s="170" t="str">
        <f>+TablaMaestra[[#This Row],[CÓDIGO DE RUTA]]</f>
        <v>HV-807; HV-808</v>
      </c>
      <c r="B125" s="170" t="str">
        <f>+TablaMaestra[[#This Row],[DENOMINACION DE INTERVENCION]]</f>
        <v>EMP. HV-105 (CHACMACCASA) - CHUCLLACCASA - DV. LIMAPAMPA (KM 7+420); EMP. HV-105 (PUYHUAN) - EMP. HV-807 (CHUCCLLACCASA)</v>
      </c>
      <c r="C125" s="170" t="str">
        <f>+TablaMaestra[[#This Row],[DEPARTAMENTO]]</f>
        <v>HUANCAVELICA</v>
      </c>
      <c r="D125" s="170" t="str">
        <f>+TablaMaestra[[#This Row],[PROVINCIA]]</f>
        <v>HUANCAVELICA</v>
      </c>
      <c r="E125" s="170" t="str">
        <f>+TablaMaestra[[#This Row],[DISTRITO]]</f>
        <v>YAULI</v>
      </c>
      <c r="F125" s="170" t="s">
        <v>928</v>
      </c>
      <c r="G125" s="170" t="s">
        <v>964</v>
      </c>
      <c r="H125" s="170" t="s">
        <v>929</v>
      </c>
      <c r="I125" s="170" t="s">
        <v>930</v>
      </c>
      <c r="J125" s="171">
        <f ca="1">IF(ISBLANK(Ayuda!R125), 0, MIN(MAX(0, (TODAY() - Ayuda!R125) / (Ayuda!Q125 + IFERROR(Ayuda!W125, 0))), 1))</f>
        <v>0.73873873873873874</v>
      </c>
      <c r="K125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0.47072076875584112</v>
      </c>
      <c r="L125" s="170" t="s">
        <v>931</v>
      </c>
    </row>
    <row r="126" spans="1:12" ht="30" customHeight="1" x14ac:dyDescent="0.3">
      <c r="A126" s="170" t="str">
        <f>+TablaMaestra[[#This Row],[CÓDIGO DE RUTA]]</f>
        <v xml:space="preserve">HV-811; HV-814 </v>
      </c>
      <c r="B126" s="170" t="str">
        <f>+TablaMaestra[[#This Row],[DENOMINACION DE INTERVENCION]]</f>
        <v>EMP. HV-807 (CCARHUACC) - HUARIPATA - EMP. HV-816; EMP. HV-811 (PARCA) - PANTACHI NORTE</v>
      </c>
      <c r="C126" s="170" t="str">
        <f>+TablaMaestra[[#This Row],[DEPARTAMENTO]]</f>
        <v>HUANCAVELICA</v>
      </c>
      <c r="D126" s="170" t="str">
        <f>+TablaMaestra[[#This Row],[PROVINCIA]]</f>
        <v>HUANCAVELICA</v>
      </c>
      <c r="E126" s="170" t="str">
        <f>+TablaMaestra[[#This Row],[DISTRITO]]</f>
        <v>YAULI</v>
      </c>
      <c r="F126" s="170" t="s">
        <v>928</v>
      </c>
      <c r="G126" s="170" t="s">
        <v>964</v>
      </c>
      <c r="H126" s="170" t="s">
        <v>929</v>
      </c>
      <c r="I126" s="170" t="s">
        <v>930</v>
      </c>
      <c r="J126" s="171">
        <f ca="1">IF(ISBLANK(Ayuda!R126), 0, MIN(MAX(0, (TODAY() - Ayuda!R126) / (Ayuda!Q126 + IFERROR(Ayuda!W126, 0))), 1))</f>
        <v>0.29976580796252927</v>
      </c>
      <c r="K126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0.29234196193938516</v>
      </c>
      <c r="L126" s="170" t="s">
        <v>931</v>
      </c>
    </row>
    <row r="127" spans="1:12" ht="30" customHeight="1" x14ac:dyDescent="0.3">
      <c r="A127" s="170" t="str">
        <f>+TablaMaestra[[#This Row],[CÓDIGO DE RUTA]]</f>
        <v>HV-909</v>
      </c>
      <c r="B127" s="170" t="str">
        <f>+TablaMaestra[[#This Row],[DENOMINACION DE INTERVENCION]]</f>
        <v>EMP. PE-26 (QUIMINA) - CHILLHUAPAMPA - HORNOBAMBA - EMP. HV-128</v>
      </c>
      <c r="C127" s="170" t="str">
        <f>+TablaMaestra[[#This Row],[DEPARTAMENTO]]</f>
        <v>HUANCAVELICA</v>
      </c>
      <c r="D127" s="170" t="str">
        <f>+TablaMaestra[[#This Row],[PROVINCIA]]</f>
        <v>HUANCAVELICA</v>
      </c>
      <c r="E127" s="170" t="str">
        <f>+TablaMaestra[[#This Row],[DISTRITO]]</f>
        <v xml:space="preserve">PALCA </v>
      </c>
      <c r="F127" s="170" t="s">
        <v>928</v>
      </c>
      <c r="G127" s="170" t="s">
        <v>964</v>
      </c>
      <c r="H127" s="170" t="s">
        <v>929</v>
      </c>
      <c r="I127" s="170" t="s">
        <v>930</v>
      </c>
      <c r="J127" s="171">
        <f ca="1">IF(ISBLANK(Ayuda!R127), 0, MIN(MAX(0, (TODAY() - Ayuda!R127) / (Ayuda!Q127 + IFERROR(Ayuda!W127, 0))), 1))</f>
        <v>0.65777777777777779</v>
      </c>
      <c r="K127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0.38622228845307449</v>
      </c>
      <c r="L127" s="170" t="s">
        <v>931</v>
      </c>
    </row>
    <row r="128" spans="1:12" ht="30" customHeight="1" x14ac:dyDescent="0.3">
      <c r="A128" s="170" t="str">
        <f>+TablaMaestra[[#This Row],[CÓDIGO DE RUTA]]</f>
        <v>HV-903; HV-904</v>
      </c>
      <c r="B128" s="170" t="str">
        <f>+TablaMaestra[[#This Row],[DENOMINACION DE INTERVENCION]]</f>
        <v>EMP. PE-26B - TITICCASA - SANTA BARBARA; SAN JERONIMO (KM 0+900) - SACSAMARCA - EMP. HV-903</v>
      </c>
      <c r="C128" s="170" t="str">
        <f>+TablaMaestra[[#This Row],[DEPARTAMENTO]]</f>
        <v>HUANCAVELICA</v>
      </c>
      <c r="D128" s="170" t="str">
        <f>+TablaMaestra[[#This Row],[PROVINCIA]]</f>
        <v>HUANCAVELICA</v>
      </c>
      <c r="E128" s="170" t="str">
        <f>+TablaMaestra[[#This Row],[DISTRITO]]</f>
        <v>HUANCAVELICA</v>
      </c>
      <c r="F128" s="170" t="s">
        <v>928</v>
      </c>
      <c r="G128" s="170" t="s">
        <v>964</v>
      </c>
      <c r="H128" s="170" t="s">
        <v>929</v>
      </c>
      <c r="I128" s="170" t="s">
        <v>930</v>
      </c>
      <c r="J128" s="171">
        <f ca="1">IF(ISBLANK(Ayuda!R128), 0, MIN(MAX(0, (TODAY() - Ayuda!R128) / (Ayuda!Q128 + IFERROR(Ayuda!W128, 0))), 1))</f>
        <v>0.28639618138424822</v>
      </c>
      <c r="K128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0.25270264939846165</v>
      </c>
      <c r="L128" s="170" t="s">
        <v>931</v>
      </c>
    </row>
    <row r="129" spans="1:12" ht="30" customHeight="1" x14ac:dyDescent="0.3">
      <c r="A129" s="170" t="str">
        <f>+TablaMaestra[[#This Row],[CÓDIGO DE RUTA]]</f>
        <v xml:space="preserve">HV-896 </v>
      </c>
      <c r="B129" s="170" t="str">
        <f>+TablaMaestra[[#This Row],[DENOMINACION DE INTERVENCION]]</f>
        <v>EMP. HV-115 - PALLCAPAMPA - PUCACUCHO - EMP. HV-903 (TITICCASA)</v>
      </c>
      <c r="C129" s="170" t="str">
        <f>+TablaMaestra[[#This Row],[DEPARTAMENTO]]</f>
        <v>HUANCAVELICA</v>
      </c>
      <c r="D129" s="170" t="str">
        <f>+TablaMaestra[[#This Row],[PROVINCIA]]</f>
        <v>HUANCAVELICA</v>
      </c>
      <c r="E129" s="170" t="str">
        <f>+TablaMaestra[[#This Row],[DISTRITO]]</f>
        <v>HUACHOCOLPA; HUANCAVELICA</v>
      </c>
      <c r="F129" s="170" t="s">
        <v>928</v>
      </c>
      <c r="G129" s="170" t="s">
        <v>964</v>
      </c>
      <c r="H129" s="170" t="s">
        <v>929</v>
      </c>
      <c r="I129" s="170" t="s">
        <v>930</v>
      </c>
      <c r="J129" s="171">
        <f ca="1">IF(ISBLANK(Ayuda!R129), 0, MIN(MAX(0, (TODAY() - Ayuda!R129) / (Ayuda!Q129 + IFERROR(Ayuda!W129, 0))), 1))</f>
        <v>0.71171171171171166</v>
      </c>
      <c r="K129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0.44099098001218645</v>
      </c>
      <c r="L129" s="170" t="s">
        <v>931</v>
      </c>
    </row>
    <row r="130" spans="1:12" ht="30" customHeight="1" x14ac:dyDescent="0.3">
      <c r="A130" s="170" t="str">
        <f>+TablaMaestra[[#This Row],[CÓDIGO DE RUTA]]</f>
        <v>R0901104; R0901105</v>
      </c>
      <c r="B130" s="170" t="str">
        <f>+TablaMaestra[[#This Row],[DENOMINACION DE INTERVENCION]]</f>
        <v>EMP. HV-896 (YANAMINA) - LAGUNA CCEULLACCOCHA - MACHAYPAMPA - CERRO CCARHUARAZU; EMP. R0901104 - RÍO OJOLOMAYO</v>
      </c>
      <c r="C130" s="170" t="str">
        <f>+TablaMaestra[[#This Row],[DEPARTAMENTO]]</f>
        <v>HUANCAVELICA</v>
      </c>
      <c r="D130" s="170" t="str">
        <f>+TablaMaestra[[#This Row],[PROVINCIA]]</f>
        <v>HUANCAVELICA</v>
      </c>
      <c r="E130" s="170" t="str">
        <f>+TablaMaestra[[#This Row],[DISTRITO]]</f>
        <v>HUANCAVELICA</v>
      </c>
      <c r="F130" s="170" t="s">
        <v>928</v>
      </c>
      <c r="G130" s="170" t="s">
        <v>964</v>
      </c>
      <c r="H130" s="170" t="s">
        <v>929</v>
      </c>
      <c r="I130" s="170" t="s">
        <v>930</v>
      </c>
      <c r="J130" s="171">
        <f ca="1">IF(ISBLANK(Ayuda!R130), 0, MIN(MAX(0, (TODAY() - Ayuda!R130) / (Ayuda!Q130 + IFERROR(Ayuda!W130, 0))), 1))</f>
        <v>0.73873873873873874</v>
      </c>
      <c r="K130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0.47072076932784407</v>
      </c>
      <c r="L130" s="170" t="s">
        <v>931</v>
      </c>
    </row>
    <row r="131" spans="1:12" ht="30" customHeight="1" x14ac:dyDescent="0.3">
      <c r="A131" s="170" t="str">
        <f>+TablaMaestra[[#This Row],[CÓDIGO DE RUTA]]</f>
        <v>R0901126</v>
      </c>
      <c r="B131" s="170" t="str">
        <f>+TablaMaestra[[#This Row],[DENOMINACION DE INTERVENCION]]</f>
        <v>EMP. PE-26 (LACHOCC) - SAN PEDRO DE SACCSALLA - ORCCOBAMBA</v>
      </c>
      <c r="C131" s="170" t="str">
        <f>+TablaMaestra[[#This Row],[DEPARTAMENTO]]</f>
        <v>HUANCAVELICA</v>
      </c>
      <c r="D131" s="170" t="str">
        <f>+TablaMaestra[[#This Row],[PROVINCIA]]</f>
        <v>HUANCAVELICA</v>
      </c>
      <c r="E131" s="170" t="str">
        <f>+TablaMaestra[[#This Row],[DISTRITO]]</f>
        <v>ASCENSIÓN Y NUEVO OCCORO</v>
      </c>
      <c r="F131" s="170" t="s">
        <v>928</v>
      </c>
      <c r="G131" s="170" t="s">
        <v>964</v>
      </c>
      <c r="H131" s="170" t="s">
        <v>929</v>
      </c>
      <c r="I131" s="170" t="s">
        <v>930</v>
      </c>
      <c r="J131" s="171">
        <f ca="1">IF(ISBLANK(Ayuda!R131), 0, MIN(MAX(0, (TODAY() - Ayuda!R131) / (Ayuda!Q131 + IFERROR(Ayuda!W131, 0))), 1))</f>
        <v>0.63963963963963966</v>
      </c>
      <c r="K131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0.36171170322945112</v>
      </c>
      <c r="L131" s="170" t="s">
        <v>931</v>
      </c>
    </row>
    <row r="132" spans="1:12" ht="30" customHeight="1" x14ac:dyDescent="0.3">
      <c r="A132" s="170" t="str">
        <f>+TablaMaestra[[#This Row],[CÓDIGO DE RUTA]]</f>
        <v>HV-934</v>
      </c>
      <c r="B132" s="170" t="str">
        <f>+TablaMaestra[[#This Row],[DENOMINACION DE INTERVENCION]]</f>
        <v>EMP. HV-110 (VILCA) - ACCOMARCA - ACOMACHAY - EMP. HV-933 (PUYHUAN)</v>
      </c>
      <c r="C132" s="170" t="str">
        <f>+TablaMaestra[[#This Row],[DEPARTAMENTO]]</f>
        <v>HUANCAVELICA</v>
      </c>
      <c r="D132" s="170" t="str">
        <f>+TablaMaestra[[#This Row],[PROVINCIA]]</f>
        <v>HUANCAVELICA</v>
      </c>
      <c r="E132" s="170" t="str">
        <f>+TablaMaestra[[#This Row],[DISTRITO]]</f>
        <v>VILCA Y HUAYLLAHUARA</v>
      </c>
      <c r="F132" s="170" t="s">
        <v>928</v>
      </c>
      <c r="G132" s="170" t="s">
        <v>964</v>
      </c>
      <c r="H132" s="170" t="s">
        <v>929</v>
      </c>
      <c r="I132" s="170" t="s">
        <v>930</v>
      </c>
      <c r="J132" s="171">
        <f ca="1">IF(ISBLANK(Ayuda!R132), 0, MIN(MAX(0, (TODAY() - Ayuda!R132) / (Ayuda!Q132 + IFERROR(Ayuda!W132, 0))), 1))</f>
        <v>0.68018018018018023</v>
      </c>
      <c r="K132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0.40630624992600084</v>
      </c>
      <c r="L132" s="170" t="s">
        <v>931</v>
      </c>
    </row>
    <row r="133" spans="1:12" ht="30" customHeight="1" x14ac:dyDescent="0.3">
      <c r="A133" s="170" t="str">
        <f>+TablaMaestra[[#This Row],[CÓDIGO DE RUTA]]</f>
        <v>HV-935</v>
      </c>
      <c r="B133" s="170" t="str">
        <f>+TablaMaestra[[#This Row],[DENOMINACION DE INTERVENCION]]</f>
        <v>EMP. HV-110 (SAN CARLOS) - CHUYA - EMP. HV-936 (SANTA ANA)</v>
      </c>
      <c r="C133" s="170" t="str">
        <f>+TablaMaestra[[#This Row],[DEPARTAMENTO]]</f>
        <v>HUANCAVELICA</v>
      </c>
      <c r="D133" s="170" t="str">
        <f>+TablaMaestra[[#This Row],[PROVINCIA]]</f>
        <v>HUANCAVELICA</v>
      </c>
      <c r="E133" s="170" t="str">
        <f>+TablaMaestra[[#This Row],[DISTRITO]]</f>
        <v>VILCA</v>
      </c>
      <c r="F133" s="170" t="s">
        <v>928</v>
      </c>
      <c r="G133" s="170" t="s">
        <v>964</v>
      </c>
      <c r="H133" s="170" t="s">
        <v>929</v>
      </c>
      <c r="I133" s="170" t="s">
        <v>930</v>
      </c>
      <c r="J133" s="171">
        <f ca="1">IF(ISBLANK(Ayuda!R133), 0, MIN(MAX(0, (TODAY() - Ayuda!R133) / (Ayuda!Q133 + IFERROR(Ayuda!W133, 0))), 1))</f>
        <v>0.26354679802955666</v>
      </c>
      <c r="K133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0.18828830036793279</v>
      </c>
      <c r="L133" s="170" t="s">
        <v>931</v>
      </c>
    </row>
    <row r="134" spans="1:12" ht="30" customHeight="1" x14ac:dyDescent="0.3">
      <c r="A134" s="170" t="str">
        <f>+TablaMaestra[[#This Row],[CÓDIGO DE RUTA]]</f>
        <v>HV-936</v>
      </c>
      <c r="B134" s="170" t="str">
        <f>+TablaMaestra[[#This Row],[DENOMINACION DE INTERVENCION]]</f>
        <v>DV. R0901165 (KM 6+830) - CCORICOCHA - LEON PAMPA - RIEGO PAMPA - SANTA ANA - L. DPTAL. JUNÍN (KM 31+780)</v>
      </c>
      <c r="C134" s="170" t="str">
        <f>+TablaMaestra[[#This Row],[DEPARTAMENTO]]</f>
        <v>HUANCAVELICA</v>
      </c>
      <c r="D134" s="170" t="str">
        <f>+TablaMaestra[[#This Row],[PROVINCIA]]</f>
        <v>HUANCAVELICA</v>
      </c>
      <c r="E134" s="170" t="str">
        <f>+TablaMaestra[[#This Row],[DISTRITO]]</f>
        <v>VILCA</v>
      </c>
      <c r="F134" s="170" t="s">
        <v>928</v>
      </c>
      <c r="G134" s="170" t="s">
        <v>964</v>
      </c>
      <c r="H134" s="170" t="s">
        <v>929</v>
      </c>
      <c r="I134" s="170" t="s">
        <v>930</v>
      </c>
      <c r="J134" s="171">
        <f ca="1">IF(ISBLANK(Ayuda!R134), 0, MIN(MAX(0, (TODAY() - Ayuda!R134) / (Ayuda!Q134 + IFERROR(Ayuda!W134, 0))), 1))</f>
        <v>0.27427184466019416</v>
      </c>
      <c r="K134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0.21801680860890849</v>
      </c>
      <c r="L134" s="170" t="s">
        <v>931</v>
      </c>
    </row>
    <row r="135" spans="1:12" ht="30" customHeight="1" x14ac:dyDescent="0.3">
      <c r="A135" s="170" t="str">
        <f>+TablaMaestra[[#This Row],[CÓDIGO DE RUTA]]</f>
        <v>HV-937</v>
      </c>
      <c r="B135" s="170" t="str">
        <f>+TablaMaestra[[#This Row],[DENOMINACION DE INTERVENCION]]</f>
        <v>EMP. HV-110 - HUANCALPI - CHAQUICCOCHA (KM 10+000)</v>
      </c>
      <c r="C135" s="170" t="str">
        <f>+TablaMaestra[[#This Row],[DEPARTAMENTO]]</f>
        <v>HUANCAVELICA</v>
      </c>
      <c r="D135" s="170" t="str">
        <f>+TablaMaestra[[#This Row],[PROVINCIA]]</f>
        <v>HUANCAVELICA</v>
      </c>
      <c r="E135" s="170" t="str">
        <f>+TablaMaestra[[#This Row],[DISTRITO]]</f>
        <v>VILCA</v>
      </c>
      <c r="F135" s="170" t="s">
        <v>928</v>
      </c>
      <c r="G135" s="170" t="s">
        <v>964</v>
      </c>
      <c r="H135" s="170" t="s">
        <v>929</v>
      </c>
      <c r="I135" s="170" t="s">
        <v>930</v>
      </c>
      <c r="J135" s="171">
        <f ca="1">IF(ISBLANK(Ayuda!R135), 0, MIN(MAX(0, (TODAY() - Ayuda!R135) / (Ayuda!Q135 + IFERROR(Ayuda!W135, 0))), 1))</f>
        <v>0.69777777777777783</v>
      </c>
      <c r="K135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0.43022227757589976</v>
      </c>
      <c r="L135" s="170" t="s">
        <v>931</v>
      </c>
    </row>
    <row r="136" spans="1:12" ht="30" customHeight="1" x14ac:dyDescent="0.3">
      <c r="A136" s="170" t="str">
        <f>+TablaMaestra[[#This Row],[CÓDIGO DE RUTA]]</f>
        <v>HV-931</v>
      </c>
      <c r="B136" s="170" t="str">
        <f>+TablaMaestra[[#This Row],[DENOMINACION DE INTERVENCION]]</f>
        <v>EMP. HV-126 (MOYA) - ISLAYCHUMPI - TAMBONE - TULTURI</v>
      </c>
      <c r="C136" s="170" t="str">
        <f>+TablaMaestra[[#This Row],[DEPARTAMENTO]]</f>
        <v>HUANCAVELICA</v>
      </c>
      <c r="D136" s="170" t="str">
        <f>+TablaMaestra[[#This Row],[PROVINCIA]]</f>
        <v>HUANCAVELICA</v>
      </c>
      <c r="E136" s="170" t="str">
        <f>+TablaMaestra[[#This Row],[DISTRITO]]</f>
        <v>MOYA</v>
      </c>
      <c r="F136" s="170" t="s">
        <v>928</v>
      </c>
      <c r="G136" s="170" t="s">
        <v>964</v>
      </c>
      <c r="H136" s="170" t="s">
        <v>929</v>
      </c>
      <c r="I136" s="170" t="s">
        <v>930</v>
      </c>
      <c r="J136" s="171">
        <f ca="1">IF(ISBLANK(Ayuda!R136), 0, MIN(MAX(0, (TODAY() - Ayuda!R136) / (Ayuda!Q136 + IFERROR(Ayuda!W136, 0))), 1))</f>
        <v>0.69369369369369371</v>
      </c>
      <c r="K136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0.42117119998110775</v>
      </c>
      <c r="L136" s="170" t="s">
        <v>931</v>
      </c>
    </row>
    <row r="137" spans="1:12" ht="30" customHeight="1" x14ac:dyDescent="0.3">
      <c r="A137" s="170" t="str">
        <f>+TablaMaestra[[#This Row],[CÓDIGO DE RUTA]]</f>
        <v>HV-932; R0901010</v>
      </c>
      <c r="B137" s="170" t="str">
        <f>+TablaMaestra[[#This Row],[DENOMINACION DE INTERVENCION]]</f>
        <v>EMP. HV-931 (ISLAYCHUMPI) - PUTACCA - YAUYOPATA; EMP. HV-126 - MARQUILLA - EMP. HV-932 (YAUYOPATA)</v>
      </c>
      <c r="C137" s="170" t="str">
        <f>+TablaMaestra[[#This Row],[DEPARTAMENTO]]</f>
        <v>HUANCAVELICA</v>
      </c>
      <c r="D137" s="170" t="str">
        <f>+TablaMaestra[[#This Row],[PROVINCIA]]</f>
        <v>HUANCAVELICA</v>
      </c>
      <c r="E137" s="170" t="str">
        <f>+TablaMaestra[[#This Row],[DISTRITO]]</f>
        <v>MOYA</v>
      </c>
      <c r="F137" s="170" t="s">
        <v>928</v>
      </c>
      <c r="G137" s="170" t="s">
        <v>964</v>
      </c>
      <c r="H137" s="170" t="s">
        <v>929</v>
      </c>
      <c r="I137" s="170" t="s">
        <v>930</v>
      </c>
      <c r="J137" s="171">
        <f ca="1">IF(ISBLANK(Ayuda!R137), 0, MIN(MAX(0, (TODAY() - Ayuda!R137) / (Ayuda!Q137 + IFERROR(Ayuda!W137, 0))), 1))</f>
        <v>0.69369369369369371</v>
      </c>
      <c r="K137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0.42117117914539542</v>
      </c>
      <c r="L137" s="170" t="s">
        <v>931</v>
      </c>
    </row>
    <row r="138" spans="1:12" ht="30" customHeight="1" x14ac:dyDescent="0.3">
      <c r="A138" s="170" t="str">
        <f>+TablaMaestra[[#This Row],[CÓDIGO DE RUTA]]</f>
        <v>HV-930</v>
      </c>
      <c r="B138" s="170" t="str">
        <f>+TablaMaestra[[#This Row],[DENOMINACION DE INTERVENCION]]</f>
        <v>EMP. HV-110 - SEBASTIAN BARRANCA - PILCHACA</v>
      </c>
      <c r="C138" s="170" t="str">
        <f>+TablaMaestra[[#This Row],[DEPARTAMENTO]]</f>
        <v>HUANCAVELICA</v>
      </c>
      <c r="D138" s="170" t="str">
        <f>+TablaMaestra[[#This Row],[PROVINCIA]]</f>
        <v>HUANCAVELICA</v>
      </c>
      <c r="E138" s="170" t="str">
        <f>+TablaMaestra[[#This Row],[DISTRITO]]</f>
        <v>PILCHACA</v>
      </c>
      <c r="F138" s="170" t="s">
        <v>928</v>
      </c>
      <c r="G138" s="170" t="s">
        <v>964</v>
      </c>
      <c r="H138" s="170" t="s">
        <v>929</v>
      </c>
      <c r="I138" s="170" t="s">
        <v>930</v>
      </c>
      <c r="J138" s="171">
        <f ca="1">IF(ISBLANK(Ayuda!R138), 0, MIN(MAX(0, (TODAY() - Ayuda!R138) / (Ayuda!Q138 + IFERROR(Ayuda!W138, 0))), 1))</f>
        <v>0.23037974683544304</v>
      </c>
      <c r="K138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0.10900862146024028</v>
      </c>
      <c r="L138" s="170" t="s">
        <v>931</v>
      </c>
    </row>
    <row r="139" spans="1:12" ht="30" customHeight="1" x14ac:dyDescent="0.3">
      <c r="A139" s="170" t="str">
        <f>+TablaMaestra[[#This Row],[CÓDIGO DE RUTA]]</f>
        <v>R0901013; R0901018</v>
      </c>
      <c r="B139" s="170" t="str">
        <f>+TablaMaestra[[#This Row],[DENOMINACION DE INTERVENCION]]</f>
        <v>AMAÑANCHAY (KM 0+750) - VISTA ALEGRE - PILCHACA; EMP. HV-929 (PTE. ANGASMAYO) - EMP. R0901016 (CCOLLPA)</v>
      </c>
      <c r="C139" s="170" t="str">
        <f>+TablaMaestra[[#This Row],[DEPARTAMENTO]]</f>
        <v>HUANCAVELICA</v>
      </c>
      <c r="D139" s="170" t="str">
        <f>+TablaMaestra[[#This Row],[PROVINCIA]]</f>
        <v>HUANCAVELICA</v>
      </c>
      <c r="E139" s="170" t="str">
        <f>+TablaMaestra[[#This Row],[DISTRITO]]</f>
        <v>PILCHACA</v>
      </c>
      <c r="F139" s="170" t="s">
        <v>928</v>
      </c>
      <c r="G139" s="170" t="s">
        <v>964</v>
      </c>
      <c r="H139" s="170" t="s">
        <v>929</v>
      </c>
      <c r="I139" s="170" t="s">
        <v>930</v>
      </c>
      <c r="J139" s="171">
        <f ca="1">IF(ISBLANK(Ayuda!R139), 0, MIN(MAX(0, (TODAY() - Ayuda!R139) / (Ayuda!Q139 + IFERROR(Ayuda!W139, 0))), 1))</f>
        <v>0.69369369369369371</v>
      </c>
      <c r="K139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0.42117128444973334</v>
      </c>
      <c r="L139" s="170" t="s">
        <v>931</v>
      </c>
    </row>
    <row r="140" spans="1:12" ht="30" customHeight="1" x14ac:dyDescent="0.3">
      <c r="A140" s="170" t="str">
        <f>+TablaMaestra[[#This Row],[CÓDIGO DE RUTA]]</f>
        <v>HV-924; HV-923</v>
      </c>
      <c r="B140" s="170" t="str">
        <f>+TablaMaestra[[#This Row],[DENOMINACION DE INTERVENCION]]</f>
        <v>EMP. HV-125 (DV. IZCUCHACA) - OSCCOLLO - CUENCA (KM 9+480); EMP. HV-126 (DV. MINAPAMPA) - EMP. HV-924 (DV. CUENCA)</v>
      </c>
      <c r="C140" s="170" t="str">
        <f>+TablaMaestra[[#This Row],[DEPARTAMENTO]]</f>
        <v>HUANCAVELICA</v>
      </c>
      <c r="D140" s="170" t="str">
        <f>+TablaMaestra[[#This Row],[PROVINCIA]]</f>
        <v>HUANCAVELICA</v>
      </c>
      <c r="E140" s="170" t="str">
        <f>+TablaMaestra[[#This Row],[DISTRITO]]</f>
        <v>CUENCA; IZCUCHACA; CUENCA</v>
      </c>
      <c r="F140" s="170" t="s">
        <v>928</v>
      </c>
      <c r="G140" s="170" t="s">
        <v>964</v>
      </c>
      <c r="H140" s="170" t="s">
        <v>929</v>
      </c>
      <c r="I140" s="170" t="s">
        <v>930</v>
      </c>
      <c r="J140" s="171">
        <f ca="1">IF(ISBLANK(Ayuda!R140), 0, MIN(MAX(0, (TODAY() - Ayuda!R140) / (Ayuda!Q140 + IFERROR(Ayuda!W140, 0))), 1))</f>
        <v>0.7072072072072072</v>
      </c>
      <c r="K140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0.43603599047583919</v>
      </c>
      <c r="L140" s="170" t="s">
        <v>931</v>
      </c>
    </row>
    <row r="141" spans="1:12" ht="30" customHeight="1" x14ac:dyDescent="0.3">
      <c r="A141" s="170" t="str">
        <f>+TablaMaestra[[#This Row],[CÓDIGO DE RUTA]]</f>
        <v>R0901059; R0901039</v>
      </c>
      <c r="B141" s="170" t="str">
        <f>+TablaMaestra[[#This Row],[DENOMINACION DE INTERVENCION]]</f>
        <v>EMP. HV- 915 (UTUSHAYCCO) - MUQUE - VISTA ALEGRE - EMP. R0901039; DV. R0901059 (KM 3+000) - EMP. HV-917</v>
      </c>
      <c r="C141" s="170" t="str">
        <f>+TablaMaestra[[#This Row],[DEPARTAMENTO]]</f>
        <v>HUANCAVELICA</v>
      </c>
      <c r="D141" s="170" t="str">
        <f>+TablaMaestra[[#This Row],[PROVINCIA]]</f>
        <v>HUANCAVELICA</v>
      </c>
      <c r="E141" s="170" t="str">
        <f>+TablaMaestra[[#This Row],[DISTRITO]]</f>
        <v>HUANDO</v>
      </c>
      <c r="F141" s="170" t="s">
        <v>928</v>
      </c>
      <c r="G141" s="170" t="s">
        <v>964</v>
      </c>
      <c r="H141" s="170" t="s">
        <v>929</v>
      </c>
      <c r="I141" s="170" t="s">
        <v>930</v>
      </c>
      <c r="J141" s="171">
        <f ca="1">IF(ISBLANK(Ayuda!R141), 0, MIN(MAX(0, (TODAY() - Ayuda!R141) / (Ayuda!Q141 + IFERROR(Ayuda!W141, 0))), 1))</f>
        <v>0.69819819819819817</v>
      </c>
      <c r="K141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0.42612613179104858</v>
      </c>
      <c r="L141" s="170" t="s">
        <v>931</v>
      </c>
    </row>
    <row r="142" spans="1:12" ht="30" customHeight="1" x14ac:dyDescent="0.3">
      <c r="A142" s="170" t="str">
        <f>+TablaMaestra[[#This Row],[CÓDIGO DE RUTA]]</f>
        <v>HV-1004</v>
      </c>
      <c r="B142" s="170" t="str">
        <f>+TablaMaestra[[#This Row],[DENOMINACION DE INTERVENCION]]</f>
        <v>EMP. HV-119 (QUISUARCCASA) - SAN LUIS DE CORERAC - MIGUEL DE CURIS - EMP. HV-119</v>
      </c>
      <c r="C142" s="170" t="str">
        <f>+TablaMaestra[[#This Row],[DEPARTAMENTO]]</f>
        <v>HUANCAVELICA</v>
      </c>
      <c r="D142" s="170" t="str">
        <f>+TablaMaestra[[#This Row],[PROVINCIA]]</f>
        <v>HUAYTARA</v>
      </c>
      <c r="E142" s="170" t="str">
        <f>+TablaMaestra[[#This Row],[DISTRITO]]</f>
        <v>SANTIAGO DE CHOCORVOS</v>
      </c>
      <c r="F142" s="170" t="s">
        <v>928</v>
      </c>
      <c r="G142" s="170" t="s">
        <v>964</v>
      </c>
      <c r="H142" s="170" t="s">
        <v>929</v>
      </c>
      <c r="I142" s="170" t="s">
        <v>930</v>
      </c>
      <c r="J142" s="171">
        <f ca="1">IF(ISBLANK(Ayuda!R142), 0, MIN(MAX(0, (TODAY() - Ayuda!R142) / (Ayuda!Q142 + IFERROR(Ayuda!W142, 0))), 1))</f>
        <v>0.70256410256410251</v>
      </c>
      <c r="K142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0.38358984299282811</v>
      </c>
      <c r="L142" s="170" t="s">
        <v>931</v>
      </c>
    </row>
    <row r="143" spans="1:12" ht="30" customHeight="1" x14ac:dyDescent="0.3">
      <c r="A143" s="170" t="str">
        <f>+TablaMaestra[[#This Row],[CÓDIGO DE RUTA]]</f>
        <v>R090647</v>
      </c>
      <c r="B143" s="170" t="str">
        <f>+TablaMaestra[[#This Row],[DENOMINACION DE INTERVENCION]]</f>
        <v>EMP. HV-1004 (SAN MIGUEL DE CURIS) - EMP. R090654 (SAN ANTONIO DE SAÑUHUILCA)</v>
      </c>
      <c r="C143" s="170" t="str">
        <f>+TablaMaestra[[#This Row],[DEPARTAMENTO]]</f>
        <v>HUANCAVELICA</v>
      </c>
      <c r="D143" s="170" t="str">
        <f>+TablaMaestra[[#This Row],[PROVINCIA]]</f>
        <v>HUAYTARA</v>
      </c>
      <c r="E143" s="170" t="str">
        <f>+TablaMaestra[[#This Row],[DISTRITO]]</f>
        <v>SANTIAGO DE CHOCORVOS</v>
      </c>
      <c r="F143" s="170" t="s">
        <v>928</v>
      </c>
      <c r="G143" s="170" t="s">
        <v>964</v>
      </c>
      <c r="H143" s="170" t="s">
        <v>929</v>
      </c>
      <c r="I143" s="170" t="s">
        <v>930</v>
      </c>
      <c r="J143" s="171">
        <f ca="1">IF(ISBLANK(Ayuda!R143), 0, MIN(MAX(0, (TODAY() - Ayuda!R143) / (Ayuda!Q143 + IFERROR(Ayuda!W143, 0))), 1))</f>
        <v>0.67487684729064035</v>
      </c>
      <c r="K143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0.36847290955631401</v>
      </c>
      <c r="L143" s="170" t="s">
        <v>931</v>
      </c>
    </row>
    <row r="144" spans="1:12" ht="30" customHeight="1" x14ac:dyDescent="0.3">
      <c r="A144" s="170" t="str">
        <f>+TablaMaestra[[#This Row],[CÓDIGO DE RUTA]]</f>
        <v>HV-997</v>
      </c>
      <c r="B144" s="170" t="str">
        <f>+TablaMaestra[[#This Row],[DENOMINACION DE INTERVENCION]]</f>
        <v xml:space="preserve">EMP. PE-28A - DV. PAMPAPUQUIO - VISTA ALEGRE - PACCHA - EMP. HV-117 </v>
      </c>
      <c r="C144" s="170" t="str">
        <f>+TablaMaestra[[#This Row],[DEPARTAMENTO]]</f>
        <v>HUANCAVELICA</v>
      </c>
      <c r="D144" s="170" t="str">
        <f>+TablaMaestra[[#This Row],[PROVINCIA]]</f>
        <v>HUAYTARA</v>
      </c>
      <c r="E144" s="170" t="str">
        <f>+TablaMaestra[[#This Row],[DISTRITO]]</f>
        <v>HYCDO ARMA Y SAN ANTONIO DE CUSICANCHA</v>
      </c>
      <c r="F144" s="170" t="s">
        <v>928</v>
      </c>
      <c r="G144" s="170" t="s">
        <v>964</v>
      </c>
      <c r="H144" s="170" t="s">
        <v>929</v>
      </c>
      <c r="I144" s="170" t="s">
        <v>930</v>
      </c>
      <c r="J144" s="171">
        <f ca="1">IF(ISBLANK(Ayuda!R144), 0, MIN(MAX(0, (TODAY() - Ayuda!R144) / (Ayuda!Q144 + IFERROR(Ayuda!W144, 0))), 1))</f>
        <v>0.70256410256410251</v>
      </c>
      <c r="K144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0.38358967289853829</v>
      </c>
      <c r="L144" s="170" t="s">
        <v>931</v>
      </c>
    </row>
    <row r="145" spans="1:12" ht="30" customHeight="1" x14ac:dyDescent="0.3">
      <c r="A145" s="170" t="str">
        <f>+TablaMaestra[[#This Row],[CÓDIGO DE RUTA]]</f>
        <v>HV-1013</v>
      </c>
      <c r="B145" s="170" t="str">
        <f>+TablaMaestra[[#This Row],[DENOMINACION DE INTERVENCION]]</f>
        <v>EMP. HV -121 (HUALLHUAS) - SANTA ROSA DE PACOMARCA -PAMPACANCHA - ATA (KM 36+470)</v>
      </c>
      <c r="C145" s="170" t="str">
        <f>+TablaMaestra[[#This Row],[DEPARTAMENTO]]</f>
        <v>HUANCAVELICA</v>
      </c>
      <c r="D145" s="170" t="str">
        <f>+TablaMaestra[[#This Row],[PROVINCIA]]</f>
        <v>HUAYTARA</v>
      </c>
      <c r="E145" s="170" t="str">
        <f>+TablaMaestra[[#This Row],[DISTRITO]]</f>
        <v>OCOYO Y QUERCO</v>
      </c>
      <c r="F145" s="170" t="s">
        <v>928</v>
      </c>
      <c r="G145" s="170" t="s">
        <v>964</v>
      </c>
      <c r="H145" s="170" t="s">
        <v>929</v>
      </c>
      <c r="I145" s="170" t="s">
        <v>930</v>
      </c>
      <c r="J145" s="171">
        <f ca="1">IF(ISBLANK(Ayuda!R145), 0, MIN(MAX(0, (TODAY() - Ayuda!R145) / (Ayuda!Q145 + IFERROR(Ayuda!W145, 0))), 1))</f>
        <v>0.70256410256410251</v>
      </c>
      <c r="K145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0.38358970726178382</v>
      </c>
      <c r="L145" s="170" t="s">
        <v>931</v>
      </c>
    </row>
    <row r="146" spans="1:12" ht="30" customHeight="1" x14ac:dyDescent="0.3">
      <c r="A146" s="170" t="str">
        <f>+TablaMaestra[[#This Row],[CÓDIGO DE RUTA]]</f>
        <v>HV-996</v>
      </c>
      <c r="B146" s="170" t="str">
        <f>+TablaMaestra[[#This Row],[DENOMINACION DE INTERVENCION]]</f>
        <v>EMP. HV-117 (QUISUARPAMPA) - HUAYLLAHUAQUI - MINASCCASA - YANAJAJA (KM 24+030)</v>
      </c>
      <c r="C146" s="170" t="str">
        <f>+TablaMaestra[[#This Row],[DEPARTAMENTO]]</f>
        <v>HUANCAVELICA</v>
      </c>
      <c r="D146" s="170" t="str">
        <f>+TablaMaestra[[#This Row],[PROVINCIA]]</f>
        <v>HUAYTARA</v>
      </c>
      <c r="E146" s="170" t="str">
        <f>+TablaMaestra[[#This Row],[DISTRITO]]</f>
        <v>SAN ANTONIO DE CUSICANCHA</v>
      </c>
      <c r="F146" s="170" t="s">
        <v>928</v>
      </c>
      <c r="G146" s="170" t="s">
        <v>964</v>
      </c>
      <c r="H146" s="170" t="s">
        <v>929</v>
      </c>
      <c r="I146" s="170" t="s">
        <v>930</v>
      </c>
      <c r="J146" s="171">
        <f ca="1">IF(ISBLANK(Ayuda!R146), 0, MIN(MAX(0, (TODAY() - Ayuda!R146) / (Ayuda!Q146 + IFERROR(Ayuda!W146, 0))), 1))</f>
        <v>0.70256410256410251</v>
      </c>
      <c r="K146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0.38358974358974357</v>
      </c>
      <c r="L146" s="170" t="s">
        <v>931</v>
      </c>
    </row>
    <row r="147" spans="1:12" ht="30" customHeight="1" x14ac:dyDescent="0.3">
      <c r="A147" s="170" t="str">
        <f>+TablaMaestra[[#This Row],[CÓDIGO DE RUTA]]</f>
        <v>R090610</v>
      </c>
      <c r="B147" s="170" t="str">
        <f>+TablaMaestra[[#This Row],[DENOMINACION DE INTERVENCION]]</f>
        <v>EMP. HV-121 (HORNADA PATA) - SAN JUAN DE OCCORO - SUYTOCANCHA - CHIRIPA</v>
      </c>
      <c r="C147" s="170" t="str">
        <f>+TablaMaestra[[#This Row],[DEPARTAMENTO]]</f>
        <v>HUANCAVELICA</v>
      </c>
      <c r="D147" s="170" t="str">
        <f>+TablaMaestra[[#This Row],[PROVINCIA]]</f>
        <v>HUAYTARA</v>
      </c>
      <c r="E147" s="170" t="str">
        <f>+TablaMaestra[[#This Row],[DISTRITO]]</f>
        <v>SAN FRANCISCO DE SANGAYAICO</v>
      </c>
      <c r="F147" s="170" t="s">
        <v>928</v>
      </c>
      <c r="G147" s="170" t="s">
        <v>964</v>
      </c>
      <c r="H147" s="170" t="s">
        <v>929</v>
      </c>
      <c r="I147" s="170" t="s">
        <v>930</v>
      </c>
      <c r="J147" s="171">
        <f ca="1">IF(ISBLANK(Ayuda!R147), 0, MIN(MAX(0, (TODAY() - Ayuda!R147) / (Ayuda!Q147 + IFERROR(Ayuda!W147, 0))), 1))</f>
        <v>0.70256410256410251</v>
      </c>
      <c r="K147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0.3835897650623506</v>
      </c>
      <c r="L147" s="170" t="s">
        <v>931</v>
      </c>
    </row>
    <row r="148" spans="1:12" ht="30" customHeight="1" x14ac:dyDescent="0.3">
      <c r="A148" s="170" t="str">
        <f>+TablaMaestra[[#This Row],[CÓDIGO DE RUTA]]</f>
        <v>R090683</v>
      </c>
      <c r="B148" s="170" t="str">
        <f>+TablaMaestra[[#This Row],[DENOMINACION DE INTERVENCION]]</f>
        <v xml:space="preserve">EMP. PE-28 A (HUAYTARA) - CCOLCCAPAMPA - QUITO ARMA </v>
      </c>
      <c r="C148" s="170" t="str">
        <f>+TablaMaestra[[#This Row],[DEPARTAMENTO]]</f>
        <v>HUANCAVELICA</v>
      </c>
      <c r="D148" s="170" t="str">
        <f>+TablaMaestra[[#This Row],[PROVINCIA]]</f>
        <v>HUAYTARA</v>
      </c>
      <c r="E148" s="170" t="str">
        <f>+TablaMaestra[[#This Row],[DISTRITO]]</f>
        <v>QUITO ARMA</v>
      </c>
      <c r="F148" s="170" t="s">
        <v>928</v>
      </c>
      <c r="G148" s="170" t="s">
        <v>964</v>
      </c>
      <c r="H148" s="170" t="s">
        <v>929</v>
      </c>
      <c r="I148" s="170" t="s">
        <v>930</v>
      </c>
      <c r="J148" s="171">
        <f ca="1">IF(ISBLANK(Ayuda!R148), 0, MIN(MAX(0, (TODAY() - Ayuda!R148) / (Ayuda!Q148 + IFERROR(Ayuda!W148, 0))), 1))</f>
        <v>0.68500000000000005</v>
      </c>
      <c r="K148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0.37400022753834539</v>
      </c>
      <c r="L148" s="170" t="s">
        <v>931</v>
      </c>
    </row>
    <row r="149" spans="1:12" ht="30" customHeight="1" x14ac:dyDescent="0.3">
      <c r="A149" s="170" t="str">
        <f>+TablaMaestra[[#This Row],[CÓDIGO DE RUTA]]</f>
        <v>R090649</v>
      </c>
      <c r="B149" s="170" t="str">
        <f>+TablaMaestra[[#This Row],[DENOMINACION DE INTERVENCION]]</f>
        <v xml:space="preserve">EMP. R090654 (SANTIAGO DE CHOCORVOS) - LUCMAYOC - AHUACHA - LAMBRACCASA - EMP. HV-1004 (SAN LUIS DE CORERAC) </v>
      </c>
      <c r="C149" s="170" t="str">
        <f>+TablaMaestra[[#This Row],[DEPARTAMENTO]]</f>
        <v>HUANCAVELICA</v>
      </c>
      <c r="D149" s="170" t="str">
        <f>+TablaMaestra[[#This Row],[PROVINCIA]]</f>
        <v>HUAYTARA</v>
      </c>
      <c r="E149" s="170" t="str">
        <f>+TablaMaestra[[#This Row],[DISTRITO]]</f>
        <v>SANTIAGO DE CHOCORVOS</v>
      </c>
      <c r="F149" s="170" t="s">
        <v>928</v>
      </c>
      <c r="G149" s="170" t="s">
        <v>964</v>
      </c>
      <c r="H149" s="170" t="s">
        <v>929</v>
      </c>
      <c r="I149" s="170" t="s">
        <v>930</v>
      </c>
      <c r="J149" s="171">
        <f ca="1">IF(ISBLANK(Ayuda!R149), 0, MIN(MAX(0, (TODAY() - Ayuda!R149) / (Ayuda!Q149 + IFERROR(Ayuda!W149, 0))), 1))</f>
        <v>0.68500000000000005</v>
      </c>
      <c r="K149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0.37400017396788116</v>
      </c>
      <c r="L149" s="170" t="s">
        <v>931</v>
      </c>
    </row>
    <row r="150" spans="1:12" ht="30" customHeight="1" x14ac:dyDescent="0.3">
      <c r="A150" s="170" t="str">
        <f>+TablaMaestra[[#This Row],[CÓDIGO DE RUTA]]</f>
        <v>HV-991</v>
      </c>
      <c r="B150" s="170" t="str">
        <f>+TablaMaestra[[#This Row],[DENOMINACION DE INTERVENCION]]</f>
        <v>EMP. PE-28A (PAMPAHUASI) (PROG. 03+000) - VISCAPALCA (PROG. 35+000)</v>
      </c>
      <c r="C150" s="170" t="str">
        <f>+TablaMaestra[[#This Row],[DEPARTAMENTO]]</f>
        <v>HUANCAVELICA</v>
      </c>
      <c r="D150" s="170" t="str">
        <f>+TablaMaestra[[#This Row],[PROVINCIA]]</f>
        <v>HUAYTARA</v>
      </c>
      <c r="E150" s="170" t="str">
        <f>+TablaMaestra[[#This Row],[DISTRITO]]</f>
        <v>PILPICHACA</v>
      </c>
      <c r="F150" s="170" t="s">
        <v>928</v>
      </c>
      <c r="G150" s="170" t="s">
        <v>964</v>
      </c>
      <c r="H150" s="170" t="s">
        <v>929</v>
      </c>
      <c r="I150" s="170" t="s">
        <v>930</v>
      </c>
      <c r="J150" s="171">
        <f ca="1">IF(ISBLANK(Ayuda!R150), 0, MIN(MAX(0, (TODAY() - Ayuda!R150) / (Ayuda!Q150 + IFERROR(Ayuda!W150, 0))), 1))</f>
        <v>0.70256410256410251</v>
      </c>
      <c r="K150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0.3835896720167481</v>
      </c>
      <c r="L150" s="170" t="s">
        <v>931</v>
      </c>
    </row>
    <row r="151" spans="1:12" ht="30" customHeight="1" x14ac:dyDescent="0.3">
      <c r="A151" s="170" t="str">
        <f>+TablaMaestra[[#This Row],[CÓDIGO DE RUTA]]</f>
        <v>HV-872</v>
      </c>
      <c r="B151" s="170" t="str">
        <f>+TablaMaestra[[#This Row],[DENOMINACION DE INTERVENCION]]</f>
        <v xml:space="preserve">EMP. PE-28 A (TACCSANAPAMPA) - CACUYA - MARAYPAMPA - LLILLINTA </v>
      </c>
      <c r="C151" s="170" t="str">
        <f>+TablaMaestra[[#This Row],[DEPARTAMENTO]]</f>
        <v>HUANCAVELICA</v>
      </c>
      <c r="D151" s="170" t="str">
        <f>+TablaMaestra[[#This Row],[PROVINCIA]]</f>
        <v>HUAYTARA</v>
      </c>
      <c r="E151" s="170" t="str">
        <f>+TablaMaestra[[#This Row],[DISTRITO]]</f>
        <v>PILPICHACA</v>
      </c>
      <c r="F151" s="170" t="s">
        <v>928</v>
      </c>
      <c r="G151" s="170" t="s">
        <v>964</v>
      </c>
      <c r="H151" s="170" t="s">
        <v>929</v>
      </c>
      <c r="I151" s="170" t="s">
        <v>930</v>
      </c>
      <c r="J151" s="171">
        <f ca="1">IF(ISBLANK(Ayuda!R151), 0, MIN(MAX(0, (TODAY() - Ayuda!R151) / (Ayuda!Q151 + IFERROR(Ayuda!W151, 0))), 1))</f>
        <v>0.6089108910891089</v>
      </c>
      <c r="K151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0.29405937052932762</v>
      </c>
      <c r="L151" s="170" t="s">
        <v>931</v>
      </c>
    </row>
    <row r="152" spans="1:12" ht="30" customHeight="1" x14ac:dyDescent="0.3">
      <c r="A152" s="170" t="str">
        <f>+TablaMaestra[[#This Row],[CÓDIGO DE RUTA]]</f>
        <v>HV-1000</v>
      </c>
      <c r="B152" s="170" t="str">
        <f>+TablaMaestra[[#This Row],[DENOMINACION DE INTERVENCION]]</f>
        <v>EMP. PE-28 A - EMP. HV-118</v>
      </c>
      <c r="C152" s="170" t="str">
        <f>+TablaMaestra[[#This Row],[DEPARTAMENTO]]</f>
        <v>HUANCAVELICA</v>
      </c>
      <c r="D152" s="170" t="str">
        <f>+TablaMaestra[[#This Row],[PROVINCIA]]</f>
        <v>HUAYTARA</v>
      </c>
      <c r="E152" s="170" t="str">
        <f>+TablaMaestra[[#This Row],[DISTRITO]]</f>
        <v>AYAVI</v>
      </c>
      <c r="F152" s="170" t="s">
        <v>928</v>
      </c>
      <c r="G152" s="170" t="s">
        <v>964</v>
      </c>
      <c r="H152" s="170" t="s">
        <v>929</v>
      </c>
      <c r="I152" s="170" t="s">
        <v>930</v>
      </c>
      <c r="J152" s="171">
        <f ca="1">IF(ISBLANK(Ayuda!R152), 0, MIN(MAX(0, (TODAY() - Ayuda!R152) / (Ayuda!Q152 + IFERROR(Ayuda!W152, 0))), 1))</f>
        <v>0.70256410256410251</v>
      </c>
      <c r="K152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0.38358980261264886</v>
      </c>
      <c r="L152" s="170" t="s">
        <v>931</v>
      </c>
    </row>
    <row r="153" spans="1:12" ht="30" customHeight="1" x14ac:dyDescent="0.3">
      <c r="A153" s="170" t="str">
        <f>+TablaMaestra[[#This Row],[CÓDIGO DE RUTA]]</f>
        <v>R090625</v>
      </c>
      <c r="B153" s="170" t="str">
        <f>+TablaMaestra[[#This Row],[DENOMINACION DE INTERVENCION]]</f>
        <v>EMP. HV-121 (AYAMA) - VILLA EL SALVADOR - CCARAIMARCA</v>
      </c>
      <c r="C153" s="170" t="str">
        <f>+TablaMaestra[[#This Row],[DEPARTAMENTO]]</f>
        <v>HUANCAVELICA</v>
      </c>
      <c r="D153" s="170" t="str">
        <f>+TablaMaestra[[#This Row],[PROVINCIA]]</f>
        <v>HUAYTARA</v>
      </c>
      <c r="E153" s="170" t="str">
        <f>+TablaMaestra[[#This Row],[DISTRITO]]</f>
        <v>SANTIAGO DE QUIRAHUARA</v>
      </c>
      <c r="F153" s="170" t="s">
        <v>928</v>
      </c>
      <c r="G153" s="170" t="s">
        <v>964</v>
      </c>
      <c r="H153" s="170" t="s">
        <v>929</v>
      </c>
      <c r="I153" s="170" t="s">
        <v>930</v>
      </c>
      <c r="J153" s="171">
        <f ca="1">IF(ISBLANK(Ayuda!R153), 0, MIN(MAX(0, (TODAY() - Ayuda!R153) / (Ayuda!Q153 + IFERROR(Ayuda!W153, 0))), 1))</f>
        <v>0.68500000000000005</v>
      </c>
      <c r="K153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0.37400002228114343</v>
      </c>
      <c r="L153" s="170" t="s">
        <v>931</v>
      </c>
    </row>
    <row r="154" spans="1:12" ht="30" customHeight="1" x14ac:dyDescent="0.3">
      <c r="A154" s="170" t="str">
        <f>+TablaMaestra[[#This Row],[CÓDIGO DE RUTA]]</f>
        <v>HV-607</v>
      </c>
      <c r="B154" s="170" t="str">
        <f>+TablaMaestra[[#This Row],[DENOMINACION DE INTERVENCION]]</f>
        <v>VIÑAS (KM 03+264) - CASAY - PUCAERA - PE-3S (MANTACRA)</v>
      </c>
      <c r="C154" s="170" t="str">
        <f>+TablaMaestra[[#This Row],[DEPARTAMENTO]]</f>
        <v>HUANCAVELICA</v>
      </c>
      <c r="D154" s="170" t="str">
        <f>+TablaMaestra[[#This Row],[PROVINCIA]]</f>
        <v>TAYACAJA</v>
      </c>
      <c r="E154" s="170" t="str">
        <f>+TablaMaestra[[#This Row],[DISTRITO]]</f>
        <v>DANIEL HERNANDEZ Y PAMPAS</v>
      </c>
      <c r="F154" s="170" t="s">
        <v>928</v>
      </c>
      <c r="G154" s="170" t="s">
        <v>964</v>
      </c>
      <c r="H154" s="170" t="s">
        <v>929</v>
      </c>
      <c r="I154" s="170" t="s">
        <v>930</v>
      </c>
      <c r="J154" s="171">
        <f ca="1">IF(ISBLANK(Ayuda!R154), 0, MIN(MAX(0, (TODAY() - Ayuda!R154) / (Ayuda!Q154 + IFERROR(Ayuda!W154, 0))), 1))</f>
        <v>0.79583333333333328</v>
      </c>
      <c r="K154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0.70124992520160356</v>
      </c>
      <c r="L154" s="170" t="s">
        <v>931</v>
      </c>
    </row>
    <row r="155" spans="1:12" ht="30" customHeight="1" x14ac:dyDescent="0.3">
      <c r="A155" s="170" t="str">
        <f>+TablaMaestra[[#This Row],[CÓDIGO DE RUTA]]</f>
        <v>HV-585</v>
      </c>
      <c r="B155" s="170" t="str">
        <f>+TablaMaestra[[#This Row],[DENOMINACION DE INTERVENCION]]</f>
        <v>ACOSTAMBO (KM 00+280) - SANTA CRUZ - LAUSA CHICO - ACRAQUIA</v>
      </c>
      <c r="C155" s="170" t="str">
        <f>+TablaMaestra[[#This Row],[DEPARTAMENTO]]</f>
        <v>HUANCAVELICA</v>
      </c>
      <c r="D155" s="170" t="str">
        <f>+TablaMaestra[[#This Row],[PROVINCIA]]</f>
        <v>TAYACAJA</v>
      </c>
      <c r="E155" s="170" t="str">
        <f>+TablaMaestra[[#This Row],[DISTRITO]]</f>
        <v>ACOSTAMBO Y ACRAQUIA</v>
      </c>
      <c r="F155" s="170" t="s">
        <v>928</v>
      </c>
      <c r="G155" s="170" t="s">
        <v>964</v>
      </c>
      <c r="H155" s="170" t="s">
        <v>929</v>
      </c>
      <c r="I155" s="170" t="s">
        <v>930</v>
      </c>
      <c r="J155" s="171">
        <f ca="1">IF(ISBLANK(Ayuda!R155), 0, MIN(MAX(0, (TODAY() - Ayuda!R155) / (Ayuda!Q155 + IFERROR(Ayuda!W155, 0))), 1))</f>
        <v>0.35053763440860214</v>
      </c>
      <c r="K155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0.57291443735617664</v>
      </c>
      <c r="L155" s="170" t="s">
        <v>931</v>
      </c>
    </row>
    <row r="156" spans="1:12" ht="30" customHeight="1" x14ac:dyDescent="0.3">
      <c r="A156" s="170" t="str">
        <f>+TablaMaestra[[#This Row],[CÓDIGO DE RUTA]]</f>
        <v>HV-501</v>
      </c>
      <c r="B156" s="170" t="str">
        <f>+TablaMaestra[[#This Row],[DENOMINACION DE INTERVENCION]]</f>
        <v>EMP. HV-109 (DV. SAN ISIDRO DE ACOMBAMBA) - SAN FRANCISCO DE PACCHA - SAN MARCOS DE ROCCHAC (KM 16+530), SAN MARCOS DE ROCCHAC (KM 16+800) - PACHAS - PALCA YACU - ALLPACORRAL - MONTECOLPA (KM 28+600), MONTECOLPA (KM 28+694) - CHACAPAMPA - LA UNION CHILCHE</v>
      </c>
      <c r="C156" s="170" t="str">
        <f>+TablaMaestra[[#This Row],[DEPARTAMENTO]]</f>
        <v>HUANCAVELICA</v>
      </c>
      <c r="D156" s="170" t="str">
        <f>+TablaMaestra[[#This Row],[PROVINCIA]]</f>
        <v>TAYACAJA</v>
      </c>
      <c r="E156" s="170" t="str">
        <f>+TablaMaestra[[#This Row],[DISTRITO]]</f>
        <v>SAN MARCOS DE ROCCHAC</v>
      </c>
      <c r="F156" s="170" t="s">
        <v>928</v>
      </c>
      <c r="G156" s="170" t="s">
        <v>964</v>
      </c>
      <c r="H156" s="170" t="s">
        <v>929</v>
      </c>
      <c r="I156" s="170" t="s">
        <v>930</v>
      </c>
      <c r="J156" s="171">
        <f ca="1">IF(ISBLANK(Ayuda!R156), 0, MIN(MAX(0, (TODAY() - Ayuda!R156) / (Ayuda!Q156 + IFERROR(Ayuda!W156, 0))), 1))</f>
        <v>0.77500000000000002</v>
      </c>
      <c r="K156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0.67833334447512161</v>
      </c>
      <c r="L156" s="170" t="s">
        <v>931</v>
      </c>
    </row>
    <row r="157" spans="1:12" ht="30" customHeight="1" x14ac:dyDescent="0.3">
      <c r="A157" s="170" t="str">
        <f>+TablaMaestra[[#This Row],[CÓDIGO DE RUTA]]</f>
        <v>R090798</v>
      </c>
      <c r="B157" s="170" t="str">
        <f>+TablaMaestra[[#This Row],[DENOMINACION DE INTERVENCION]]</f>
        <v>EMP. HV-518 (SAN ISIDRO) - CEDROPAMPA - ROBLE -RÍO HIMAYBAMBA.</v>
      </c>
      <c r="C157" s="170" t="str">
        <f>+TablaMaestra[[#This Row],[DEPARTAMENTO]]</f>
        <v>HUANCAVELICA</v>
      </c>
      <c r="D157" s="170" t="str">
        <f>+TablaMaestra[[#This Row],[PROVINCIA]]</f>
        <v>TAYACAJA</v>
      </c>
      <c r="E157" s="170" t="str">
        <f>+TablaMaestra[[#This Row],[DISTRITO]]</f>
        <v>ROBLE</v>
      </c>
      <c r="F157" s="170" t="s">
        <v>928</v>
      </c>
      <c r="G157" s="170" t="s">
        <v>964</v>
      </c>
      <c r="H157" s="170" t="s">
        <v>929</v>
      </c>
      <c r="I157" s="170" t="s">
        <v>930</v>
      </c>
      <c r="J157" s="171">
        <f ca="1">IF(ISBLANK(Ayuda!R157), 0, MIN(MAX(0, (TODAY() - Ayuda!R157) / (Ayuda!Q157 + IFERROR(Ayuda!W157, 0))), 1))</f>
        <v>0.79583333333333328</v>
      </c>
      <c r="K157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0.70125004919340694</v>
      </c>
      <c r="L157" s="170" t="s">
        <v>931</v>
      </c>
    </row>
    <row r="158" spans="1:12" ht="30" customHeight="1" x14ac:dyDescent="0.3">
      <c r="A158" s="170" t="str">
        <f>+TablaMaestra[[#This Row],[CÓDIGO DE RUTA]]</f>
        <v>HV-561</v>
      </c>
      <c r="B158" s="170" t="str">
        <f>+TablaMaestra[[#This Row],[DENOMINACION DE INTERVENCION]]</f>
        <v>EMP. HV-124 (SANTA CRUZ DE ILACHURAMPI) - CARAMPA - PICHUS</v>
      </c>
      <c r="C158" s="170" t="str">
        <f>+TablaMaestra[[#This Row],[DEPARTAMENTO]]</f>
        <v>HUANCAVELICA</v>
      </c>
      <c r="D158" s="170" t="str">
        <f>+TablaMaestra[[#This Row],[PROVINCIA]]</f>
        <v>TAYACAJA</v>
      </c>
      <c r="E158" s="170" t="str">
        <f>+TablaMaestra[[#This Row],[DISTRITO]]</f>
        <v>PAZOS Y PICHOS</v>
      </c>
      <c r="F158" s="170" t="s">
        <v>928</v>
      </c>
      <c r="G158" s="170" t="s">
        <v>964</v>
      </c>
      <c r="H158" s="170" t="s">
        <v>929</v>
      </c>
      <c r="I158" s="170" t="s">
        <v>930</v>
      </c>
      <c r="J158" s="171">
        <f ca="1">IF(ISBLANK(Ayuda!R158), 0, MIN(MAX(0, (TODAY() - Ayuda!R158) / (Ayuda!Q158 + IFERROR(Ayuda!W158, 0))), 1))</f>
        <v>0.79583333333333328</v>
      </c>
      <c r="K158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0.70124983302757582</v>
      </c>
      <c r="L158" s="170" t="s">
        <v>931</v>
      </c>
    </row>
    <row r="159" spans="1:12" ht="30" customHeight="1" x14ac:dyDescent="0.3">
      <c r="A159" s="170" t="str">
        <f>+TablaMaestra[[#This Row],[CÓDIGO DE RUTA]]</f>
        <v>HV-588</v>
      </c>
      <c r="B159" s="170" t="str">
        <f>+TablaMaestra[[#This Row],[DENOMINACION DE INTERVENCION]]</f>
        <v>VILLA REAL (KM 01+850) - CHILCAPATA - QUINTAOCCO - CHUCUNA - EMP. HV-585 (SANTA CRUZ)</v>
      </c>
      <c r="C159" s="170" t="str">
        <f>+TablaMaestra[[#This Row],[DEPARTAMENTO]]</f>
        <v>HUANCAVELICA</v>
      </c>
      <c r="D159" s="170" t="str">
        <f>+TablaMaestra[[#This Row],[PROVINCIA]]</f>
        <v>TAYACAJA</v>
      </c>
      <c r="E159" s="170" t="str">
        <f>+TablaMaestra[[#This Row],[DISTRITO]]</f>
        <v>ACOSTAMBO</v>
      </c>
      <c r="F159" s="170" t="s">
        <v>928</v>
      </c>
      <c r="G159" s="170" t="s">
        <v>964</v>
      </c>
      <c r="H159" s="170" t="s">
        <v>929</v>
      </c>
      <c r="I159" s="170" t="s">
        <v>930</v>
      </c>
      <c r="J159" s="171">
        <f ca="1">IF(ISBLANK(Ayuda!R159), 0, MIN(MAX(0, (TODAY() - Ayuda!R159) / (Ayuda!Q159 + IFERROR(Ayuda!W159, 0))), 1))</f>
        <v>0.79583333333333328</v>
      </c>
      <c r="K159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0.70124988599927141</v>
      </c>
      <c r="L159" s="170" t="s">
        <v>931</v>
      </c>
    </row>
    <row r="160" spans="1:12" ht="30" customHeight="1" x14ac:dyDescent="0.3">
      <c r="A160" s="170" t="str">
        <f>+TablaMaestra[[#This Row],[CÓDIGO DE RUTA]]</f>
        <v>HV-550</v>
      </c>
      <c r="B160" s="170" t="str">
        <f>+TablaMaestra[[#This Row],[DENOMINACION DE INTERVENCION]]</f>
        <v>MULLCA (KM 00+105) - TONGOS (KM 04+565), TONGOS (KM 04+638) - HUARIBAMBA</v>
      </c>
      <c r="C160" s="170" t="str">
        <f>+TablaMaestra[[#This Row],[DEPARTAMENTO]]</f>
        <v>HUANCAVELICA</v>
      </c>
      <c r="D160" s="170" t="str">
        <f>+TablaMaestra[[#This Row],[PROVINCIA]]</f>
        <v>TAYACAJA</v>
      </c>
      <c r="E160" s="170" t="str">
        <f>+TablaMaestra[[#This Row],[DISTRITO]]</f>
        <v>PAZOS Y HUARIBAMBA</v>
      </c>
      <c r="F160" s="170" t="s">
        <v>928</v>
      </c>
      <c r="G160" s="170" t="s">
        <v>964</v>
      </c>
      <c r="H160" s="170" t="s">
        <v>929</v>
      </c>
      <c r="I160" s="170" t="s">
        <v>930</v>
      </c>
      <c r="J160" s="171">
        <f ca="1">IF(ISBLANK(Ayuda!R160), 0, MIN(MAX(0, (TODAY() - Ayuda!R160) / (Ayuda!Q160 + IFERROR(Ayuda!W160, 0))), 1))</f>
        <v>0.79583333333333328</v>
      </c>
      <c r="K160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0.70124975821621427</v>
      </c>
      <c r="L160" s="170" t="s">
        <v>931</v>
      </c>
    </row>
    <row r="161" spans="1:12" ht="30" customHeight="1" x14ac:dyDescent="0.3">
      <c r="A161" s="170" t="str">
        <f>+TablaMaestra[[#This Row],[CÓDIGO DE RUTA]]</f>
        <v>R0907036</v>
      </c>
      <c r="B161" s="170" t="str">
        <f>+TablaMaestra[[#This Row],[DENOMINACION DE INTERVENCION]]</f>
        <v>EMP. HV-101 (CHIQUIAC) – FUNDO AYHUINCA –SACHACOTO (KM 18+480).</v>
      </c>
      <c r="C161" s="170" t="str">
        <f>+TablaMaestra[[#This Row],[DEPARTAMENTO]]</f>
        <v>HUANCAVELICA</v>
      </c>
      <c r="D161" s="170" t="str">
        <f>+TablaMaestra[[#This Row],[PROVINCIA]]</f>
        <v>TAYACAJA</v>
      </c>
      <c r="E161" s="170" t="str">
        <f>+TablaMaestra[[#This Row],[DISTRITO]]</f>
        <v>SURCUBAMBA</v>
      </c>
      <c r="F161" s="170" t="s">
        <v>928</v>
      </c>
      <c r="G161" s="170" t="s">
        <v>964</v>
      </c>
      <c r="H161" s="170" t="s">
        <v>929</v>
      </c>
      <c r="I161" s="170" t="s">
        <v>930</v>
      </c>
      <c r="J161" s="171">
        <f ca="1">IF(ISBLANK(Ayuda!R161), 0, MIN(MAX(0, (TODAY() - Ayuda!R161) / (Ayuda!Q161 + IFERROR(Ayuda!W161, 0))), 1))</f>
        <v>0.79583333333333328</v>
      </c>
      <c r="K161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0.70124975821889024</v>
      </c>
      <c r="L161" s="170" t="s">
        <v>931</v>
      </c>
    </row>
    <row r="162" spans="1:12" ht="30" customHeight="1" x14ac:dyDescent="0.3">
      <c r="A162" s="170" t="str">
        <f>+TablaMaestra[[#This Row],[CÓDIGO DE RUTA]]</f>
        <v>HV-520</v>
      </c>
      <c r="B162" s="170" t="str">
        <f>+TablaMaestra[[#This Row],[DENOMINACION DE INTERVENCION]]</f>
        <v>EMP. HV-101 (DV. TINTAY PUNCU - SUNE) - SUNE</v>
      </c>
      <c r="C162" s="170" t="str">
        <f>+TablaMaestra[[#This Row],[DEPARTAMENTO]]</f>
        <v>HUANCAVELICA</v>
      </c>
      <c r="D162" s="170" t="str">
        <f>+TablaMaestra[[#This Row],[PROVINCIA]]</f>
        <v>TAYACAJA</v>
      </c>
      <c r="E162" s="170" t="str">
        <f>+TablaMaestra[[#This Row],[DISTRITO]]</f>
        <v>TINTAY PUNCU Y COCHABAMBA</v>
      </c>
      <c r="F162" s="170" t="s">
        <v>928</v>
      </c>
      <c r="G162" s="170" t="s">
        <v>964</v>
      </c>
      <c r="H162" s="170" t="s">
        <v>929</v>
      </c>
      <c r="I162" s="170" t="s">
        <v>930</v>
      </c>
      <c r="J162" s="171">
        <f ca="1">IF(ISBLANK(Ayuda!R162), 0, MIN(MAX(0, (TODAY() - Ayuda!R162) / (Ayuda!Q162 + IFERROR(Ayuda!W162, 0))), 1))</f>
        <v>0.77083333333333337</v>
      </c>
      <c r="K162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0.67374966942026571</v>
      </c>
      <c r="L162" s="170" t="s">
        <v>931</v>
      </c>
    </row>
    <row r="163" spans="1:12" ht="30" customHeight="1" x14ac:dyDescent="0.3">
      <c r="A163" s="170" t="str">
        <f>+TablaMaestra[[#This Row],[CÓDIGO DE RUTA]]</f>
        <v>HV-525</v>
      </c>
      <c r="B163" s="170" t="str">
        <f>+TablaMaestra[[#This Row],[DENOMINACION DE INTERVENCION]]</f>
        <v>EMP. HV-101 (SALCAHUASI) - CCARCCANCHA - URPAY - VERDE PATA - HUACCAYRUMI - CHUYA PATA - LAMBRAS PATA - PALMA PAMPA - MUCHCA</v>
      </c>
      <c r="C163" s="170" t="str">
        <f>+TablaMaestra[[#This Row],[DEPARTAMENTO]]</f>
        <v>HUANCAVELICA</v>
      </c>
      <c r="D163" s="170" t="str">
        <f>+TablaMaestra[[#This Row],[PROVINCIA]]</f>
        <v>TAYACAJA</v>
      </c>
      <c r="E163" s="170" t="str">
        <f>+TablaMaestra[[#This Row],[DISTRITO]]</f>
        <v>SALCAHUASI</v>
      </c>
      <c r="F163" s="170" t="s">
        <v>928</v>
      </c>
      <c r="G163" s="170" t="s">
        <v>964</v>
      </c>
      <c r="H163" s="170" t="s">
        <v>929</v>
      </c>
      <c r="I163" s="170" t="s">
        <v>930</v>
      </c>
      <c r="J163" s="171">
        <f ca="1">IF(ISBLANK(Ayuda!R163), 0, MIN(MAX(0, (TODAY() - Ayuda!R163) / (Ayuda!Q163 + IFERROR(Ayuda!W163, 0))), 1))</f>
        <v>0.78600823045267487</v>
      </c>
      <c r="K163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0.69259251451396764</v>
      </c>
      <c r="L163" s="170" t="s">
        <v>931</v>
      </c>
    </row>
    <row r="164" spans="1:12" ht="30" customHeight="1" x14ac:dyDescent="0.3">
      <c r="A164" s="170" t="str">
        <f>+TablaMaestra[[#This Row],[CÓDIGO DE RUTA]]</f>
        <v>HV-626</v>
      </c>
      <c r="B164" s="170" t="str">
        <f>+TablaMaestra[[#This Row],[DENOMINACION DE INTERVENCION]]</f>
        <v>EMP. PE-3S (TABLACHACA) - AHUAYCHA CASAY - OCOBAMBA YANAJAJA - EMP. HV-625 (DV. OCOBAMBA CASAY)</v>
      </c>
      <c r="C164" s="170" t="str">
        <f>+TablaMaestra[[#This Row],[DEPARTAMENTO]]</f>
        <v>HUANCAVELICA</v>
      </c>
      <c r="D164" s="170" t="str">
        <f>+TablaMaestra[[#This Row],[PROVINCIA]]</f>
        <v>TAYACAJA</v>
      </c>
      <c r="E164" s="170" t="str">
        <f>+TablaMaestra[[#This Row],[DISTRITO]]</f>
        <v>PAMPAS</v>
      </c>
      <c r="F164" s="170" t="s">
        <v>928</v>
      </c>
      <c r="G164" s="170" t="s">
        <v>964</v>
      </c>
      <c r="H164" s="170" t="s">
        <v>929</v>
      </c>
      <c r="I164" s="170" t="s">
        <v>930</v>
      </c>
      <c r="J164" s="171">
        <f ca="1">IF(ISBLANK(Ayuda!R164), 0, MIN(MAX(0, (TODAY() - Ayuda!R164) / (Ayuda!Q164 + IFERROR(Ayuda!W164, 0))), 1))</f>
        <v>0.79583333333333328</v>
      </c>
      <c r="K164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0.7012496648589277</v>
      </c>
      <c r="L164" s="170" t="s">
        <v>931</v>
      </c>
    </row>
    <row r="165" spans="1:12" ht="30" customHeight="1" x14ac:dyDescent="0.3">
      <c r="A165" s="170" t="str">
        <f>+TablaMaestra[[#This Row],[CÓDIGO DE RUTA]]</f>
        <v>HV-633</v>
      </c>
      <c r="B165" s="170" t="str">
        <f>+TablaMaestra[[#This Row],[DENOMINACION DE INTERVENCION]]</f>
        <v>DV. HV-636 (KM 21+120) - ACCOYANCA - BUENOS AIRES - EMP. HV-632 (AYAIPAMPA)</v>
      </c>
      <c r="C165" s="170" t="str">
        <f>+TablaMaestra[[#This Row],[DEPARTAMENTO]]</f>
        <v>HUANCAVELICA</v>
      </c>
      <c r="D165" s="170" t="str">
        <f>+TablaMaestra[[#This Row],[PROVINCIA]]</f>
        <v>TAYACAJA</v>
      </c>
      <c r="E165" s="170" t="str">
        <f>+TablaMaestra[[#This Row],[DISTRITO]]</f>
        <v>QICHUAS Y COLCABAMBA</v>
      </c>
      <c r="F165" s="170" t="s">
        <v>928</v>
      </c>
      <c r="G165" s="170" t="s">
        <v>964</v>
      </c>
      <c r="H165" s="170" t="s">
        <v>929</v>
      </c>
      <c r="I165" s="170" t="s">
        <v>930</v>
      </c>
      <c r="J165" s="171">
        <f ca="1">IF(ISBLANK(Ayuda!R165), 0, MIN(MAX(0, (TODAY() - Ayuda!R165) / (Ayuda!Q165 + IFERROR(Ayuda!W165, 0))), 1))</f>
        <v>0.76666666666666672</v>
      </c>
      <c r="K165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0.66916641414474121</v>
      </c>
      <c r="L165" s="170" t="s">
        <v>931</v>
      </c>
    </row>
    <row r="166" spans="1:12" ht="30" customHeight="1" x14ac:dyDescent="0.3">
      <c r="A166" s="170" t="str">
        <f>+TablaMaestra[[#This Row],[CÓDIGO DE RUTA]]</f>
        <v>HV-506</v>
      </c>
      <c r="B166" s="170" t="str">
        <f>+TablaMaestra[[#This Row],[DENOMINACION DE INTERVENCION]]</f>
        <v>EMP. HV-109 (MANCHAY)-YACUHUANAY - PILATA - LOMA PATA - SAN JUAN DE YANAYACU - CEDROPAMPA</v>
      </c>
      <c r="C166" s="170" t="str">
        <f>+TablaMaestra[[#This Row],[DEPARTAMENTO]]</f>
        <v>HUANCAVELICA</v>
      </c>
      <c r="D166" s="170" t="str">
        <f>+TablaMaestra[[#This Row],[PROVINCIA]]</f>
        <v>TAYACAJA</v>
      </c>
      <c r="E166" s="170" t="str">
        <f>+TablaMaestra[[#This Row],[DISTRITO]]</f>
        <v>SALCABAMBA</v>
      </c>
      <c r="F166" s="170" t="s">
        <v>928</v>
      </c>
      <c r="G166" s="170" t="s">
        <v>964</v>
      </c>
      <c r="H166" s="170" t="s">
        <v>929</v>
      </c>
      <c r="I166" s="170" t="s">
        <v>930</v>
      </c>
      <c r="J166" s="171">
        <f ca="1">IF(ISBLANK(Ayuda!R166), 0, MIN(MAX(0, (TODAY() - Ayuda!R166) / (Ayuda!Q166 + IFERROR(Ayuda!W166, 0))), 1))</f>
        <v>0.79583333333333328</v>
      </c>
      <c r="K166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0.7012496132596685</v>
      </c>
      <c r="L166" s="170" t="s">
        <v>931</v>
      </c>
    </row>
    <row r="167" spans="1:12" ht="30" customHeight="1" x14ac:dyDescent="0.3">
      <c r="A167" s="170" t="str">
        <f>+TablaMaestra[[#This Row],[CÓDIGO DE RUTA]]</f>
        <v>HV-632</v>
      </c>
      <c r="B167" s="170" t="str">
        <f>+TablaMaestra[[#This Row],[DENOMINACION DE INTERVENCION]]</f>
        <v>EMP. PE-3S D (PASO DANUBIO) - AYAIPAMPA (KM 12+500)</v>
      </c>
      <c r="C167" s="170" t="str">
        <f>+TablaMaestra[[#This Row],[DEPARTAMENTO]]</f>
        <v>HUANCAVELICA</v>
      </c>
      <c r="D167" s="170" t="str">
        <f>+TablaMaestra[[#This Row],[PROVINCIA]]</f>
        <v>TAYACAJA</v>
      </c>
      <c r="E167" s="170" t="str">
        <f>+TablaMaestra[[#This Row],[DISTRITO]]</f>
        <v>QICHUAS Y COLCABAMBA</v>
      </c>
      <c r="F167" s="170" t="s">
        <v>928</v>
      </c>
      <c r="G167" s="170" t="s">
        <v>964</v>
      </c>
      <c r="H167" s="170" t="s">
        <v>929</v>
      </c>
      <c r="I167" s="170" t="s">
        <v>930</v>
      </c>
      <c r="J167" s="171">
        <f ca="1">IF(ISBLANK(Ayuda!R167), 0, MIN(MAX(0, (TODAY() - Ayuda!R167) / (Ayuda!Q167 + IFERROR(Ayuda!W167, 0))), 1))</f>
        <v>0.77642276422764223</v>
      </c>
      <c r="K167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0.68414622035991945</v>
      </c>
      <c r="L167" s="170" t="s">
        <v>931</v>
      </c>
    </row>
    <row r="168" spans="1:12" ht="30" customHeight="1" x14ac:dyDescent="0.3">
      <c r="A168" s="170" t="str">
        <f>+TablaMaestra[[#This Row],[CÓDIGO DE RUTA]]</f>
        <v>HV-638</v>
      </c>
      <c r="B168" s="170" t="str">
        <f>+TablaMaestra[[#This Row],[DENOMINACION DE INTERVENCION]]</f>
        <v>EMP. PE-3S (SANTA ROSA DE MALLMA BAJA) - SANTA ROSA DE MALLMA ALTA - SAN ANDRÉS - DV. HV-639 (KM 11+719)</v>
      </c>
      <c r="C168" s="170" t="str">
        <f>+TablaMaestra[[#This Row],[DEPARTAMENTO]]</f>
        <v>HUANCAVELICA</v>
      </c>
      <c r="D168" s="170" t="str">
        <f>+TablaMaestra[[#This Row],[PROVINCIA]]</f>
        <v>TAYACAJA</v>
      </c>
      <c r="E168" s="170" t="str">
        <f>+TablaMaestra[[#This Row],[DISTRITO]]</f>
        <v>QUICHUAS</v>
      </c>
      <c r="F168" s="170" t="s">
        <v>928</v>
      </c>
      <c r="G168" s="170" t="s">
        <v>964</v>
      </c>
      <c r="H168" s="170" t="s">
        <v>929</v>
      </c>
      <c r="I168" s="170" t="s">
        <v>930</v>
      </c>
      <c r="J168" s="171">
        <f ca="1">IF(ISBLANK(Ayuda!R168), 0, MIN(MAX(0, (TODAY() - Ayuda!R168) / (Ayuda!Q168 + IFERROR(Ayuda!W168, 0))), 1))</f>
        <v>0.77642276422764223</v>
      </c>
      <c r="K168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0.6841461176884599</v>
      </c>
      <c r="L168" s="170" t="s">
        <v>931</v>
      </c>
    </row>
    <row r="169" spans="1:12" ht="30" customHeight="1" x14ac:dyDescent="0.3">
      <c r="A169" s="170" t="str">
        <f>+TablaMaestra[[#This Row],[CÓDIGO DE RUTA]]</f>
        <v>HV-552</v>
      </c>
      <c r="B169" s="170" t="str">
        <f>+TablaMaestra[[#This Row],[DENOMINACION DE INTERVENCION]]</f>
        <v>RAYAN PATA (KM 00+215) - CATAC - EMP. PE-3S D</v>
      </c>
      <c r="C169" s="170" t="str">
        <f>+TablaMaestra[[#This Row],[DEPARTAMENTO]]</f>
        <v>HUANCAVELICA</v>
      </c>
      <c r="D169" s="170" t="str">
        <f>+TablaMaestra[[#This Row],[PROVINCIA]]</f>
        <v>TAYACAJA</v>
      </c>
      <c r="E169" s="170" t="str">
        <f>+TablaMaestra[[#This Row],[DISTRITO]]</f>
        <v>AHUAYCHA</v>
      </c>
      <c r="F169" s="170" t="s">
        <v>928</v>
      </c>
      <c r="G169" s="170" t="s">
        <v>964</v>
      </c>
      <c r="H169" s="170" t="s">
        <v>929</v>
      </c>
      <c r="I169" s="170" t="s">
        <v>930</v>
      </c>
      <c r="J169" s="171">
        <f ca="1">IF(ISBLANK(Ayuda!R169), 0, MIN(MAX(0, (TODAY() - Ayuda!R169) / (Ayuda!Q169 + IFERROR(Ayuda!W169, 0))), 1))</f>
        <v>0.79583333333333328</v>
      </c>
      <c r="K169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0.70124958782653291</v>
      </c>
      <c r="L169" s="170" t="s">
        <v>931</v>
      </c>
    </row>
    <row r="170" spans="1:12" ht="30" customHeight="1" x14ac:dyDescent="0.3">
      <c r="A170" s="170" t="str">
        <f>+TablaMaestra[[#This Row],[CÓDIGO DE RUTA]]</f>
        <v>HV-569</v>
      </c>
      <c r="B170" s="170" t="str">
        <f>+TablaMaestra[[#This Row],[DENOMINACION DE INTERVENCION]]</f>
        <v>EMP. HV-568 - ACOCRA (KM 10+936)</v>
      </c>
      <c r="C170" s="170" t="str">
        <f>+TablaMaestra[[#This Row],[DEPARTAMENTO]]</f>
        <v>HUANCAVELICA</v>
      </c>
      <c r="D170" s="170" t="str">
        <f>+TablaMaestra[[#This Row],[PROVINCIA]]</f>
        <v>TAYACAJA</v>
      </c>
      <c r="E170" s="170" t="str">
        <f>+TablaMaestra[[#This Row],[DISTRITO]]</f>
        <v>PAZOS</v>
      </c>
      <c r="F170" s="170" t="s">
        <v>928</v>
      </c>
      <c r="G170" s="170" t="s">
        <v>964</v>
      </c>
      <c r="H170" s="170" t="s">
        <v>929</v>
      </c>
      <c r="I170" s="170" t="s">
        <v>930</v>
      </c>
      <c r="J170" s="171">
        <f ca="1">IF(ISBLANK(Ayuda!R170), 0, MIN(MAX(0, (TODAY() - Ayuda!R170) / (Ayuda!Q170 + IFERROR(Ayuda!W170, 0))), 1))</f>
        <v>0.76706827309236947</v>
      </c>
      <c r="K170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0.67590310164634493</v>
      </c>
      <c r="L170" s="170" t="s">
        <v>931</v>
      </c>
    </row>
    <row r="171" spans="1:12" ht="30" customHeight="1" x14ac:dyDescent="0.3">
      <c r="A171" s="170" t="str">
        <f>+TablaMaestra[[#This Row],[CÓDIGO DE RUTA]]</f>
        <v>HV-598</v>
      </c>
      <c r="B171" s="170" t="str">
        <f>+TablaMaestra[[#This Row],[DENOMINACION DE INTERVENCION]]</f>
        <v>EMP. HV- 585 (YURACASA) - COLIS - PUSQUI - PICHCA</v>
      </c>
      <c r="C171" s="170" t="str">
        <f>+TablaMaestra[[#This Row],[DEPARTAMENTO]]</f>
        <v>HUANCAVELICA</v>
      </c>
      <c r="D171" s="170" t="str">
        <f>+TablaMaestra[[#This Row],[PROVINCIA]]</f>
        <v>TAYACAJA</v>
      </c>
      <c r="E171" s="170" t="str">
        <f>+TablaMaestra[[#This Row],[DISTRITO]]</f>
        <v>ACRAQUIA</v>
      </c>
      <c r="F171" s="170" t="s">
        <v>928</v>
      </c>
      <c r="G171" s="170" t="s">
        <v>964</v>
      </c>
      <c r="H171" s="170" t="s">
        <v>929</v>
      </c>
      <c r="I171" s="170" t="s">
        <v>930</v>
      </c>
      <c r="J171" s="171">
        <f ca="1">IF(ISBLANK(Ayuda!R171), 0, MIN(MAX(0, (TODAY() - Ayuda!R171) / (Ayuda!Q171 + IFERROR(Ayuda!W171, 0))), 1))</f>
        <v>0.76706827309236947</v>
      </c>
      <c r="K171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0.67590308021198486</v>
      </c>
      <c r="L171" s="170" t="s">
        <v>931</v>
      </c>
    </row>
    <row r="172" spans="1:12" ht="30" customHeight="1" x14ac:dyDescent="0.3">
      <c r="A172" s="170" t="str">
        <f>+TablaMaestra[[#This Row],[CÓDIGO DE RUTA]]</f>
        <v>HV-509</v>
      </c>
      <c r="B172" s="170" t="str">
        <f>+TablaMaestra[[#This Row],[DENOMINACION DE INTERVENCION]]</f>
        <v>EMP. HV-123 (CASA BLANCA) - ICHUCUCHU - PUYTOC - EMP. HV-123 (DV. SANTA MARÍA)</v>
      </c>
      <c r="C172" s="170" t="str">
        <f>+TablaMaestra[[#This Row],[DEPARTAMENTO]]</f>
        <v>HUANCAVELICA</v>
      </c>
      <c r="D172" s="170" t="str">
        <f>+TablaMaestra[[#This Row],[PROVINCIA]]</f>
        <v>TAYACAJA</v>
      </c>
      <c r="E172" s="170" t="str">
        <f>+TablaMaestra[[#This Row],[DISTRITO]]</f>
        <v>HUACHOCOLPA Y LAMBRAS</v>
      </c>
      <c r="F172" s="170" t="s">
        <v>928</v>
      </c>
      <c r="G172" s="170" t="s">
        <v>964</v>
      </c>
      <c r="H172" s="170" t="s">
        <v>929</v>
      </c>
      <c r="I172" s="170" t="s">
        <v>930</v>
      </c>
      <c r="J172" s="171">
        <f ca="1">IF(ISBLANK(Ayuda!R172), 0, MIN(MAX(0, (TODAY() - Ayuda!R172) / (Ayuda!Q172 + IFERROR(Ayuda!W172, 0))), 1))</f>
        <v>0.77642276422764223</v>
      </c>
      <c r="K172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0.68414615103602505</v>
      </c>
      <c r="L172" s="170" t="s">
        <v>931</v>
      </c>
    </row>
    <row r="173" spans="1:12" ht="30" customHeight="1" x14ac:dyDescent="0.3">
      <c r="A173" s="170" t="str">
        <f>+TablaMaestra[[#This Row],[CÓDIGO DE RUTA]]</f>
        <v>HV-571</v>
      </c>
      <c r="B173" s="170" t="str">
        <f>+TablaMaestra[[#This Row],[DENOMINACION DE INTERVENCION]]</f>
        <v>EMP. PE-3S C (TAYACCASA) - SAN JOSE DE AYMARA - QUICHPIDICAS - EMP. PE-3S C (PAZOS)</v>
      </c>
      <c r="C173" s="170" t="str">
        <f>+TablaMaestra[[#This Row],[DEPARTAMENTO]]</f>
        <v>HUANCAVELICA</v>
      </c>
      <c r="D173" s="170" t="str">
        <f>+TablaMaestra[[#This Row],[PROVINCIA]]</f>
        <v>TAYACAJA</v>
      </c>
      <c r="E173" s="170" t="str">
        <f>+TablaMaestra[[#This Row],[DISTRITO]]</f>
        <v>PAZOS</v>
      </c>
      <c r="F173" s="170" t="s">
        <v>928</v>
      </c>
      <c r="G173" s="170" t="s">
        <v>964</v>
      </c>
      <c r="H173" s="170" t="s">
        <v>929</v>
      </c>
      <c r="I173" s="170" t="s">
        <v>930</v>
      </c>
      <c r="J173" s="171">
        <f ca="1">IF(ISBLANK(Ayuda!R173), 0, MIN(MAX(0, (TODAY() - Ayuda!R173) / (Ayuda!Q173 + IFERROR(Ayuda!W173, 0))), 1))</f>
        <v>0.73895582329317266</v>
      </c>
      <c r="K173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0.64497942567617039</v>
      </c>
      <c r="L173" s="170" t="s">
        <v>931</v>
      </c>
    </row>
    <row r="174" spans="1:12" ht="30" customHeight="1" x14ac:dyDescent="0.3">
      <c r="A174" s="170" t="str">
        <f>+TablaMaestra[[#This Row],[CÓDIGO DE RUTA]]</f>
        <v>HV-669</v>
      </c>
      <c r="B174" s="170" t="str">
        <f>+TablaMaestra[[#This Row],[DENOMINACION DE INTERVENCION]]</f>
        <v>EMP. HV-666 (DV. PICHIU) - HUARANHUAY (KM 09+013).</v>
      </c>
      <c r="C174" s="170" t="str">
        <f>+TablaMaestra[[#This Row],[DEPARTAMENTO]]</f>
        <v>HUANCAVELICA</v>
      </c>
      <c r="D174" s="170" t="str">
        <f>+TablaMaestra[[#This Row],[PROVINCIA]]</f>
        <v>TAYACAJA</v>
      </c>
      <c r="E174" s="170" t="str">
        <f>+TablaMaestra[[#This Row],[DISTRITO]]</f>
        <v>ANDAYMARCA</v>
      </c>
      <c r="F174" s="170" t="s">
        <v>928</v>
      </c>
      <c r="G174" s="170" t="s">
        <v>964</v>
      </c>
      <c r="H174" s="170" t="s">
        <v>929</v>
      </c>
      <c r="I174" s="170" t="s">
        <v>930</v>
      </c>
      <c r="J174" s="171">
        <f ca="1">IF(ISBLANK(Ayuda!R174), 0, MIN(MAX(0, (TODAY() - Ayuda!R174) / (Ayuda!Q174 + IFERROR(Ayuda!W174, 0))), 1))</f>
        <v>0.76706827309236947</v>
      </c>
      <c r="K174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0.67590352300296186</v>
      </c>
      <c r="L174" s="170" t="s">
        <v>931</v>
      </c>
    </row>
    <row r="175" spans="1:12" ht="30" customHeight="1" x14ac:dyDescent="0.3">
      <c r="A175" s="170" t="str">
        <f>+TablaMaestra[[#This Row],[CÓDIGO DE RUTA]]</f>
        <v>HV-507</v>
      </c>
      <c r="B175" s="170" t="str">
        <f>+TablaMaestra[[#This Row],[DENOMINACION DE INTERVENCION]]</f>
        <v>EMP. HV109 (POTRERO) - HUAMANMARCA (KM 06+831)</v>
      </c>
      <c r="C175" s="170" t="str">
        <f>+TablaMaestra[[#This Row],[DEPARTAMENTO]]</f>
        <v>HUANCAVELICA</v>
      </c>
      <c r="D175" s="170" t="str">
        <f>+TablaMaestra[[#This Row],[PROVINCIA]]</f>
        <v>TAYACAJA</v>
      </c>
      <c r="E175" s="170" t="str">
        <f>+TablaMaestra[[#This Row],[DISTRITO]]</f>
        <v>SALCAHUASI</v>
      </c>
      <c r="F175" s="170" t="s">
        <v>928</v>
      </c>
      <c r="G175" s="170" t="s">
        <v>964</v>
      </c>
      <c r="H175" s="170" t="s">
        <v>929</v>
      </c>
      <c r="I175" s="170" t="s">
        <v>930</v>
      </c>
      <c r="J175" s="171">
        <f ca="1">IF(ISBLANK(Ayuda!R175), 0, MIN(MAX(0, (TODAY() - Ayuda!R175) / (Ayuda!Q175 + IFERROR(Ayuda!W175, 0))), 1))</f>
        <v>0.76706827309236947</v>
      </c>
      <c r="K175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0.6759030863100528</v>
      </c>
      <c r="L175" s="170" t="s">
        <v>931</v>
      </c>
    </row>
    <row r="176" spans="1:12" ht="30" customHeight="1" x14ac:dyDescent="0.3">
      <c r="A176" s="170" t="str">
        <f>+TablaMaestra[[#This Row],[CÓDIGO DE RUTA]]</f>
        <v>HV-553</v>
      </c>
      <c r="B176" s="170" t="str">
        <f>+TablaMaestra[[#This Row],[DENOMINACION DE INTERVENCION]]</f>
        <v>EMP. HV- 554 - SAN CRISTOBAL DE HUAYRAPIRE - CAPILLAPATA (KM 06+503)</v>
      </c>
      <c r="C176" s="170" t="str">
        <f>+TablaMaestra[[#This Row],[DEPARTAMENTO]]</f>
        <v>HUANCAVELICA</v>
      </c>
      <c r="D176" s="170" t="str">
        <f>+TablaMaestra[[#This Row],[PROVINCIA]]</f>
        <v>TAYACAJA</v>
      </c>
      <c r="E176" s="170" t="str">
        <f>+TablaMaestra[[#This Row],[DISTRITO]]</f>
        <v>SANTIAGO DE TUCUMA</v>
      </c>
      <c r="F176" s="170" t="s">
        <v>928</v>
      </c>
      <c r="G176" s="170" t="s">
        <v>964</v>
      </c>
      <c r="H176" s="170" t="s">
        <v>929</v>
      </c>
      <c r="I176" s="170" t="s">
        <v>930</v>
      </c>
      <c r="J176" s="171">
        <f ca="1">IF(ISBLANK(Ayuda!R176), 0, MIN(MAX(0, (TODAY() - Ayuda!R176) / (Ayuda!Q176 + IFERROR(Ayuda!W176, 0))), 1))</f>
        <v>0.76706827309236947</v>
      </c>
      <c r="K176" s="171">
        <f>+((TablaMaestra[[#This Row],[VALIDADO MARZO]]+TablaMaestra[[#This Row],[VALIDADO ABRIL]]+TablaMaestra[[#This Row],[VALIDADO MAYO]]+TablaMaestra[[#This Row],[VALIDADO JUNIO]]+TablaMaestra[[#This Row],[VALIDADO JULIO]]+TablaMaestra[[#This Row],[VALIDADO AGOSTO]]+TablaMaestra[[#This Row],[VALIDADO SETIEMBRE]]+TablaMaestra[[#This Row],[VALIDADO OCTUBRE]]+TablaMaestra[[#This Row],[VALIDADO NOVIEMBRE]]+TablaMaestra[[#This Row],[VALIDADO DICIEMBRE]])/TablaMaestra[[#This Row],[CONTRATO MANT S/]])</f>
        <v>0.67590281351861381</v>
      </c>
      <c r="L176" s="170" t="s">
        <v>931</v>
      </c>
    </row>
    <row r="177" spans="1:12" ht="30" customHeight="1" x14ac:dyDescent="0.3">
      <c r="A177" s="170" t="s">
        <v>934</v>
      </c>
      <c r="B177" s="170" t="s">
        <v>944</v>
      </c>
      <c r="C177" s="170" t="s">
        <v>258</v>
      </c>
      <c r="D177" s="170" t="s">
        <v>487</v>
      </c>
      <c r="E177" s="170" t="s">
        <v>954</v>
      </c>
      <c r="F177" s="170" t="s">
        <v>928</v>
      </c>
      <c r="G177" s="170" t="s">
        <v>965</v>
      </c>
      <c r="H177" s="170" t="s">
        <v>929</v>
      </c>
      <c r="I177" s="170" t="s">
        <v>930</v>
      </c>
      <c r="L177" s="170" t="s">
        <v>931</v>
      </c>
    </row>
    <row r="178" spans="1:12" ht="30" customHeight="1" x14ac:dyDescent="0.3">
      <c r="A178" s="170" t="s">
        <v>935</v>
      </c>
      <c r="B178" s="170" t="s">
        <v>945</v>
      </c>
      <c r="C178" s="170" t="s">
        <v>258</v>
      </c>
      <c r="D178" s="170" t="s">
        <v>258</v>
      </c>
      <c r="E178" s="170" t="s">
        <v>258</v>
      </c>
      <c r="F178" s="170" t="s">
        <v>928</v>
      </c>
      <c r="G178" s="170" t="s">
        <v>965</v>
      </c>
      <c r="H178" s="170" t="s">
        <v>929</v>
      </c>
      <c r="I178" s="170" t="s">
        <v>930</v>
      </c>
      <c r="L178" s="170" t="s">
        <v>931</v>
      </c>
    </row>
    <row r="179" spans="1:12" ht="30" customHeight="1" x14ac:dyDescent="0.3">
      <c r="A179" s="170" t="s">
        <v>936</v>
      </c>
      <c r="B179" s="170" t="s">
        <v>946</v>
      </c>
      <c r="C179" s="170" t="s">
        <v>258</v>
      </c>
      <c r="D179" s="170" t="s">
        <v>679</v>
      </c>
      <c r="E179" s="170" t="s">
        <v>955</v>
      </c>
      <c r="F179" s="170" t="s">
        <v>928</v>
      </c>
      <c r="G179" s="170" t="s">
        <v>965</v>
      </c>
      <c r="H179" s="170" t="s">
        <v>929</v>
      </c>
      <c r="I179" s="170" t="s">
        <v>930</v>
      </c>
      <c r="L179" s="170" t="s">
        <v>931</v>
      </c>
    </row>
    <row r="180" spans="1:12" ht="30" customHeight="1" x14ac:dyDescent="0.3">
      <c r="A180" s="170" t="s">
        <v>937</v>
      </c>
      <c r="B180" s="170" t="s">
        <v>947</v>
      </c>
      <c r="C180" s="170" t="s">
        <v>258</v>
      </c>
      <c r="D180" s="170" t="s">
        <v>258</v>
      </c>
      <c r="E180" s="170" t="s">
        <v>956</v>
      </c>
      <c r="F180" s="170" t="s">
        <v>928</v>
      </c>
      <c r="G180" s="170" t="s">
        <v>965</v>
      </c>
      <c r="H180" s="170" t="s">
        <v>929</v>
      </c>
      <c r="I180" s="170" t="s">
        <v>930</v>
      </c>
      <c r="L180" s="170" t="s">
        <v>931</v>
      </c>
    </row>
    <row r="181" spans="1:12" ht="30" customHeight="1" x14ac:dyDescent="0.3">
      <c r="A181" s="170" t="s">
        <v>938</v>
      </c>
      <c r="B181" s="170" t="s">
        <v>948</v>
      </c>
      <c r="C181" s="170" t="s">
        <v>258</v>
      </c>
      <c r="D181" s="170" t="s">
        <v>258</v>
      </c>
      <c r="E181" s="170" t="s">
        <v>957</v>
      </c>
      <c r="F181" s="170" t="s">
        <v>928</v>
      </c>
      <c r="G181" s="170" t="s">
        <v>965</v>
      </c>
      <c r="H181" s="170" t="s">
        <v>929</v>
      </c>
      <c r="I181" s="170" t="s">
        <v>930</v>
      </c>
      <c r="L181" s="170" t="s">
        <v>931</v>
      </c>
    </row>
    <row r="182" spans="1:12" ht="30" customHeight="1" x14ac:dyDescent="0.3">
      <c r="A182" s="170" t="s">
        <v>939</v>
      </c>
      <c r="B182" s="170" t="s">
        <v>949</v>
      </c>
      <c r="C182" s="170" t="s">
        <v>258</v>
      </c>
      <c r="D182" s="170" t="s">
        <v>669</v>
      </c>
      <c r="E182" s="170" t="s">
        <v>958</v>
      </c>
      <c r="F182" s="170" t="s">
        <v>928</v>
      </c>
      <c r="G182" s="170" t="s">
        <v>965</v>
      </c>
      <c r="H182" s="170" t="s">
        <v>929</v>
      </c>
      <c r="I182" s="170" t="s">
        <v>930</v>
      </c>
      <c r="L182" s="170" t="s">
        <v>931</v>
      </c>
    </row>
    <row r="183" spans="1:12" ht="30" customHeight="1" x14ac:dyDescent="0.3">
      <c r="A183" s="170" t="s">
        <v>940</v>
      </c>
      <c r="B183" s="170" t="s">
        <v>950</v>
      </c>
      <c r="C183" s="170" t="s">
        <v>258</v>
      </c>
      <c r="D183" s="170" t="s">
        <v>258</v>
      </c>
      <c r="E183" s="170" t="s">
        <v>959</v>
      </c>
      <c r="F183" s="170" t="s">
        <v>928</v>
      </c>
      <c r="G183" s="170" t="s">
        <v>965</v>
      </c>
      <c r="H183" s="170" t="s">
        <v>929</v>
      </c>
      <c r="I183" s="170" t="s">
        <v>930</v>
      </c>
      <c r="L183" s="170" t="s">
        <v>931</v>
      </c>
    </row>
    <row r="184" spans="1:12" ht="30" customHeight="1" x14ac:dyDescent="0.3">
      <c r="A184" s="170" t="s">
        <v>941</v>
      </c>
      <c r="B184" s="170" t="s">
        <v>951</v>
      </c>
      <c r="C184" s="170" t="s">
        <v>258</v>
      </c>
      <c r="D184" s="170" t="s">
        <v>343</v>
      </c>
      <c r="E184" s="170" t="s">
        <v>960</v>
      </c>
      <c r="F184" s="170" t="s">
        <v>928</v>
      </c>
      <c r="G184" s="170" t="s">
        <v>965</v>
      </c>
      <c r="H184" s="170" t="s">
        <v>929</v>
      </c>
      <c r="I184" s="170" t="s">
        <v>930</v>
      </c>
      <c r="L184" s="170" t="s">
        <v>931</v>
      </c>
    </row>
    <row r="185" spans="1:12" ht="30" customHeight="1" x14ac:dyDescent="0.3">
      <c r="A185" s="170" t="s">
        <v>942</v>
      </c>
      <c r="B185" s="170" t="s">
        <v>952</v>
      </c>
      <c r="C185" s="170" t="s">
        <v>258</v>
      </c>
      <c r="D185" s="170" t="s">
        <v>258</v>
      </c>
      <c r="E185" s="170" t="s">
        <v>961</v>
      </c>
      <c r="F185" s="170" t="s">
        <v>928</v>
      </c>
      <c r="G185" s="170" t="s">
        <v>965</v>
      </c>
      <c r="H185" s="170" t="s">
        <v>929</v>
      </c>
      <c r="I185" s="170" t="s">
        <v>930</v>
      </c>
      <c r="L185" s="170" t="s">
        <v>931</v>
      </c>
    </row>
    <row r="186" spans="1:12" ht="30" customHeight="1" x14ac:dyDescent="0.3">
      <c r="A186" s="170" t="s">
        <v>943</v>
      </c>
      <c r="B186" s="170" t="s">
        <v>953</v>
      </c>
      <c r="C186" s="170" t="s">
        <v>258</v>
      </c>
      <c r="D186" s="170" t="s">
        <v>730</v>
      </c>
      <c r="E186" s="170" t="s">
        <v>962</v>
      </c>
      <c r="F186" s="170" t="s">
        <v>928</v>
      </c>
      <c r="G186" s="170" t="s">
        <v>965</v>
      </c>
      <c r="H186" s="170" t="s">
        <v>929</v>
      </c>
      <c r="I186" s="170" t="s">
        <v>930</v>
      </c>
      <c r="L186" s="170" t="s">
        <v>931</v>
      </c>
    </row>
    <row r="187" spans="1:12" ht="30" customHeight="1" x14ac:dyDescent="0.3">
      <c r="A187" s="170" t="s">
        <v>966</v>
      </c>
      <c r="B187" s="170" t="s">
        <v>971</v>
      </c>
      <c r="C187" s="170" t="s">
        <v>258</v>
      </c>
      <c r="D187" s="170" t="s">
        <v>730</v>
      </c>
      <c r="E187" s="170" t="s">
        <v>978</v>
      </c>
      <c r="F187" s="170" t="s">
        <v>985</v>
      </c>
      <c r="G187" s="170" t="s">
        <v>965</v>
      </c>
      <c r="H187" s="170" t="s">
        <v>929</v>
      </c>
      <c r="I187" s="170" t="s">
        <v>996</v>
      </c>
      <c r="L187" s="170" t="s">
        <v>933</v>
      </c>
    </row>
    <row r="188" spans="1:12" ht="30" customHeight="1" x14ac:dyDescent="0.3">
      <c r="A188" s="170" t="s">
        <v>967</v>
      </c>
      <c r="B188" s="170" t="s">
        <v>972</v>
      </c>
      <c r="C188" s="170" t="s">
        <v>258</v>
      </c>
      <c r="D188" s="170" t="s">
        <v>730</v>
      </c>
      <c r="E188" s="170" t="s">
        <v>747</v>
      </c>
      <c r="F188" s="170" t="s">
        <v>985</v>
      </c>
      <c r="G188" s="170" t="s">
        <v>965</v>
      </c>
      <c r="H188" s="170" t="s">
        <v>929</v>
      </c>
      <c r="I188" s="170" t="s">
        <v>996</v>
      </c>
      <c r="L188" s="170" t="s">
        <v>933</v>
      </c>
    </row>
    <row r="189" spans="1:12" ht="30" customHeight="1" x14ac:dyDescent="0.3">
      <c r="A189" s="170" t="s">
        <v>968</v>
      </c>
      <c r="B189" s="170" t="s">
        <v>973</v>
      </c>
      <c r="C189" s="170" t="s">
        <v>258</v>
      </c>
      <c r="D189" s="170" t="s">
        <v>258</v>
      </c>
      <c r="E189" s="170" t="s">
        <v>979</v>
      </c>
      <c r="F189" s="170" t="s">
        <v>985</v>
      </c>
      <c r="G189" s="170" t="s">
        <v>965</v>
      </c>
      <c r="H189" s="170" t="s">
        <v>929</v>
      </c>
      <c r="I189" s="170" t="s">
        <v>996</v>
      </c>
      <c r="L189" s="170" t="s">
        <v>933</v>
      </c>
    </row>
    <row r="190" spans="1:12" ht="30" customHeight="1" x14ac:dyDescent="0.3">
      <c r="A190" s="170" t="s">
        <v>938</v>
      </c>
      <c r="B190" s="170" t="s">
        <v>974</v>
      </c>
      <c r="C190" s="170" t="s">
        <v>258</v>
      </c>
      <c r="D190" s="170" t="s">
        <v>980</v>
      </c>
      <c r="E190" s="170" t="s">
        <v>981</v>
      </c>
      <c r="F190" s="170" t="s">
        <v>985</v>
      </c>
      <c r="G190" s="170" t="s">
        <v>965</v>
      </c>
      <c r="H190" s="170" t="s">
        <v>929</v>
      </c>
      <c r="I190" s="170" t="s">
        <v>996</v>
      </c>
      <c r="L190" s="170" t="s">
        <v>931</v>
      </c>
    </row>
    <row r="191" spans="1:12" ht="30" customHeight="1" x14ac:dyDescent="0.3">
      <c r="A191" s="170" t="s">
        <v>969</v>
      </c>
      <c r="B191" s="170" t="s">
        <v>975</v>
      </c>
      <c r="C191" s="170" t="s">
        <v>258</v>
      </c>
      <c r="D191" s="170" t="s">
        <v>982</v>
      </c>
      <c r="E191" s="170" t="s">
        <v>983</v>
      </c>
      <c r="F191" s="170" t="s">
        <v>985</v>
      </c>
      <c r="G191" s="170" t="s">
        <v>965</v>
      </c>
      <c r="H191" s="170" t="s">
        <v>929</v>
      </c>
      <c r="I191" s="170" t="s">
        <v>996</v>
      </c>
      <c r="L191" s="170" t="s">
        <v>931</v>
      </c>
    </row>
    <row r="192" spans="1:12" ht="30" customHeight="1" x14ac:dyDescent="0.3">
      <c r="A192" s="170" t="s">
        <v>940</v>
      </c>
      <c r="B192" s="170" t="s">
        <v>976</v>
      </c>
      <c r="C192" s="170" t="s">
        <v>258</v>
      </c>
      <c r="D192" s="170" t="s">
        <v>258</v>
      </c>
      <c r="E192" s="170" t="s">
        <v>959</v>
      </c>
      <c r="F192" s="170" t="s">
        <v>985</v>
      </c>
      <c r="G192" s="170" t="s">
        <v>965</v>
      </c>
      <c r="H192" s="170" t="s">
        <v>929</v>
      </c>
      <c r="I192" s="170" t="s">
        <v>996</v>
      </c>
      <c r="L192" s="170" t="s">
        <v>933</v>
      </c>
    </row>
    <row r="193" spans="1:12" ht="30" customHeight="1" x14ac:dyDescent="0.3">
      <c r="A193" s="170" t="s">
        <v>970</v>
      </c>
      <c r="B193" s="170" t="s">
        <v>977</v>
      </c>
      <c r="C193" s="170" t="s">
        <v>258</v>
      </c>
      <c r="D193" s="170" t="s">
        <v>487</v>
      </c>
      <c r="E193" s="170" t="s">
        <v>984</v>
      </c>
      <c r="F193" s="170" t="s">
        <v>985</v>
      </c>
      <c r="G193" s="170" t="s">
        <v>965</v>
      </c>
      <c r="H193" s="170" t="s">
        <v>929</v>
      </c>
      <c r="I193" s="170" t="s">
        <v>996</v>
      </c>
      <c r="L193" s="170" t="s">
        <v>933</v>
      </c>
    </row>
    <row r="194" spans="1:12" ht="30" customHeight="1" x14ac:dyDescent="0.3">
      <c r="A194" s="170" t="s">
        <v>986</v>
      </c>
      <c r="B194" s="170" t="s">
        <v>990</v>
      </c>
      <c r="C194" s="170" t="s">
        <v>41</v>
      </c>
      <c r="D194" s="170" t="s">
        <v>83</v>
      </c>
      <c r="E194" s="170" t="s">
        <v>110</v>
      </c>
      <c r="F194" s="170" t="s">
        <v>928</v>
      </c>
      <c r="G194" s="170" t="s">
        <v>965</v>
      </c>
      <c r="H194" s="170" t="s">
        <v>929</v>
      </c>
      <c r="I194" s="170" t="s">
        <v>930</v>
      </c>
      <c r="L194" s="170" t="s">
        <v>933</v>
      </c>
    </row>
    <row r="195" spans="1:12" ht="30" customHeight="1" x14ac:dyDescent="0.3">
      <c r="A195" s="170" t="s">
        <v>987</v>
      </c>
      <c r="B195" s="170" t="s">
        <v>991</v>
      </c>
      <c r="C195" s="170" t="s">
        <v>41</v>
      </c>
      <c r="D195" s="170" t="s">
        <v>83</v>
      </c>
      <c r="E195" s="170" t="s">
        <v>994</v>
      </c>
      <c r="F195" s="170" t="s">
        <v>928</v>
      </c>
      <c r="G195" s="170" t="s">
        <v>965</v>
      </c>
      <c r="H195" s="170" t="s">
        <v>929</v>
      </c>
      <c r="I195" s="170" t="s">
        <v>930</v>
      </c>
      <c r="L195" s="170" t="s">
        <v>933</v>
      </c>
    </row>
    <row r="196" spans="1:12" ht="30" customHeight="1" x14ac:dyDescent="0.3">
      <c r="A196" s="170" t="s">
        <v>988</v>
      </c>
      <c r="B196" s="170" t="s">
        <v>992</v>
      </c>
      <c r="C196" s="170" t="s">
        <v>41</v>
      </c>
      <c r="D196" s="170" t="s">
        <v>83</v>
      </c>
      <c r="E196" s="170" t="s">
        <v>995</v>
      </c>
      <c r="F196" s="170" t="s">
        <v>985</v>
      </c>
      <c r="G196" s="170" t="s">
        <v>965</v>
      </c>
      <c r="H196" s="170" t="s">
        <v>929</v>
      </c>
      <c r="I196" s="170" t="s">
        <v>997</v>
      </c>
      <c r="L196" s="170" t="s">
        <v>933</v>
      </c>
    </row>
    <row r="197" spans="1:12" ht="30" customHeight="1" x14ac:dyDescent="0.3">
      <c r="A197" s="170" t="s">
        <v>989</v>
      </c>
      <c r="B197" s="170" t="s">
        <v>993</v>
      </c>
      <c r="C197" s="170" t="s">
        <v>41</v>
      </c>
      <c r="D197" s="170" t="s">
        <v>61</v>
      </c>
      <c r="E197" s="170" t="s">
        <v>41</v>
      </c>
      <c r="F197" s="170" t="s">
        <v>985</v>
      </c>
      <c r="G197" s="170" t="s">
        <v>965</v>
      </c>
      <c r="H197" s="170" t="s">
        <v>929</v>
      </c>
      <c r="I197" s="170" t="s">
        <v>997</v>
      </c>
      <c r="L197" s="170" t="s">
        <v>933</v>
      </c>
    </row>
    <row r="198" spans="1:12" ht="30" customHeight="1" x14ac:dyDescent="0.3">
      <c r="A198" s="170" t="s">
        <v>998</v>
      </c>
      <c r="B198" s="170" t="s">
        <v>1001</v>
      </c>
      <c r="C198" s="170" t="s">
        <v>129</v>
      </c>
      <c r="D198" s="170" t="s">
        <v>1004</v>
      </c>
      <c r="E198" s="170" t="s">
        <v>1005</v>
      </c>
      <c r="F198" s="170" t="s">
        <v>928</v>
      </c>
      <c r="G198" s="170" t="s">
        <v>965</v>
      </c>
      <c r="H198" s="170" t="s">
        <v>929</v>
      </c>
      <c r="I198" s="170" t="s">
        <v>930</v>
      </c>
      <c r="L198" s="170" t="s">
        <v>933</v>
      </c>
    </row>
    <row r="199" spans="1:12" ht="30" customHeight="1" x14ac:dyDescent="0.3">
      <c r="A199" s="170" t="s">
        <v>999</v>
      </c>
      <c r="B199" s="170" t="s">
        <v>1002</v>
      </c>
      <c r="C199" s="170" t="s">
        <v>129</v>
      </c>
      <c r="D199" s="170" t="s">
        <v>225</v>
      </c>
      <c r="E199" s="170" t="s">
        <v>1006</v>
      </c>
      <c r="F199" s="170" t="s">
        <v>928</v>
      </c>
      <c r="G199" s="170" t="s">
        <v>965</v>
      </c>
      <c r="H199" s="170" t="s">
        <v>929</v>
      </c>
      <c r="I199" s="170" t="s">
        <v>930</v>
      </c>
      <c r="L199" s="170" t="s">
        <v>933</v>
      </c>
    </row>
    <row r="200" spans="1:12" ht="30" customHeight="1" x14ac:dyDescent="0.3">
      <c r="A200" s="170" t="s">
        <v>1000</v>
      </c>
      <c r="B200" s="170" t="s">
        <v>1003</v>
      </c>
      <c r="C200" s="170" t="s">
        <v>129</v>
      </c>
      <c r="D200" s="170" t="s">
        <v>159</v>
      </c>
      <c r="E200" s="170" t="s">
        <v>160</v>
      </c>
      <c r="F200" s="170" t="s">
        <v>928</v>
      </c>
      <c r="G200" s="170" t="s">
        <v>965</v>
      </c>
      <c r="H200" s="170" t="s">
        <v>929</v>
      </c>
      <c r="I200" s="170" t="s">
        <v>930</v>
      </c>
      <c r="L200" s="170" t="s">
        <v>933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Tac_Moq</vt:lpstr>
      <vt:lpstr>Hvca</vt:lpstr>
      <vt:lpstr>Seg-Fi</vt:lpstr>
      <vt:lpstr>Ayuda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YONATHAN JESUS MONTEZA GARRIDO</dc:creator>
  <cp:lastModifiedBy>YONATHAN JESUS MONTEZA GARRIDO</cp:lastModifiedBy>
  <cp:lastPrinted>2026-09-25T19:37:21Z</cp:lastPrinted>
  <dcterms:created xsi:type="dcterms:W3CDTF">2026-06-22T16:39:37Z</dcterms:created>
  <dcterms:modified xsi:type="dcterms:W3CDTF">2026-10-09T20:07:42Z</dcterms:modified>
</cp:coreProperties>
</file>